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8BE3D53B-B028-4EB7-A2AB-C073059E40A1}" xr6:coauthVersionLast="47" xr6:coauthVersionMax="47" xr10:uidLastSave="{00000000-0000-0000-0000-000000000000}"/>
  <bookViews>
    <workbookView xWindow="-120" yWindow="-120" windowWidth="29040" windowHeight="15720" activeTab="4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'BTP-A320M4120'!$C$29:$BG$332</definedName>
    <definedName name="_xlnm._FilterDatabase" localSheetId="3" hidden="1">'BTP-A320M4130'!$C$29:$BS$556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27" i="6" l="1" a="1"/>
  <c r="BF27" i="6" s="1"/>
  <c r="BF28" i="6"/>
  <c r="AT27" i="4" a="1"/>
  <c r="AT27" i="4"/>
  <c r="AT28" i="4"/>
  <c r="BE27" i="6" a="1"/>
  <c r="BE27" i="6" s="1"/>
  <c r="BE28" i="6"/>
  <c r="AS27" i="4" a="1"/>
  <c r="AS27" i="4" s="1"/>
  <c r="AS28" i="4"/>
  <c r="BD27" i="6" a="1"/>
  <c r="BD27" i="6" s="1"/>
  <c r="BD28" i="6"/>
  <c r="BC27" i="6" a="1"/>
  <c r="BC27" i="6" s="1"/>
  <c r="BC28" i="6"/>
  <c r="AR27" i="4" a="1"/>
  <c r="AR27" i="4" s="1"/>
  <c r="AR28" i="4"/>
  <c r="BB27" i="6" a="1"/>
  <c r="BB27" i="6" s="1"/>
  <c r="BB28" i="6"/>
  <c r="BA27" i="6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G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s="1" a="1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J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J28" i="4" l="1"/>
  <c r="AR416" i="9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H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K470" i="9" s="1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AR470" i="9"/>
  <c r="AQ471" i="9"/>
  <c r="AV485" i="9"/>
  <c r="AW484" i="9"/>
  <c r="CF505" i="9"/>
  <c r="N505" i="9"/>
  <c r="AV469" i="9"/>
  <c r="AH490" i="9"/>
  <c r="AG491" i="9"/>
  <c r="AQ486" i="9"/>
  <c r="AL491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V523" i="9" l="1"/>
  <c r="AW523" i="9" s="1"/>
  <c r="AQ522" i="9"/>
  <c r="AL706" i="9"/>
  <c r="AM706" i="9" s="1"/>
  <c r="AW512" i="9"/>
  <c r="AW521" i="9"/>
  <c r="AG487" i="9"/>
  <c r="AH487" i="9" s="1"/>
  <c r="L469" i="9"/>
  <c r="N469" i="9" s="1"/>
  <c r="AW661" i="9"/>
  <c r="AQ673" i="9"/>
  <c r="AQ674" i="9" s="1"/>
  <c r="AR646" i="9"/>
  <c r="AH485" i="9"/>
  <c r="AG455" i="9"/>
  <c r="AH455" i="9" s="1"/>
  <c r="AL529" i="9"/>
  <c r="AM529" i="9" s="1"/>
  <c r="AV492" i="9"/>
  <c r="AW492" i="9" s="1"/>
  <c r="AV437" i="9"/>
  <c r="AV438" i="9" s="1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L530" i="9" l="1"/>
  <c r="AM530" i="9" s="1"/>
  <c r="AR673" i="9"/>
  <c r="AG456" i="9"/>
  <c r="AH456" i="9" s="1"/>
  <c r="CF469" i="9"/>
  <c r="AV524" i="9"/>
  <c r="AV525" i="9" s="1"/>
  <c r="AW525" i="9" s="1"/>
  <c r="AM455" i="9"/>
  <c r="AW437" i="9"/>
  <c r="AW529" i="9"/>
  <c r="AH671" i="9"/>
  <c r="AW672" i="9"/>
  <c r="AH726" i="9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G457" i="9" l="1"/>
  <c r="AG458" i="9" s="1"/>
  <c r="AH458" i="9" s="1"/>
  <c r="AW524" i="9"/>
  <c r="AQ275" i="9"/>
  <c r="AQ276" i="9" s="1"/>
  <c r="AR276" i="9" s="1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K458" i="6"/>
  <c r="BJ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R275" i="9" l="1"/>
  <c r="AG459" i="9"/>
  <c r="AH459" i="9" s="1"/>
  <c r="AH457" i="9"/>
  <c r="AG100" i="9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G460" i="9" l="1"/>
  <c r="AH100" i="9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K549" i="6"/>
  <c r="BJ549" i="6"/>
  <c r="L549" i="6"/>
  <c r="BK548" i="6"/>
  <c r="BJ548" i="6"/>
  <c r="L548" i="6"/>
  <c r="BK547" i="6"/>
  <c r="BJ547" i="6"/>
  <c r="L547" i="6"/>
  <c r="BK546" i="6"/>
  <c r="BJ546" i="6"/>
  <c r="L546" i="6"/>
  <c r="BK545" i="6"/>
  <c r="BJ545" i="6"/>
  <c r="L545" i="6"/>
  <c r="BK544" i="6"/>
  <c r="BJ544" i="6"/>
  <c r="L544" i="6"/>
  <c r="BK543" i="6"/>
  <c r="BJ543" i="6"/>
  <c r="L543" i="6"/>
  <c r="BK542" i="6"/>
  <c r="BJ542" i="6"/>
  <c r="L542" i="6"/>
  <c r="BK541" i="6"/>
  <c r="BJ541" i="6"/>
  <c r="L541" i="6"/>
  <c r="BK540" i="6"/>
  <c r="BJ540" i="6"/>
  <c r="L540" i="6"/>
  <c r="BK539" i="6"/>
  <c r="BJ539" i="6"/>
  <c r="L539" i="6"/>
  <c r="BK538" i="6"/>
  <c r="BJ538" i="6"/>
  <c r="L538" i="6"/>
  <c r="BK537" i="6"/>
  <c r="BJ537" i="6"/>
  <c r="L537" i="6"/>
  <c r="BK536" i="6"/>
  <c r="BJ536" i="6"/>
  <c r="L536" i="6"/>
  <c r="BK535" i="6"/>
  <c r="BJ535" i="6"/>
  <c r="L535" i="6"/>
  <c r="BK534" i="6"/>
  <c r="BJ534" i="6"/>
  <c r="L534" i="6"/>
  <c r="M534" i="6" s="1"/>
  <c r="BK533" i="6"/>
  <c r="BJ533" i="6"/>
  <c r="L533" i="6"/>
  <c r="M533" i="6" s="1"/>
  <c r="BK532" i="6"/>
  <c r="BJ532" i="6"/>
  <c r="L532" i="6"/>
  <c r="M532" i="6" s="1"/>
  <c r="BK531" i="6"/>
  <c r="BJ531" i="6"/>
  <c r="L531" i="6"/>
  <c r="M531" i="6" s="1"/>
  <c r="BK530" i="6"/>
  <c r="BJ530" i="6"/>
  <c r="L530" i="6"/>
  <c r="M530" i="6" s="1"/>
  <c r="BK529" i="6"/>
  <c r="BJ529" i="6"/>
  <c r="L529" i="6"/>
  <c r="M529" i="6" s="1"/>
  <c r="BK528" i="6"/>
  <c r="BJ528" i="6"/>
  <c r="L528" i="6"/>
  <c r="M528" i="6" s="1"/>
  <c r="BK527" i="6"/>
  <c r="BJ527" i="6"/>
  <c r="L527" i="6"/>
  <c r="BK526" i="6"/>
  <c r="BJ526" i="6"/>
  <c r="L526" i="6"/>
  <c r="BK525" i="6"/>
  <c r="BJ525" i="6"/>
  <c r="L525" i="6"/>
  <c r="M525" i="6" s="1"/>
  <c r="BK524" i="6"/>
  <c r="BJ524" i="6"/>
  <c r="L524" i="6"/>
  <c r="M524" i="6" s="1"/>
  <c r="BK523" i="6"/>
  <c r="BJ523" i="6"/>
  <c r="L523" i="6"/>
  <c r="M523" i="6" s="1"/>
  <c r="BK522" i="6"/>
  <c r="BJ522" i="6"/>
  <c r="L522" i="6"/>
  <c r="M522" i="6" s="1"/>
  <c r="BK521" i="6"/>
  <c r="BJ521" i="6"/>
  <c r="L521" i="6"/>
  <c r="M521" i="6" s="1"/>
  <c r="BK520" i="6"/>
  <c r="BJ520" i="6"/>
  <c r="L520" i="6"/>
  <c r="M520" i="6" s="1"/>
  <c r="BK519" i="6"/>
  <c r="BJ519" i="6"/>
  <c r="L519" i="6"/>
  <c r="M519" i="6" s="1"/>
  <c r="BK518" i="6"/>
  <c r="BJ518" i="6"/>
  <c r="L518" i="6"/>
  <c r="M518" i="6" s="1"/>
  <c r="BK517" i="6"/>
  <c r="BJ517" i="6"/>
  <c r="L517" i="6"/>
  <c r="BK516" i="6"/>
  <c r="BJ516" i="6"/>
  <c r="L516" i="6"/>
  <c r="M516" i="6" s="1"/>
  <c r="BK515" i="6"/>
  <c r="BJ515" i="6"/>
  <c r="L515" i="6"/>
  <c r="BK514" i="6"/>
  <c r="BJ514" i="6"/>
  <c r="L514" i="6"/>
  <c r="BK513" i="6"/>
  <c r="BJ513" i="6"/>
  <c r="L513" i="6"/>
  <c r="BK512" i="6"/>
  <c r="BJ512" i="6"/>
  <c r="L512" i="6"/>
  <c r="BK511" i="6"/>
  <c r="BJ511" i="6"/>
  <c r="L511" i="6"/>
  <c r="BK510" i="6"/>
  <c r="BJ510" i="6"/>
  <c r="L510" i="6"/>
  <c r="BK509" i="6"/>
  <c r="BJ509" i="6"/>
  <c r="L509" i="6"/>
  <c r="BK508" i="6"/>
  <c r="BJ508" i="6"/>
  <c r="L508" i="6"/>
  <c r="BK507" i="6"/>
  <c r="BJ507" i="6"/>
  <c r="L507" i="6"/>
  <c r="BK506" i="6"/>
  <c r="BJ506" i="6"/>
  <c r="L506" i="6"/>
  <c r="BK505" i="6"/>
  <c r="BJ505" i="6"/>
  <c r="L505" i="6"/>
  <c r="BK504" i="6"/>
  <c r="BJ504" i="6"/>
  <c r="L504" i="6"/>
  <c r="BK503" i="6"/>
  <c r="BJ503" i="6"/>
  <c r="L503" i="6"/>
  <c r="BK502" i="6"/>
  <c r="BJ502" i="6"/>
  <c r="L502" i="6"/>
  <c r="BK501" i="6"/>
  <c r="BJ501" i="6"/>
  <c r="L501" i="6"/>
  <c r="M501" i="6" s="1"/>
  <c r="BK500" i="6"/>
  <c r="BJ500" i="6"/>
  <c r="L500" i="6"/>
  <c r="M500" i="6" s="1"/>
  <c r="BK499" i="6"/>
  <c r="BJ499" i="6"/>
  <c r="L499" i="6"/>
  <c r="M499" i="6" s="1"/>
  <c r="BK498" i="6"/>
  <c r="BJ498" i="6"/>
  <c r="L498" i="6"/>
  <c r="M498" i="6" s="1"/>
  <c r="BK497" i="6"/>
  <c r="BJ497" i="6"/>
  <c r="L497" i="6"/>
  <c r="M497" i="6" s="1"/>
  <c r="BK496" i="6"/>
  <c r="BJ496" i="6"/>
  <c r="L496" i="6"/>
  <c r="BK495" i="6"/>
  <c r="BJ495" i="6"/>
  <c r="L495" i="6"/>
  <c r="BK494" i="6"/>
  <c r="BJ494" i="6"/>
  <c r="L494" i="6"/>
  <c r="BK493" i="6"/>
  <c r="BJ493" i="6"/>
  <c r="L493" i="6"/>
  <c r="M493" i="6" s="1"/>
  <c r="BK492" i="6"/>
  <c r="BJ492" i="6"/>
  <c r="L492" i="6"/>
  <c r="M492" i="6" s="1"/>
  <c r="BK491" i="6"/>
  <c r="BJ491" i="6"/>
  <c r="L491" i="6"/>
  <c r="M491" i="6" s="1"/>
  <c r="BK490" i="6"/>
  <c r="BJ490" i="6"/>
  <c r="L490" i="6"/>
  <c r="M490" i="6" s="1"/>
  <c r="BK489" i="6"/>
  <c r="BJ489" i="6"/>
  <c r="L489" i="6"/>
  <c r="M489" i="6" s="1"/>
  <c r="BK488" i="6"/>
  <c r="BJ488" i="6"/>
  <c r="L488" i="6"/>
  <c r="M488" i="6" s="1"/>
  <c r="BK487" i="6"/>
  <c r="BJ487" i="6"/>
  <c r="L487" i="6"/>
  <c r="M487" i="6" s="1"/>
  <c r="BK486" i="6"/>
  <c r="BJ486" i="6"/>
  <c r="L486" i="6"/>
  <c r="M486" i="6" s="1"/>
  <c r="BK485" i="6"/>
  <c r="BJ485" i="6"/>
  <c r="L485" i="6"/>
  <c r="BK484" i="6"/>
  <c r="BJ484" i="6"/>
  <c r="L484" i="6"/>
  <c r="M484" i="6" s="1"/>
  <c r="BK483" i="6"/>
  <c r="BJ483" i="6"/>
  <c r="L483" i="6"/>
  <c r="BK482" i="6"/>
  <c r="BJ482" i="6"/>
  <c r="L482" i="6"/>
  <c r="BK481" i="6"/>
  <c r="BJ481" i="6"/>
  <c r="L481" i="6"/>
  <c r="BK480" i="6"/>
  <c r="BJ480" i="6"/>
  <c r="L480" i="6"/>
  <c r="BK479" i="6"/>
  <c r="BJ479" i="6"/>
  <c r="L479" i="6"/>
  <c r="BK478" i="6"/>
  <c r="BJ478" i="6"/>
  <c r="L478" i="6"/>
  <c r="BK477" i="6"/>
  <c r="BJ477" i="6"/>
  <c r="L477" i="6"/>
  <c r="BK476" i="6"/>
  <c r="BJ476" i="6"/>
  <c r="L476" i="6"/>
  <c r="BK475" i="6"/>
  <c r="BJ475" i="6"/>
  <c r="L475" i="6"/>
  <c r="BK474" i="6"/>
  <c r="BJ474" i="6"/>
  <c r="L474" i="6"/>
  <c r="BK473" i="6"/>
  <c r="BJ473" i="6"/>
  <c r="L473" i="6"/>
  <c r="BK472" i="6"/>
  <c r="BJ472" i="6"/>
  <c r="L472" i="6"/>
  <c r="BK471" i="6"/>
  <c r="BJ471" i="6"/>
  <c r="L471" i="6"/>
  <c r="BK470" i="6"/>
  <c r="BJ470" i="6"/>
  <c r="L470" i="6"/>
  <c r="BK469" i="6"/>
  <c r="BJ469" i="6"/>
  <c r="L469" i="6"/>
  <c r="BK468" i="6"/>
  <c r="BJ468" i="6"/>
  <c r="L468" i="6"/>
  <c r="BK467" i="6"/>
  <c r="BJ467" i="6"/>
  <c r="L467" i="6"/>
  <c r="BK466" i="6"/>
  <c r="BJ466" i="6"/>
  <c r="L466" i="6"/>
  <c r="BK465" i="6"/>
  <c r="BJ465" i="6"/>
  <c r="L465" i="6"/>
  <c r="M465" i="6" s="1"/>
  <c r="BK464" i="6"/>
  <c r="BJ464" i="6"/>
  <c r="L464" i="6"/>
  <c r="M464" i="6" s="1"/>
  <c r="BK463" i="6"/>
  <c r="BJ463" i="6"/>
  <c r="L463" i="6"/>
  <c r="M463" i="6" s="1"/>
  <c r="BK462" i="6"/>
  <c r="BJ462" i="6"/>
  <c r="L462" i="6"/>
  <c r="M462" i="6" s="1"/>
  <c r="BK461" i="6"/>
  <c r="BJ461" i="6"/>
  <c r="L461" i="6"/>
  <c r="M461" i="6" s="1"/>
  <c r="BK460" i="6"/>
  <c r="BJ460" i="6"/>
  <c r="L460" i="6"/>
  <c r="BK459" i="6"/>
  <c r="BJ459" i="6"/>
  <c r="L459" i="6"/>
  <c r="BK457" i="6"/>
  <c r="BJ457" i="6"/>
  <c r="L457" i="6"/>
  <c r="M457" i="6" s="1"/>
  <c r="BK456" i="6"/>
  <c r="BJ456" i="6"/>
  <c r="L456" i="6"/>
  <c r="M456" i="6" s="1"/>
  <c r="BK455" i="6"/>
  <c r="BJ455" i="6"/>
  <c r="L455" i="6"/>
  <c r="M455" i="6" s="1"/>
  <c r="BK454" i="6"/>
  <c r="BJ454" i="6"/>
  <c r="L454" i="6"/>
  <c r="BK453" i="6"/>
  <c r="BJ453" i="6"/>
  <c r="L453" i="6"/>
  <c r="M453" i="6" s="1"/>
  <c r="BK452" i="6"/>
  <c r="BJ452" i="6"/>
  <c r="L452" i="6"/>
  <c r="M452" i="6" s="1"/>
  <c r="BK451" i="6"/>
  <c r="BJ451" i="6"/>
  <c r="L451" i="6"/>
  <c r="M451" i="6" s="1"/>
  <c r="BK450" i="6"/>
  <c r="BJ450" i="6"/>
  <c r="L450" i="6"/>
  <c r="M450" i="6" s="1"/>
  <c r="BK449" i="6"/>
  <c r="BJ449" i="6"/>
  <c r="L449" i="6"/>
  <c r="BK448" i="6"/>
  <c r="BJ448" i="6"/>
  <c r="L448" i="6"/>
  <c r="M448" i="6" s="1"/>
  <c r="BK447" i="6"/>
  <c r="BJ447" i="6"/>
  <c r="L447" i="6"/>
  <c r="M447" i="6" s="1"/>
  <c r="BK446" i="6"/>
  <c r="BJ446" i="6"/>
  <c r="L446" i="6"/>
  <c r="M446" i="6" s="1"/>
  <c r="BK445" i="6"/>
  <c r="BJ445" i="6"/>
  <c r="L445" i="6"/>
  <c r="M445" i="6" s="1"/>
  <c r="BK444" i="6"/>
  <c r="BJ444" i="6"/>
  <c r="L444" i="6"/>
  <c r="M444" i="6" s="1"/>
  <c r="BK443" i="6"/>
  <c r="BJ443" i="6"/>
  <c r="L443" i="6"/>
  <c r="BK442" i="6"/>
  <c r="BJ442" i="6"/>
  <c r="L442" i="6"/>
  <c r="M442" i="6" s="1"/>
  <c r="BK441" i="6"/>
  <c r="BJ441" i="6"/>
  <c r="L441" i="6"/>
  <c r="BK440" i="6"/>
  <c r="BJ440" i="6"/>
  <c r="L440" i="6"/>
  <c r="BK439" i="6"/>
  <c r="BJ439" i="6"/>
  <c r="L439" i="6"/>
  <c r="BK438" i="6"/>
  <c r="BJ438" i="6"/>
  <c r="L438" i="6"/>
  <c r="BK437" i="6"/>
  <c r="BJ437" i="6"/>
  <c r="L437" i="6"/>
  <c r="BK436" i="6"/>
  <c r="BJ436" i="6"/>
  <c r="L436" i="6"/>
  <c r="BK435" i="6"/>
  <c r="BJ435" i="6"/>
  <c r="L435" i="6"/>
  <c r="BK434" i="6"/>
  <c r="L434" i="6"/>
  <c r="BK433" i="6"/>
  <c r="BJ433" i="6"/>
  <c r="L433" i="6"/>
  <c r="BK432" i="6"/>
  <c r="BJ432" i="6"/>
  <c r="L432" i="6"/>
  <c r="BK431" i="6"/>
  <c r="BJ431" i="6"/>
  <c r="L431" i="6"/>
  <c r="BK430" i="6"/>
  <c r="BJ430" i="6"/>
  <c r="L430" i="6"/>
  <c r="BK429" i="6"/>
  <c r="BJ429" i="6"/>
  <c r="L429" i="6"/>
  <c r="BK428" i="6"/>
  <c r="BJ428" i="6"/>
  <c r="L428" i="6"/>
  <c r="BK427" i="6"/>
  <c r="BJ427" i="6"/>
  <c r="L427" i="6"/>
  <c r="BK426" i="6"/>
  <c r="BJ426" i="6"/>
  <c r="L426" i="6"/>
  <c r="M426" i="6" s="1"/>
  <c r="BK425" i="6"/>
  <c r="BJ425" i="6"/>
  <c r="L425" i="6"/>
  <c r="M425" i="6" s="1"/>
  <c r="BK424" i="6"/>
  <c r="BJ424" i="6"/>
  <c r="L424" i="6"/>
  <c r="M424" i="6" s="1"/>
  <c r="BK423" i="6"/>
  <c r="BJ423" i="6"/>
  <c r="L423" i="6"/>
  <c r="M423" i="6" s="1"/>
  <c r="BK422" i="6"/>
  <c r="BJ422" i="6"/>
  <c r="L422" i="6"/>
  <c r="M422" i="6" s="1"/>
  <c r="BK421" i="6"/>
  <c r="BJ421" i="6"/>
  <c r="L421" i="6"/>
  <c r="M421" i="6" s="1"/>
  <c r="BK420" i="6"/>
  <c r="BJ420" i="6"/>
  <c r="L420" i="6"/>
  <c r="M420" i="6" s="1"/>
  <c r="BK419" i="6"/>
  <c r="BJ419" i="6"/>
  <c r="L419" i="6"/>
  <c r="M419" i="6" s="1"/>
  <c r="BK418" i="6"/>
  <c r="BJ418" i="6"/>
  <c r="L418" i="6"/>
  <c r="M418" i="6" s="1"/>
  <c r="BK417" i="6"/>
  <c r="BJ417" i="6"/>
  <c r="L417" i="6"/>
  <c r="M417" i="6" s="1"/>
  <c r="BK416" i="6"/>
  <c r="BJ416" i="6"/>
  <c r="L416" i="6"/>
  <c r="M416" i="6" s="1"/>
  <c r="BK415" i="6"/>
  <c r="BJ415" i="6"/>
  <c r="L415" i="6"/>
  <c r="M415" i="6" s="1"/>
  <c r="BK414" i="6"/>
  <c r="BJ414" i="6"/>
  <c r="L414" i="6"/>
  <c r="M414" i="6" s="1"/>
  <c r="BK413" i="6"/>
  <c r="BJ413" i="6"/>
  <c r="L413" i="6"/>
  <c r="M413" i="6" s="1"/>
  <c r="BK412" i="6"/>
  <c r="BJ412" i="6"/>
  <c r="L412" i="6"/>
  <c r="BK411" i="6"/>
  <c r="BJ411" i="6"/>
  <c r="L411" i="6"/>
  <c r="BK410" i="6"/>
  <c r="BJ410" i="6"/>
  <c r="L410" i="6"/>
  <c r="BK409" i="6"/>
  <c r="BJ409" i="6"/>
  <c r="L409" i="6"/>
  <c r="M409" i="6" s="1"/>
  <c r="BK408" i="6"/>
  <c r="BJ408" i="6"/>
  <c r="L408" i="6"/>
  <c r="BK407" i="6"/>
  <c r="BJ407" i="6"/>
  <c r="L407" i="6"/>
  <c r="BK406" i="6"/>
  <c r="BJ406" i="6"/>
  <c r="L406" i="6"/>
  <c r="BK405" i="6"/>
  <c r="BJ405" i="6"/>
  <c r="L405" i="6"/>
  <c r="BK404" i="6"/>
  <c r="BJ404" i="6"/>
  <c r="L404" i="6"/>
  <c r="BK403" i="6"/>
  <c r="BJ403" i="6"/>
  <c r="L403" i="6"/>
  <c r="BK402" i="6"/>
  <c r="BJ402" i="6"/>
  <c r="L402" i="6"/>
  <c r="BK401" i="6"/>
  <c r="BJ401" i="6"/>
  <c r="L401" i="6"/>
  <c r="BK400" i="6"/>
  <c r="BJ400" i="6"/>
  <c r="L400" i="6"/>
  <c r="BK399" i="6"/>
  <c r="BJ399" i="6"/>
  <c r="L399" i="6"/>
  <c r="BK398" i="6"/>
  <c r="BJ398" i="6"/>
  <c r="L398" i="6"/>
  <c r="BK397" i="6"/>
  <c r="BJ397" i="6"/>
  <c r="L397" i="6"/>
  <c r="BK396" i="6"/>
  <c r="BJ396" i="6"/>
  <c r="L396" i="6"/>
  <c r="BK395" i="6"/>
  <c r="BJ395" i="6"/>
  <c r="L395" i="6"/>
  <c r="BK394" i="6"/>
  <c r="BJ394" i="6"/>
  <c r="L394" i="6"/>
  <c r="BK393" i="6"/>
  <c r="BJ393" i="6"/>
  <c r="L393" i="6"/>
  <c r="BK392" i="6"/>
  <c r="BJ392" i="6"/>
  <c r="L392" i="6"/>
  <c r="BK391" i="6"/>
  <c r="BJ391" i="6"/>
  <c r="L391" i="6"/>
  <c r="BK390" i="6"/>
  <c r="BJ390" i="6"/>
  <c r="L390" i="6"/>
  <c r="BK389" i="6"/>
  <c r="BJ389" i="6"/>
  <c r="L389" i="6"/>
  <c r="BK388" i="6"/>
  <c r="BJ388" i="6"/>
  <c r="L388" i="6"/>
  <c r="BK387" i="6"/>
  <c r="BJ387" i="6"/>
  <c r="L387" i="6"/>
  <c r="BK386" i="6"/>
  <c r="BJ386" i="6"/>
  <c r="L386" i="6"/>
  <c r="BK385" i="6"/>
  <c r="BJ385" i="6"/>
  <c r="L385" i="6"/>
  <c r="BK384" i="6"/>
  <c r="BJ384" i="6"/>
  <c r="L384" i="6"/>
  <c r="BK383" i="6"/>
  <c r="BJ383" i="6"/>
  <c r="L383" i="6"/>
  <c r="BK382" i="6"/>
  <c r="BJ382" i="6"/>
  <c r="L382" i="6"/>
  <c r="BK381" i="6"/>
  <c r="BJ381" i="6"/>
  <c r="L381" i="6"/>
  <c r="BK380" i="6"/>
  <c r="BJ380" i="6"/>
  <c r="L380" i="6"/>
  <c r="BK379" i="6"/>
  <c r="BJ379" i="6"/>
  <c r="L379" i="6"/>
  <c r="BK378" i="6"/>
  <c r="BJ378" i="6"/>
  <c r="L378" i="6"/>
  <c r="BK377" i="6"/>
  <c r="BJ377" i="6"/>
  <c r="L377" i="6"/>
  <c r="BK376" i="6"/>
  <c r="BJ376" i="6"/>
  <c r="L376" i="6"/>
  <c r="BK375" i="6"/>
  <c r="BJ375" i="6"/>
  <c r="L375" i="6"/>
  <c r="BK374" i="6"/>
  <c r="BJ374" i="6"/>
  <c r="L374" i="6"/>
  <c r="BK373" i="6"/>
  <c r="BJ373" i="6"/>
  <c r="L373" i="6"/>
  <c r="BK372" i="6"/>
  <c r="BJ372" i="6"/>
  <c r="L372" i="6"/>
  <c r="BK371" i="6"/>
  <c r="BJ371" i="6"/>
  <c r="L371" i="6"/>
  <c r="BK370" i="6"/>
  <c r="BJ370" i="6"/>
  <c r="L370" i="6"/>
  <c r="M370" i="6" s="1"/>
  <c r="BK369" i="6"/>
  <c r="BJ369" i="6"/>
  <c r="L369" i="6"/>
  <c r="M369" i="6" s="1"/>
  <c r="BK368" i="6"/>
  <c r="BJ368" i="6"/>
  <c r="L368" i="6"/>
  <c r="M368" i="6" s="1"/>
  <c r="BK367" i="6"/>
  <c r="BJ367" i="6"/>
  <c r="L367" i="6"/>
  <c r="BK366" i="6"/>
  <c r="BJ366" i="6"/>
  <c r="L366" i="6"/>
  <c r="M366" i="6" s="1"/>
  <c r="BK365" i="6"/>
  <c r="BJ365" i="6"/>
  <c r="L365" i="6"/>
  <c r="M365" i="6" s="1"/>
  <c r="BK364" i="6"/>
  <c r="BJ364" i="6"/>
  <c r="L364" i="6"/>
  <c r="M364" i="6" s="1"/>
  <c r="BK363" i="6"/>
  <c r="BJ363" i="6"/>
  <c r="L363" i="6"/>
  <c r="M363" i="6" s="1"/>
  <c r="BK362" i="6"/>
  <c r="BJ362" i="6"/>
  <c r="L362" i="6"/>
  <c r="M362" i="6" s="1"/>
  <c r="BK361" i="6"/>
  <c r="BJ361" i="6"/>
  <c r="L361" i="6"/>
  <c r="M361" i="6" s="1"/>
  <c r="BK360" i="6"/>
  <c r="BJ360" i="6"/>
  <c r="L360" i="6"/>
  <c r="BK359" i="6"/>
  <c r="BJ359" i="6"/>
  <c r="L359" i="6"/>
  <c r="M359" i="6" s="1"/>
  <c r="BK358" i="6"/>
  <c r="BJ358" i="6"/>
  <c r="L358" i="6"/>
  <c r="M358" i="6" s="1"/>
  <c r="BK357" i="6"/>
  <c r="BJ357" i="6"/>
  <c r="L357" i="6"/>
  <c r="M357" i="6" s="1"/>
  <c r="BK356" i="6"/>
  <c r="BJ356" i="6"/>
  <c r="L356" i="6"/>
  <c r="M356" i="6" s="1"/>
  <c r="BK355" i="6"/>
  <c r="BJ355" i="6"/>
  <c r="L355" i="6"/>
  <c r="M355" i="6" s="1"/>
  <c r="BK354" i="6"/>
  <c r="BJ354" i="6"/>
  <c r="L354" i="6"/>
  <c r="M354" i="6" s="1"/>
  <c r="BK353" i="6"/>
  <c r="BJ353" i="6"/>
  <c r="L353" i="6"/>
  <c r="M353" i="6" s="1"/>
  <c r="BK352" i="6"/>
  <c r="BJ352" i="6"/>
  <c r="L352" i="6"/>
  <c r="M352" i="6" s="1"/>
  <c r="BK351" i="6"/>
  <c r="BJ351" i="6"/>
  <c r="L351" i="6"/>
  <c r="M351" i="6" s="1"/>
  <c r="BK350" i="6"/>
  <c r="BJ350" i="6"/>
  <c r="L350" i="6"/>
  <c r="M350" i="6" s="1"/>
  <c r="BK349" i="6"/>
  <c r="BJ349" i="6"/>
  <c r="L349" i="6"/>
  <c r="M349" i="6" s="1"/>
  <c r="BK348" i="6"/>
  <c r="BJ348" i="6"/>
  <c r="L348" i="6"/>
  <c r="M348" i="6" s="1"/>
  <c r="BK347" i="6"/>
  <c r="BJ347" i="6"/>
  <c r="L347" i="6"/>
  <c r="BK346" i="6"/>
  <c r="BJ346" i="6"/>
  <c r="L346" i="6"/>
  <c r="M346" i="6" s="1"/>
  <c r="BK345" i="6"/>
  <c r="BJ345" i="6"/>
  <c r="L345" i="6"/>
  <c r="M345" i="6" s="1"/>
  <c r="BK344" i="6"/>
  <c r="BJ344" i="6"/>
  <c r="L344" i="6"/>
  <c r="M344" i="6" s="1"/>
  <c r="BK343" i="6"/>
  <c r="BJ343" i="6"/>
  <c r="L343" i="6"/>
  <c r="M343" i="6" s="1"/>
  <c r="BK342" i="6"/>
  <c r="BJ342" i="6"/>
  <c r="L342" i="6"/>
  <c r="M342" i="6" s="1"/>
  <c r="BK341" i="6"/>
  <c r="BJ341" i="6"/>
  <c r="L341" i="6"/>
  <c r="BK340" i="6"/>
  <c r="BJ340" i="6"/>
  <c r="L340" i="6"/>
  <c r="M340" i="6" s="1"/>
  <c r="BK339" i="6"/>
  <c r="BJ339" i="6"/>
  <c r="L339" i="6"/>
  <c r="M339" i="6" s="1"/>
  <c r="BK338" i="6"/>
  <c r="BJ338" i="6"/>
  <c r="L338" i="6"/>
  <c r="M338" i="6" s="1"/>
  <c r="BK337" i="6"/>
  <c r="BJ337" i="6"/>
  <c r="L337" i="6"/>
  <c r="M337" i="6" s="1"/>
  <c r="BK336" i="6"/>
  <c r="BJ336" i="6"/>
  <c r="L336" i="6"/>
  <c r="BK335" i="6"/>
  <c r="BJ335" i="6"/>
  <c r="L335" i="6"/>
  <c r="BK334" i="6"/>
  <c r="BJ334" i="6"/>
  <c r="L334" i="6"/>
  <c r="M334" i="6" s="1"/>
  <c r="BK333" i="6"/>
  <c r="BJ333" i="6"/>
  <c r="L333" i="6"/>
  <c r="M333" i="6" s="1"/>
  <c r="BK332" i="6"/>
  <c r="BJ332" i="6"/>
  <c r="L332" i="6"/>
  <c r="M332" i="6" s="1"/>
  <c r="BK331" i="6"/>
  <c r="BJ331" i="6"/>
  <c r="L331" i="6"/>
  <c r="BK330" i="6"/>
  <c r="BJ330" i="6"/>
  <c r="L330" i="6"/>
  <c r="BK329" i="6"/>
  <c r="BJ329" i="6"/>
  <c r="L329" i="6"/>
  <c r="BK328" i="6"/>
  <c r="BJ328" i="6"/>
  <c r="L328" i="6"/>
  <c r="M328" i="6" s="1"/>
  <c r="BK327" i="6"/>
  <c r="BJ327" i="6"/>
  <c r="L327" i="6"/>
  <c r="BK326" i="6"/>
  <c r="BJ326" i="6"/>
  <c r="L326" i="6"/>
  <c r="BK325" i="6"/>
  <c r="BJ325" i="6"/>
  <c r="L325" i="6"/>
  <c r="BK324" i="6"/>
  <c r="BJ324" i="6"/>
  <c r="L324" i="6"/>
  <c r="BK323" i="6"/>
  <c r="BJ323" i="6"/>
  <c r="L323" i="6"/>
  <c r="BK322" i="6"/>
  <c r="BJ322" i="6"/>
  <c r="L322" i="6"/>
  <c r="BK321" i="6"/>
  <c r="BJ321" i="6"/>
  <c r="L321" i="6"/>
  <c r="BK320" i="6"/>
  <c r="BJ320" i="6"/>
  <c r="L320" i="6"/>
  <c r="BK319" i="6"/>
  <c r="BJ319" i="6"/>
  <c r="L319" i="6"/>
  <c r="BK318" i="6"/>
  <c r="BJ318" i="6"/>
  <c r="L318" i="6"/>
  <c r="BK317" i="6"/>
  <c r="BJ317" i="6"/>
  <c r="L317" i="6"/>
  <c r="BK316" i="6"/>
  <c r="BJ316" i="6"/>
  <c r="L316" i="6"/>
  <c r="BK315" i="6"/>
  <c r="BJ315" i="6"/>
  <c r="L315" i="6"/>
  <c r="BK314" i="6"/>
  <c r="BJ314" i="6"/>
  <c r="L314" i="6"/>
  <c r="BK313" i="6"/>
  <c r="BJ313" i="6"/>
  <c r="L313" i="6"/>
  <c r="BK312" i="6"/>
  <c r="BJ312" i="6"/>
  <c r="L312" i="6"/>
  <c r="BK311" i="6"/>
  <c r="BJ311" i="6"/>
  <c r="L311" i="6"/>
  <c r="BK310" i="6"/>
  <c r="BJ310" i="6"/>
  <c r="L310" i="6"/>
  <c r="BK309" i="6"/>
  <c r="BJ309" i="6"/>
  <c r="L309" i="6"/>
  <c r="BK308" i="6"/>
  <c r="BJ308" i="6"/>
  <c r="L308" i="6"/>
  <c r="BK307" i="6"/>
  <c r="BJ307" i="6"/>
  <c r="L307" i="6"/>
  <c r="BK306" i="6"/>
  <c r="BJ306" i="6"/>
  <c r="L306" i="6"/>
  <c r="BK305" i="6"/>
  <c r="BJ305" i="6"/>
  <c r="L305" i="6"/>
  <c r="BK304" i="6"/>
  <c r="BJ304" i="6"/>
  <c r="L304" i="6"/>
  <c r="BK303" i="6"/>
  <c r="BJ303" i="6"/>
  <c r="L303" i="6"/>
  <c r="BK302" i="6"/>
  <c r="BJ302" i="6"/>
  <c r="L302" i="6"/>
  <c r="BK301" i="6"/>
  <c r="BJ301" i="6"/>
  <c r="L301" i="6"/>
  <c r="BK300" i="6"/>
  <c r="BJ300" i="6"/>
  <c r="L300" i="6"/>
  <c r="BK299" i="6"/>
  <c r="BJ299" i="6"/>
  <c r="L299" i="6"/>
  <c r="M299" i="6" s="1"/>
  <c r="BK298" i="6"/>
  <c r="BJ298" i="6"/>
  <c r="L298" i="6"/>
  <c r="BK297" i="6"/>
  <c r="BJ297" i="6"/>
  <c r="L297" i="6"/>
  <c r="BK296" i="6"/>
  <c r="BJ296" i="6"/>
  <c r="L296" i="6"/>
  <c r="M296" i="6" s="1"/>
  <c r="BK295" i="6"/>
  <c r="BJ295" i="6"/>
  <c r="L295" i="6"/>
  <c r="BK294" i="6"/>
  <c r="BJ294" i="6"/>
  <c r="L294" i="6"/>
  <c r="M294" i="6" s="1"/>
  <c r="BK293" i="6"/>
  <c r="BJ293" i="6"/>
  <c r="L293" i="6"/>
  <c r="M293" i="6" s="1"/>
  <c r="BK292" i="6"/>
  <c r="BJ292" i="6"/>
  <c r="L292" i="6"/>
  <c r="M292" i="6" s="1"/>
  <c r="BK291" i="6"/>
  <c r="BJ291" i="6"/>
  <c r="L291" i="6"/>
  <c r="M291" i="6" s="1"/>
  <c r="BK290" i="6"/>
  <c r="BJ290" i="6"/>
  <c r="L290" i="6"/>
  <c r="M290" i="6" s="1"/>
  <c r="BK289" i="6"/>
  <c r="BJ289" i="6"/>
  <c r="L289" i="6"/>
  <c r="BK288" i="6"/>
  <c r="BJ288" i="6"/>
  <c r="L288" i="6"/>
  <c r="M288" i="6" s="1"/>
  <c r="BK287" i="6"/>
  <c r="BJ287" i="6"/>
  <c r="L287" i="6"/>
  <c r="M287" i="6" s="1"/>
  <c r="BK286" i="6"/>
  <c r="BJ286" i="6"/>
  <c r="L286" i="6"/>
  <c r="M286" i="6" s="1"/>
  <c r="BK285" i="6"/>
  <c r="BJ285" i="6"/>
  <c r="L285" i="6"/>
  <c r="M285" i="6" s="1"/>
  <c r="BK284" i="6"/>
  <c r="BJ284" i="6"/>
  <c r="L284" i="6"/>
  <c r="M284" i="6" s="1"/>
  <c r="BK283" i="6"/>
  <c r="BJ283" i="6"/>
  <c r="L283" i="6"/>
  <c r="M283" i="6" s="1"/>
  <c r="BK282" i="6"/>
  <c r="BJ282" i="6"/>
  <c r="L282" i="6"/>
  <c r="M282" i="6" s="1"/>
  <c r="BK281" i="6"/>
  <c r="BJ281" i="6"/>
  <c r="L281" i="6"/>
  <c r="M281" i="6" s="1"/>
  <c r="BK280" i="6"/>
  <c r="BJ280" i="6"/>
  <c r="L280" i="6"/>
  <c r="M280" i="6" s="1"/>
  <c r="BK279" i="6"/>
  <c r="BJ279" i="6"/>
  <c r="L279" i="6"/>
  <c r="M279" i="6" s="1"/>
  <c r="BK278" i="6"/>
  <c r="BJ278" i="6"/>
  <c r="L278" i="6"/>
  <c r="M278" i="6" s="1"/>
  <c r="BK277" i="6"/>
  <c r="BJ277" i="6"/>
  <c r="L277" i="6"/>
  <c r="BK276" i="6"/>
  <c r="BJ276" i="6"/>
  <c r="L276" i="6"/>
  <c r="M276" i="6" s="1"/>
  <c r="BK275" i="6"/>
  <c r="BJ275" i="6"/>
  <c r="L275" i="6"/>
  <c r="M275" i="6" s="1"/>
  <c r="BK274" i="6"/>
  <c r="BJ274" i="6"/>
  <c r="L274" i="6"/>
  <c r="M274" i="6" s="1"/>
  <c r="BK273" i="6"/>
  <c r="BJ273" i="6"/>
  <c r="L273" i="6"/>
  <c r="M273" i="6" s="1"/>
  <c r="BK272" i="6"/>
  <c r="BJ272" i="6"/>
  <c r="L272" i="6"/>
  <c r="M272" i="6" s="1"/>
  <c r="BK271" i="6"/>
  <c r="BJ271" i="6"/>
  <c r="L271" i="6"/>
  <c r="M271" i="6" s="1"/>
  <c r="BK270" i="6"/>
  <c r="BJ270" i="6"/>
  <c r="L270" i="6"/>
  <c r="M270" i="6" s="1"/>
  <c r="BK269" i="6"/>
  <c r="BJ269" i="6"/>
  <c r="L269" i="6"/>
  <c r="BK268" i="6"/>
  <c r="BJ268" i="6"/>
  <c r="L268" i="6"/>
  <c r="BK267" i="6"/>
  <c r="BJ267" i="6"/>
  <c r="L267" i="6"/>
  <c r="BK266" i="6"/>
  <c r="BJ266" i="6"/>
  <c r="L266" i="6"/>
  <c r="M266" i="6" s="1"/>
  <c r="BK265" i="6"/>
  <c r="BJ265" i="6"/>
  <c r="L265" i="6"/>
  <c r="BK264" i="6"/>
  <c r="BJ264" i="6"/>
  <c r="L264" i="6"/>
  <c r="BK263" i="6"/>
  <c r="BJ263" i="6"/>
  <c r="L263" i="6"/>
  <c r="BK262" i="6"/>
  <c r="BJ262" i="6"/>
  <c r="L262" i="6"/>
  <c r="M262" i="6" s="1"/>
  <c r="BK261" i="6"/>
  <c r="BJ261" i="6"/>
  <c r="L261" i="6"/>
  <c r="BK260" i="6"/>
  <c r="BJ260" i="6"/>
  <c r="L260" i="6"/>
  <c r="BK259" i="6"/>
  <c r="BJ259" i="6"/>
  <c r="L259" i="6"/>
  <c r="BK258" i="6"/>
  <c r="BJ258" i="6"/>
  <c r="L258" i="6"/>
  <c r="BK257" i="6"/>
  <c r="BJ257" i="6"/>
  <c r="L257" i="6"/>
  <c r="BK256" i="6"/>
  <c r="BJ256" i="6"/>
  <c r="L256" i="6"/>
  <c r="BK255" i="6"/>
  <c r="BJ255" i="6"/>
  <c r="L255" i="6"/>
  <c r="BK254" i="6"/>
  <c r="BJ254" i="6"/>
  <c r="L254" i="6"/>
  <c r="BK253" i="6"/>
  <c r="BJ253" i="6"/>
  <c r="L253" i="6"/>
  <c r="BK252" i="6"/>
  <c r="BJ252" i="6"/>
  <c r="L252" i="6"/>
  <c r="M252" i="6" s="1"/>
  <c r="BK251" i="6"/>
  <c r="BJ251" i="6"/>
  <c r="L251" i="6"/>
  <c r="BK250" i="6"/>
  <c r="BJ250" i="6"/>
  <c r="L250" i="6"/>
  <c r="BK249" i="6"/>
  <c r="BJ249" i="6"/>
  <c r="L249" i="6"/>
  <c r="BK248" i="6"/>
  <c r="BJ248" i="6"/>
  <c r="L248" i="6"/>
  <c r="BK247" i="6"/>
  <c r="BJ247" i="6"/>
  <c r="L247" i="6"/>
  <c r="BK246" i="6"/>
  <c r="BJ246" i="6"/>
  <c r="L246" i="6"/>
  <c r="BK245" i="6"/>
  <c r="BJ245" i="6"/>
  <c r="L245" i="6"/>
  <c r="BK244" i="6"/>
  <c r="BJ244" i="6"/>
  <c r="L244" i="6"/>
  <c r="M244" i="6" s="1"/>
  <c r="BK243" i="6"/>
  <c r="BJ243" i="6"/>
  <c r="L243" i="6"/>
  <c r="BK242" i="6"/>
  <c r="BJ242" i="6"/>
  <c r="L242" i="6"/>
  <c r="BK241" i="6"/>
  <c r="BJ241" i="6"/>
  <c r="L241" i="6"/>
  <c r="BK240" i="6"/>
  <c r="BJ240" i="6"/>
  <c r="L240" i="6"/>
  <c r="BK239" i="6"/>
  <c r="BJ239" i="6"/>
  <c r="L239" i="6"/>
  <c r="BK238" i="6"/>
  <c r="BJ238" i="6"/>
  <c r="L238" i="6"/>
  <c r="BK237" i="6"/>
  <c r="BJ237" i="6"/>
  <c r="L237" i="6"/>
  <c r="BK236" i="6"/>
  <c r="BJ236" i="6"/>
  <c r="L236" i="6"/>
  <c r="BK235" i="6"/>
  <c r="BJ235" i="6"/>
  <c r="L235" i="6"/>
  <c r="BK234" i="6"/>
  <c r="BJ234" i="6"/>
  <c r="L234" i="6"/>
  <c r="BK233" i="6"/>
  <c r="BJ233" i="6"/>
  <c r="L233" i="6"/>
  <c r="BK232" i="6"/>
  <c r="BJ232" i="6"/>
  <c r="L232" i="6"/>
  <c r="BK231" i="6"/>
  <c r="BJ231" i="6"/>
  <c r="L231" i="6"/>
  <c r="BK230" i="6"/>
  <c r="BJ230" i="6"/>
  <c r="L230" i="6"/>
  <c r="BK229" i="6"/>
  <c r="BJ229" i="6"/>
  <c r="L229" i="6"/>
  <c r="BK228" i="6"/>
  <c r="BJ228" i="6"/>
  <c r="L228" i="6"/>
  <c r="BK227" i="6"/>
  <c r="BJ227" i="6"/>
  <c r="L227" i="6"/>
  <c r="M227" i="6" s="1"/>
  <c r="BK226" i="6"/>
  <c r="BJ226" i="6"/>
  <c r="L226" i="6"/>
  <c r="M226" i="6" s="1"/>
  <c r="BK225" i="6"/>
  <c r="BJ225" i="6"/>
  <c r="L225" i="6"/>
  <c r="M225" i="6" s="1"/>
  <c r="BK224" i="6"/>
  <c r="BJ224" i="6"/>
  <c r="L224" i="6"/>
  <c r="M224" i="6" s="1"/>
  <c r="BK223" i="6"/>
  <c r="BJ223" i="6"/>
  <c r="L223" i="6"/>
  <c r="BK222" i="6"/>
  <c r="BJ222" i="6"/>
  <c r="L222" i="6"/>
  <c r="BK221" i="6"/>
  <c r="BJ221" i="6"/>
  <c r="L221" i="6"/>
  <c r="BK220" i="6"/>
  <c r="BJ220" i="6"/>
  <c r="L220" i="6"/>
  <c r="M220" i="6" s="1"/>
  <c r="BK219" i="6"/>
  <c r="BJ219" i="6"/>
  <c r="L219" i="6"/>
  <c r="BK218" i="6"/>
  <c r="BJ218" i="6"/>
  <c r="L218" i="6"/>
  <c r="M218" i="6" s="1"/>
  <c r="BK217" i="6"/>
  <c r="BJ217" i="6"/>
  <c r="L217" i="6"/>
  <c r="M217" i="6" s="1"/>
  <c r="BK216" i="6"/>
  <c r="BJ216" i="6"/>
  <c r="L216" i="6"/>
  <c r="BK215" i="6"/>
  <c r="BJ215" i="6"/>
  <c r="L215" i="6"/>
  <c r="BK214" i="6"/>
  <c r="BJ214" i="6"/>
  <c r="L214" i="6"/>
  <c r="M214" i="6" s="1"/>
  <c r="BK213" i="6"/>
  <c r="BJ213" i="6"/>
  <c r="L213" i="6"/>
  <c r="M213" i="6" s="1"/>
  <c r="BK212" i="6"/>
  <c r="BJ212" i="6"/>
  <c r="L212" i="6"/>
  <c r="M212" i="6" s="1"/>
  <c r="BK211" i="6"/>
  <c r="BJ211" i="6"/>
  <c r="L211" i="6"/>
  <c r="M211" i="6" s="1"/>
  <c r="BK210" i="6"/>
  <c r="BJ210" i="6"/>
  <c r="L210" i="6"/>
  <c r="M210" i="6" s="1"/>
  <c r="BK209" i="6"/>
  <c r="BJ209" i="6"/>
  <c r="L209" i="6"/>
  <c r="M209" i="6" s="1"/>
  <c r="BK208" i="6"/>
  <c r="BJ208" i="6"/>
  <c r="L208" i="6"/>
  <c r="M208" i="6" s="1"/>
  <c r="BK207" i="6"/>
  <c r="BJ207" i="6"/>
  <c r="L207" i="6"/>
  <c r="M207" i="6" s="1"/>
  <c r="BK206" i="6"/>
  <c r="BJ206" i="6"/>
  <c r="L206" i="6"/>
  <c r="M206" i="6" s="1"/>
  <c r="BK205" i="6"/>
  <c r="BJ205" i="6"/>
  <c r="L205" i="6"/>
  <c r="BK204" i="6"/>
  <c r="BJ204" i="6"/>
  <c r="L204" i="6"/>
  <c r="M204" i="6" s="1"/>
  <c r="BK203" i="6"/>
  <c r="BJ203" i="6"/>
  <c r="L203" i="6"/>
  <c r="BK202" i="6"/>
  <c r="BJ202" i="6"/>
  <c r="L202" i="6"/>
  <c r="M202" i="6" s="1"/>
  <c r="BK201" i="6"/>
  <c r="BJ201" i="6"/>
  <c r="L201" i="6"/>
  <c r="M201" i="6" s="1"/>
  <c r="BK200" i="6"/>
  <c r="BJ200" i="6"/>
  <c r="L200" i="6"/>
  <c r="M200" i="6" s="1"/>
  <c r="BK199" i="6"/>
  <c r="BJ199" i="6"/>
  <c r="L199" i="6"/>
  <c r="M199" i="6" s="1"/>
  <c r="BK198" i="6"/>
  <c r="BJ198" i="6"/>
  <c r="L198" i="6"/>
  <c r="M198" i="6" s="1"/>
  <c r="BK197" i="6"/>
  <c r="BJ197" i="6"/>
  <c r="L197" i="6"/>
  <c r="M197" i="6" s="1"/>
  <c r="BK196" i="6"/>
  <c r="BJ196" i="6"/>
  <c r="L196" i="6"/>
  <c r="BK195" i="6"/>
  <c r="BJ195" i="6"/>
  <c r="L195" i="6"/>
  <c r="BK194" i="6"/>
  <c r="BJ194" i="6"/>
  <c r="L194" i="6"/>
  <c r="M194" i="6" s="1"/>
  <c r="BK193" i="6"/>
  <c r="BJ193" i="6"/>
  <c r="L193" i="6"/>
  <c r="M193" i="6" s="1"/>
  <c r="BK192" i="6"/>
  <c r="BJ192" i="6"/>
  <c r="L192" i="6"/>
  <c r="M192" i="6" s="1"/>
  <c r="BK191" i="6"/>
  <c r="BJ191" i="6"/>
  <c r="L191" i="6"/>
  <c r="M191" i="6" s="1"/>
  <c r="BK190" i="6"/>
  <c r="BJ190" i="6"/>
  <c r="L190" i="6"/>
  <c r="BK189" i="6"/>
  <c r="BJ189" i="6"/>
  <c r="L189" i="6"/>
  <c r="BK188" i="6"/>
  <c r="BJ188" i="6"/>
  <c r="L188" i="6"/>
  <c r="M188" i="6" s="1"/>
  <c r="BK187" i="6"/>
  <c r="BJ187" i="6"/>
  <c r="L187" i="6"/>
  <c r="BK186" i="6"/>
  <c r="BJ186" i="6"/>
  <c r="L186" i="6"/>
  <c r="BK185" i="6"/>
  <c r="BJ185" i="6"/>
  <c r="L185" i="6"/>
  <c r="BK184" i="6"/>
  <c r="BJ184" i="6"/>
  <c r="L184" i="6"/>
  <c r="BK183" i="6"/>
  <c r="BJ183" i="6"/>
  <c r="L183" i="6"/>
  <c r="BK182" i="6"/>
  <c r="BJ182" i="6"/>
  <c r="L182" i="6"/>
  <c r="BK181" i="6"/>
  <c r="BJ181" i="6"/>
  <c r="L181" i="6"/>
  <c r="BK180" i="6"/>
  <c r="BJ180" i="6"/>
  <c r="L180" i="6"/>
  <c r="BK179" i="6"/>
  <c r="BJ179" i="6"/>
  <c r="L179" i="6"/>
  <c r="BK178" i="6"/>
  <c r="BJ178" i="6"/>
  <c r="L178" i="6"/>
  <c r="BK177" i="6"/>
  <c r="BJ177" i="6"/>
  <c r="L177" i="6"/>
  <c r="BK176" i="6"/>
  <c r="BJ176" i="6"/>
  <c r="L176" i="6"/>
  <c r="BK175" i="6"/>
  <c r="BJ175" i="6"/>
  <c r="L175" i="6"/>
  <c r="BK174" i="6"/>
  <c r="BJ174" i="6"/>
  <c r="L174" i="6"/>
  <c r="BK173" i="6"/>
  <c r="BJ173" i="6"/>
  <c r="L173" i="6"/>
  <c r="BK172" i="6"/>
  <c r="BJ172" i="6"/>
  <c r="L172" i="6"/>
  <c r="BK171" i="6"/>
  <c r="BJ171" i="6"/>
  <c r="L171" i="6"/>
  <c r="BK170" i="6"/>
  <c r="BJ170" i="6"/>
  <c r="L170" i="6"/>
  <c r="BK169" i="6"/>
  <c r="BJ169" i="6"/>
  <c r="L169" i="6"/>
  <c r="BK168" i="6"/>
  <c r="BJ168" i="6"/>
  <c r="L168" i="6"/>
  <c r="BK167" i="6"/>
  <c r="BJ167" i="6"/>
  <c r="L167" i="6"/>
  <c r="BK166" i="6"/>
  <c r="BJ166" i="6"/>
  <c r="L166" i="6"/>
  <c r="BK165" i="6"/>
  <c r="BJ165" i="6"/>
  <c r="L165" i="6"/>
  <c r="BK164" i="6"/>
  <c r="BJ164" i="6"/>
  <c r="L164" i="6"/>
  <c r="BK163" i="6"/>
  <c r="BJ163" i="6"/>
  <c r="L163" i="6"/>
  <c r="BK162" i="6"/>
  <c r="BJ162" i="6"/>
  <c r="L162" i="6"/>
  <c r="BK161" i="6"/>
  <c r="BJ161" i="6"/>
  <c r="L161" i="6"/>
  <c r="BK160" i="6"/>
  <c r="BJ160" i="6"/>
  <c r="L160" i="6"/>
  <c r="BK159" i="6"/>
  <c r="BJ159" i="6"/>
  <c r="L159" i="6"/>
  <c r="BK158" i="6"/>
  <c r="BJ158" i="6"/>
  <c r="L158" i="6"/>
  <c r="BK157" i="6"/>
  <c r="BJ157" i="6"/>
  <c r="L157" i="6"/>
  <c r="BK156" i="6"/>
  <c r="BJ156" i="6"/>
  <c r="L156" i="6"/>
  <c r="BK155" i="6"/>
  <c r="BJ155" i="6"/>
  <c r="L155" i="6"/>
  <c r="BK154" i="6"/>
  <c r="BJ154" i="6"/>
  <c r="L154" i="6"/>
  <c r="BK153" i="6"/>
  <c r="BJ153" i="6"/>
  <c r="L153" i="6"/>
  <c r="BK152" i="6"/>
  <c r="BJ152" i="6"/>
  <c r="L152" i="6"/>
  <c r="BK151" i="6"/>
  <c r="BJ151" i="6"/>
  <c r="L151" i="6"/>
  <c r="BK150" i="6"/>
  <c r="BJ150" i="6"/>
  <c r="L150" i="6"/>
  <c r="BK149" i="6"/>
  <c r="BJ149" i="6"/>
  <c r="L149" i="6"/>
  <c r="BK148" i="6"/>
  <c r="BJ148" i="6"/>
  <c r="L148" i="6"/>
  <c r="BK147" i="6"/>
  <c r="BJ147" i="6"/>
  <c r="L147" i="6"/>
  <c r="BK146" i="6"/>
  <c r="BJ146" i="6"/>
  <c r="L146" i="6"/>
  <c r="BK145" i="6"/>
  <c r="BJ145" i="6"/>
  <c r="L145" i="6"/>
  <c r="BK144" i="6"/>
  <c r="BJ144" i="6"/>
  <c r="L144" i="6"/>
  <c r="BK143" i="6"/>
  <c r="BJ143" i="6"/>
  <c r="L143" i="6"/>
  <c r="BK142" i="6"/>
  <c r="BJ142" i="6"/>
  <c r="L142" i="6"/>
  <c r="BK141" i="6"/>
  <c r="BJ141" i="6"/>
  <c r="L141" i="6"/>
  <c r="BK140" i="6"/>
  <c r="BJ140" i="6"/>
  <c r="L140" i="6"/>
  <c r="BK139" i="6"/>
  <c r="BJ139" i="6"/>
  <c r="L139" i="6"/>
  <c r="BK138" i="6"/>
  <c r="BJ138" i="6"/>
  <c r="L138" i="6"/>
  <c r="BK137" i="6"/>
  <c r="BJ137" i="6"/>
  <c r="L137" i="6"/>
  <c r="BK136" i="6"/>
  <c r="BJ136" i="6"/>
  <c r="L136" i="6"/>
  <c r="BK135" i="6"/>
  <c r="BJ135" i="6"/>
  <c r="L135" i="6"/>
  <c r="BK134" i="6"/>
  <c r="BJ134" i="6"/>
  <c r="L134" i="6"/>
  <c r="BK133" i="6"/>
  <c r="BJ133" i="6"/>
  <c r="L133" i="6"/>
  <c r="BK132" i="6"/>
  <c r="BJ132" i="6"/>
  <c r="L132" i="6"/>
  <c r="BK131" i="6"/>
  <c r="BJ131" i="6"/>
  <c r="L131" i="6"/>
  <c r="M131" i="6" s="1"/>
  <c r="BK130" i="6"/>
  <c r="BJ130" i="6"/>
  <c r="L130" i="6"/>
  <c r="BK129" i="6"/>
  <c r="BJ129" i="6"/>
  <c r="L129" i="6"/>
  <c r="BK128" i="6"/>
  <c r="BJ128" i="6"/>
  <c r="L128" i="6"/>
  <c r="BK127" i="6"/>
  <c r="BJ127" i="6"/>
  <c r="L127" i="6"/>
  <c r="BK126" i="6"/>
  <c r="BJ126" i="6"/>
  <c r="L126" i="6"/>
  <c r="BK125" i="6"/>
  <c r="BJ125" i="6"/>
  <c r="L125" i="6"/>
  <c r="BK124" i="6"/>
  <c r="BJ124" i="6"/>
  <c r="L124" i="6"/>
  <c r="BK123" i="6"/>
  <c r="BJ123" i="6"/>
  <c r="L123" i="6"/>
  <c r="BK122" i="6"/>
  <c r="BJ122" i="6"/>
  <c r="L122" i="6"/>
  <c r="BK121" i="6"/>
  <c r="BJ121" i="6"/>
  <c r="L121" i="6"/>
  <c r="BK120" i="6"/>
  <c r="BJ120" i="6"/>
  <c r="L120" i="6"/>
  <c r="BK119" i="6"/>
  <c r="BJ119" i="6"/>
  <c r="L119" i="6"/>
  <c r="BK118" i="6"/>
  <c r="BJ118" i="6"/>
  <c r="L118" i="6"/>
  <c r="BK117" i="6"/>
  <c r="BJ117" i="6"/>
  <c r="L117" i="6"/>
  <c r="BK116" i="6"/>
  <c r="BJ116" i="6"/>
  <c r="L116" i="6"/>
  <c r="BK115" i="6"/>
  <c r="BJ115" i="6"/>
  <c r="L115" i="6"/>
  <c r="BK114" i="6"/>
  <c r="BJ114" i="6"/>
  <c r="L114" i="6"/>
  <c r="BK113" i="6"/>
  <c r="BJ113" i="6"/>
  <c r="L113" i="6"/>
  <c r="BK112" i="6"/>
  <c r="BJ112" i="6"/>
  <c r="L112" i="6"/>
  <c r="BK111" i="6"/>
  <c r="BJ111" i="6"/>
  <c r="L111" i="6"/>
  <c r="BK110" i="6"/>
  <c r="BJ110" i="6"/>
  <c r="L110" i="6"/>
  <c r="BK109" i="6"/>
  <c r="BJ109" i="6"/>
  <c r="L109" i="6"/>
  <c r="BK108" i="6"/>
  <c r="BJ108" i="6"/>
  <c r="L108" i="6"/>
  <c r="BK107" i="6"/>
  <c r="BJ107" i="6"/>
  <c r="L107" i="6"/>
  <c r="BK106" i="6"/>
  <c r="BJ106" i="6"/>
  <c r="L106" i="6"/>
  <c r="BK105" i="6"/>
  <c r="BJ105" i="6"/>
  <c r="L105" i="6"/>
  <c r="BK104" i="6"/>
  <c r="BJ104" i="6"/>
  <c r="L104" i="6"/>
  <c r="BK103" i="6"/>
  <c r="BJ103" i="6"/>
  <c r="L103" i="6"/>
  <c r="BK102" i="6"/>
  <c r="BJ102" i="6"/>
  <c r="L102" i="6"/>
  <c r="BK101" i="6"/>
  <c r="BJ101" i="6"/>
  <c r="L101" i="6"/>
  <c r="BK100" i="6"/>
  <c r="BJ100" i="6"/>
  <c r="L100" i="6"/>
  <c r="BK99" i="6"/>
  <c r="BJ99" i="6"/>
  <c r="L99" i="6"/>
  <c r="BK98" i="6"/>
  <c r="BJ98" i="6"/>
  <c r="L98" i="6"/>
  <c r="BK97" i="6"/>
  <c r="BJ97" i="6"/>
  <c r="L97" i="6"/>
  <c r="BK96" i="6"/>
  <c r="BJ96" i="6"/>
  <c r="L96" i="6"/>
  <c r="BK95" i="6"/>
  <c r="BJ95" i="6"/>
  <c r="L95" i="6"/>
  <c r="BK94" i="6"/>
  <c r="BJ94" i="6"/>
  <c r="L94" i="6"/>
  <c r="BK93" i="6"/>
  <c r="BJ93" i="6"/>
  <c r="L93" i="6"/>
  <c r="BK92" i="6"/>
  <c r="BJ92" i="6"/>
  <c r="L92" i="6"/>
  <c r="BK91" i="6"/>
  <c r="BJ91" i="6"/>
  <c r="L91" i="6"/>
  <c r="BK90" i="6"/>
  <c r="BJ90" i="6"/>
  <c r="L90" i="6"/>
  <c r="BK89" i="6"/>
  <c r="BJ89" i="6"/>
  <c r="L89" i="6"/>
  <c r="BK88" i="6"/>
  <c r="BJ88" i="6"/>
  <c r="L88" i="6"/>
  <c r="BK87" i="6"/>
  <c r="BJ87" i="6"/>
  <c r="L87" i="6"/>
  <c r="BK86" i="6"/>
  <c r="BJ86" i="6"/>
  <c r="L86" i="6"/>
  <c r="BK85" i="6"/>
  <c r="BJ85" i="6"/>
  <c r="L85" i="6"/>
  <c r="BK84" i="6"/>
  <c r="BJ84" i="6"/>
  <c r="L84" i="6"/>
  <c r="BK83" i="6"/>
  <c r="BJ83" i="6"/>
  <c r="L83" i="6"/>
  <c r="BK82" i="6"/>
  <c r="BJ82" i="6"/>
  <c r="L82" i="6"/>
  <c r="BK81" i="6"/>
  <c r="BJ81" i="6"/>
  <c r="L81" i="6"/>
  <c r="BK80" i="6"/>
  <c r="BJ80" i="6"/>
  <c r="L80" i="6"/>
  <c r="BK79" i="6"/>
  <c r="BJ79" i="6"/>
  <c r="L79" i="6"/>
  <c r="BK78" i="6"/>
  <c r="BJ78" i="6"/>
  <c r="L78" i="6"/>
  <c r="BK77" i="6"/>
  <c r="BJ77" i="6"/>
  <c r="L77" i="6"/>
  <c r="BK76" i="6"/>
  <c r="BJ76" i="6"/>
  <c r="L76" i="6"/>
  <c r="BK75" i="6"/>
  <c r="BJ75" i="6"/>
  <c r="L75" i="6"/>
  <c r="BK74" i="6"/>
  <c r="BJ74" i="6"/>
  <c r="L74" i="6"/>
  <c r="BK73" i="6"/>
  <c r="BJ73" i="6"/>
  <c r="L73" i="6"/>
  <c r="BK72" i="6"/>
  <c r="BJ72" i="6"/>
  <c r="L72" i="6"/>
  <c r="BK71" i="6"/>
  <c r="BJ71" i="6"/>
  <c r="L71" i="6"/>
  <c r="BK70" i="6"/>
  <c r="BJ70" i="6"/>
  <c r="L70" i="6"/>
  <c r="BK69" i="6"/>
  <c r="BJ69" i="6"/>
  <c r="L69" i="6"/>
  <c r="BK68" i="6"/>
  <c r="BJ68" i="6"/>
  <c r="L68" i="6"/>
  <c r="BK67" i="6"/>
  <c r="BJ67" i="6"/>
  <c r="L67" i="6"/>
  <c r="BK66" i="6"/>
  <c r="BJ66" i="6"/>
  <c r="L66" i="6"/>
  <c r="BK65" i="6"/>
  <c r="BJ65" i="6"/>
  <c r="L65" i="6"/>
  <c r="BK64" i="6"/>
  <c r="BJ64" i="6"/>
  <c r="L64" i="6"/>
  <c r="BK63" i="6"/>
  <c r="BJ63" i="6"/>
  <c r="L63" i="6"/>
  <c r="BK62" i="6"/>
  <c r="BJ62" i="6"/>
  <c r="L62" i="6"/>
  <c r="BK61" i="6"/>
  <c r="BJ61" i="6"/>
  <c r="L61" i="6"/>
  <c r="BK60" i="6"/>
  <c r="BJ60" i="6"/>
  <c r="L60" i="6"/>
  <c r="BK59" i="6"/>
  <c r="BJ59" i="6"/>
  <c r="L59" i="6"/>
  <c r="BK58" i="6"/>
  <c r="BJ58" i="6"/>
  <c r="L58" i="6"/>
  <c r="BK57" i="6"/>
  <c r="BJ57" i="6"/>
  <c r="L57" i="6"/>
  <c r="BK56" i="6"/>
  <c r="BJ56" i="6"/>
  <c r="L56" i="6"/>
  <c r="BK55" i="6"/>
  <c r="BJ55" i="6"/>
  <c r="L55" i="6"/>
  <c r="BK54" i="6"/>
  <c r="BJ54" i="6"/>
  <c r="L54" i="6"/>
  <c r="BK53" i="6"/>
  <c r="BJ53" i="6"/>
  <c r="L53" i="6"/>
  <c r="BK52" i="6"/>
  <c r="BJ52" i="6"/>
  <c r="L52" i="6"/>
  <c r="BK51" i="6"/>
  <c r="BJ51" i="6"/>
  <c r="L51" i="6"/>
  <c r="BK50" i="6"/>
  <c r="BJ50" i="6"/>
  <c r="L50" i="6"/>
  <c r="BK49" i="6"/>
  <c r="BJ49" i="6"/>
  <c r="L49" i="6"/>
  <c r="BK48" i="6"/>
  <c r="BJ48" i="6"/>
  <c r="L48" i="6"/>
  <c r="BK47" i="6"/>
  <c r="BJ47" i="6"/>
  <c r="L47" i="6"/>
  <c r="BK46" i="6"/>
  <c r="BJ46" i="6"/>
  <c r="L46" i="6"/>
  <c r="BK45" i="6"/>
  <c r="BJ45" i="6"/>
  <c r="L45" i="6"/>
  <c r="BK44" i="6"/>
  <c r="BJ44" i="6"/>
  <c r="L44" i="6"/>
  <c r="BK43" i="6"/>
  <c r="BJ43" i="6"/>
  <c r="L43" i="6"/>
  <c r="BK42" i="6"/>
  <c r="BJ42" i="6"/>
  <c r="L42" i="6"/>
  <c r="BK41" i="6"/>
  <c r="BJ41" i="6"/>
  <c r="L41" i="6"/>
  <c r="BK40" i="6"/>
  <c r="BJ40" i="6"/>
  <c r="L40" i="6"/>
  <c r="BK39" i="6"/>
  <c r="BJ39" i="6"/>
  <c r="L39" i="6"/>
  <c r="BK38" i="6"/>
  <c r="BJ38" i="6"/>
  <c r="L38" i="6"/>
  <c r="BK37" i="6"/>
  <c r="BJ37" i="6"/>
  <c r="L37" i="6"/>
  <c r="BK36" i="6"/>
  <c r="BJ36" i="6"/>
  <c r="L36" i="6"/>
  <c r="BK35" i="6"/>
  <c r="BJ35" i="6"/>
  <c r="L35" i="6"/>
  <c r="BK34" i="6"/>
  <c r="BJ34" i="6"/>
  <c r="L34" i="6"/>
  <c r="BK33" i="6"/>
  <c r="BJ33" i="6"/>
  <c r="L33" i="6"/>
  <c r="BK32" i="6"/>
  <c r="BJ32" i="6"/>
  <c r="L32" i="6"/>
  <c r="BK31" i="6"/>
  <c r="BJ31" i="6"/>
  <c r="L31" i="6"/>
  <c r="BK30" i="6"/>
  <c r="BJ30" i="6"/>
  <c r="L30" i="6"/>
  <c r="X28" i="6"/>
  <c r="W28" i="6"/>
  <c r="V28" i="6"/>
  <c r="U28" i="6"/>
  <c r="T28" i="6"/>
  <c r="S28" i="6"/>
  <c r="R28" i="6"/>
  <c r="Q28" i="6"/>
  <c r="P28" i="6"/>
  <c r="O28" i="6"/>
  <c r="N28" i="6"/>
  <c r="BG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Y68" i="4"/>
  <c r="AX68" i="4"/>
  <c r="L68" i="4"/>
  <c r="M68" i="4" s="1"/>
  <c r="AY67" i="4"/>
  <c r="AX67" i="4"/>
  <c r="L67" i="4"/>
  <c r="M67" i="4" s="1"/>
  <c r="AY66" i="4"/>
  <c r="AX66" i="4"/>
  <c r="L66" i="4"/>
  <c r="M66" i="4" s="1"/>
  <c r="AY65" i="4"/>
  <c r="AX65" i="4"/>
  <c r="L65" i="4"/>
  <c r="M65" i="4" s="1"/>
  <c r="AY64" i="4"/>
  <c r="AX64" i="4"/>
  <c r="L64" i="4"/>
  <c r="M64" i="4" s="1"/>
  <c r="AY63" i="4"/>
  <c r="AX63" i="4"/>
  <c r="L63" i="4"/>
  <c r="M63" i="4" s="1"/>
  <c r="AY62" i="4"/>
  <c r="AX62" i="4"/>
  <c r="L62" i="4"/>
  <c r="M62" i="4" s="1"/>
  <c r="AY61" i="4"/>
  <c r="AX61" i="4"/>
  <c r="L61" i="4"/>
  <c r="M61" i="4" s="1"/>
  <c r="AY60" i="4"/>
  <c r="AX60" i="4"/>
  <c r="L60" i="4"/>
  <c r="M60" i="4" s="1"/>
  <c r="AY59" i="4"/>
  <c r="AX59" i="4"/>
  <c r="L59" i="4"/>
  <c r="M59" i="4" s="1"/>
  <c r="AY58" i="4"/>
  <c r="AX58" i="4"/>
  <c r="L58" i="4"/>
  <c r="M58" i="4" s="1"/>
  <c r="AY55" i="4"/>
  <c r="AX55" i="4"/>
  <c r="L55" i="4"/>
  <c r="M55" i="4" s="1"/>
  <c r="AY54" i="4"/>
  <c r="AX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Y325" i="4"/>
  <c r="AX325" i="4"/>
  <c r="L325" i="4"/>
  <c r="AY324" i="4"/>
  <c r="AX324" i="4"/>
  <c r="L324" i="4"/>
  <c r="AY323" i="4"/>
  <c r="AX323" i="4"/>
  <c r="L323" i="4"/>
  <c r="AY322" i="4"/>
  <c r="AX322" i="4"/>
  <c r="L322" i="4"/>
  <c r="AY321" i="4"/>
  <c r="AX321" i="4"/>
  <c r="L321" i="4"/>
  <c r="AY320" i="4"/>
  <c r="AX320" i="4"/>
  <c r="L320" i="4"/>
  <c r="AY319" i="4"/>
  <c r="AX319" i="4"/>
  <c r="L319" i="4"/>
  <c r="AY318" i="4"/>
  <c r="AX318" i="4"/>
  <c r="L318" i="4"/>
  <c r="AY317" i="4"/>
  <c r="AX317" i="4"/>
  <c r="L317" i="4"/>
  <c r="AY316" i="4"/>
  <c r="AX316" i="4"/>
  <c r="L316" i="4"/>
  <c r="AY315" i="4"/>
  <c r="AX315" i="4"/>
  <c r="L315" i="4"/>
  <c r="AY314" i="4"/>
  <c r="AX314" i="4"/>
  <c r="L314" i="4"/>
  <c r="AY313" i="4"/>
  <c r="AX313" i="4"/>
  <c r="L313" i="4"/>
  <c r="AY312" i="4"/>
  <c r="AX312" i="4"/>
  <c r="L312" i="4"/>
  <c r="AY311" i="4"/>
  <c r="AX311" i="4"/>
  <c r="L311" i="4"/>
  <c r="AY310" i="4"/>
  <c r="AX310" i="4"/>
  <c r="L310" i="4"/>
  <c r="AY309" i="4"/>
  <c r="AX309" i="4"/>
  <c r="L309" i="4"/>
  <c r="AY308" i="4"/>
  <c r="AX308" i="4"/>
  <c r="L308" i="4"/>
  <c r="AY307" i="4"/>
  <c r="AX307" i="4"/>
  <c r="L307" i="4"/>
  <c r="AY306" i="4"/>
  <c r="AX306" i="4"/>
  <c r="L306" i="4"/>
  <c r="AY305" i="4"/>
  <c r="AX305" i="4"/>
  <c r="L305" i="4"/>
  <c r="AY304" i="4"/>
  <c r="AX304" i="4"/>
  <c r="L304" i="4"/>
  <c r="AY303" i="4"/>
  <c r="AX303" i="4"/>
  <c r="L303" i="4"/>
  <c r="AY302" i="4"/>
  <c r="AX302" i="4"/>
  <c r="L302" i="4"/>
  <c r="AY301" i="4"/>
  <c r="AX301" i="4"/>
  <c r="L301" i="4"/>
  <c r="AY300" i="4"/>
  <c r="AX300" i="4"/>
  <c r="L300" i="4"/>
  <c r="AY299" i="4"/>
  <c r="AX299" i="4"/>
  <c r="L299" i="4"/>
  <c r="AY298" i="4"/>
  <c r="AX298" i="4"/>
  <c r="L298" i="4"/>
  <c r="AY297" i="4"/>
  <c r="AX297" i="4"/>
  <c r="L297" i="4"/>
  <c r="AY296" i="4"/>
  <c r="AX296" i="4"/>
  <c r="L296" i="4"/>
  <c r="AY295" i="4"/>
  <c r="AX295" i="4"/>
  <c r="L295" i="4"/>
  <c r="AY294" i="4"/>
  <c r="AX294" i="4"/>
  <c r="L294" i="4"/>
  <c r="AY293" i="4"/>
  <c r="AX293" i="4"/>
  <c r="L293" i="4"/>
  <c r="AY292" i="4"/>
  <c r="AX292" i="4"/>
  <c r="L292" i="4"/>
  <c r="AY291" i="4"/>
  <c r="AX291" i="4"/>
  <c r="L291" i="4"/>
  <c r="AY290" i="4"/>
  <c r="AX290" i="4"/>
  <c r="L290" i="4"/>
  <c r="AY289" i="4"/>
  <c r="AX289" i="4"/>
  <c r="L289" i="4"/>
  <c r="AY288" i="4"/>
  <c r="AX288" i="4"/>
  <c r="L288" i="4"/>
  <c r="M288" i="4" s="1"/>
  <c r="AY287" i="4"/>
  <c r="AX287" i="4"/>
  <c r="L287" i="4"/>
  <c r="AY286" i="4"/>
  <c r="AX286" i="4"/>
  <c r="L286" i="4"/>
  <c r="M286" i="4" s="1"/>
  <c r="AY285" i="4"/>
  <c r="AX285" i="4"/>
  <c r="L285" i="4"/>
  <c r="M285" i="4" s="1"/>
  <c r="AY284" i="4"/>
  <c r="AX284" i="4"/>
  <c r="L284" i="4"/>
  <c r="AY283" i="4"/>
  <c r="AX283" i="4"/>
  <c r="L283" i="4"/>
  <c r="AY282" i="4"/>
  <c r="AX282" i="4"/>
  <c r="L282" i="4"/>
  <c r="AY281" i="4"/>
  <c r="AX281" i="4"/>
  <c r="L281" i="4"/>
  <c r="AY280" i="4"/>
  <c r="AX280" i="4"/>
  <c r="L280" i="4"/>
  <c r="AY279" i="4"/>
  <c r="AX279" i="4"/>
  <c r="L279" i="4"/>
  <c r="AY278" i="4"/>
  <c r="AX278" i="4"/>
  <c r="L278" i="4"/>
  <c r="AY277" i="4"/>
  <c r="AX277" i="4"/>
  <c r="L277" i="4"/>
  <c r="AY276" i="4"/>
  <c r="AX276" i="4"/>
  <c r="L276" i="4"/>
  <c r="AY275" i="4"/>
  <c r="AX275" i="4"/>
  <c r="L275" i="4"/>
  <c r="AY274" i="4"/>
  <c r="AX274" i="4"/>
  <c r="L274" i="4"/>
  <c r="AY273" i="4"/>
  <c r="AX273" i="4"/>
  <c r="L273" i="4"/>
  <c r="AY272" i="4"/>
  <c r="AX272" i="4"/>
  <c r="L272" i="4"/>
  <c r="AY271" i="4"/>
  <c r="AX271" i="4"/>
  <c r="L271" i="4"/>
  <c r="AY270" i="4"/>
  <c r="AX270" i="4"/>
  <c r="L270" i="4"/>
  <c r="AY269" i="4"/>
  <c r="AX269" i="4"/>
  <c r="L269" i="4"/>
  <c r="AY268" i="4"/>
  <c r="AX268" i="4"/>
  <c r="L268" i="4"/>
  <c r="AY267" i="4"/>
  <c r="AX267" i="4"/>
  <c r="L267" i="4"/>
  <c r="AY266" i="4"/>
  <c r="AX266" i="4"/>
  <c r="L266" i="4"/>
  <c r="AY265" i="4"/>
  <c r="AX265" i="4"/>
  <c r="L265" i="4"/>
  <c r="AY264" i="4"/>
  <c r="AX264" i="4"/>
  <c r="L264" i="4"/>
  <c r="AY263" i="4"/>
  <c r="AX263" i="4"/>
  <c r="L263" i="4"/>
  <c r="AY262" i="4"/>
  <c r="AX262" i="4"/>
  <c r="L262" i="4"/>
  <c r="AY261" i="4"/>
  <c r="AX261" i="4"/>
  <c r="L261" i="4"/>
  <c r="AY260" i="4"/>
  <c r="AX260" i="4"/>
  <c r="L260" i="4"/>
  <c r="AY259" i="4"/>
  <c r="AX259" i="4"/>
  <c r="L259" i="4"/>
  <c r="AY258" i="4"/>
  <c r="AX258" i="4"/>
  <c r="L258" i="4"/>
  <c r="AY257" i="4"/>
  <c r="AX257" i="4"/>
  <c r="L257" i="4"/>
  <c r="AY256" i="4"/>
  <c r="AX256" i="4"/>
  <c r="L256" i="4"/>
  <c r="AY255" i="4"/>
  <c r="AX255" i="4"/>
  <c r="L255" i="4"/>
  <c r="AY254" i="4"/>
  <c r="AX254" i="4"/>
  <c r="L254" i="4"/>
  <c r="AY253" i="4"/>
  <c r="AX253" i="4"/>
  <c r="L253" i="4"/>
  <c r="AY252" i="4"/>
  <c r="AX252" i="4"/>
  <c r="L252" i="4"/>
  <c r="AY251" i="4"/>
  <c r="AX251" i="4"/>
  <c r="L251" i="4"/>
  <c r="AY250" i="4"/>
  <c r="AX250" i="4"/>
  <c r="L250" i="4"/>
  <c r="AY249" i="4"/>
  <c r="AX249" i="4"/>
  <c r="L249" i="4"/>
  <c r="AY248" i="4"/>
  <c r="AX248" i="4"/>
  <c r="L248" i="4"/>
  <c r="AY247" i="4"/>
  <c r="AX247" i="4"/>
  <c r="L247" i="4"/>
  <c r="AY246" i="4"/>
  <c r="AX246" i="4"/>
  <c r="L246" i="4"/>
  <c r="AY245" i="4"/>
  <c r="AX245" i="4"/>
  <c r="L245" i="4"/>
  <c r="AY244" i="4"/>
  <c r="AX244" i="4"/>
  <c r="L244" i="4"/>
  <c r="AY243" i="4"/>
  <c r="AX243" i="4"/>
  <c r="L243" i="4"/>
  <c r="AY242" i="4"/>
  <c r="AX242" i="4"/>
  <c r="L242" i="4"/>
  <c r="AY241" i="4"/>
  <c r="AX241" i="4"/>
  <c r="L241" i="4"/>
  <c r="AY240" i="4"/>
  <c r="AX240" i="4"/>
  <c r="L240" i="4"/>
  <c r="AY239" i="4"/>
  <c r="AX239" i="4"/>
  <c r="L239" i="4"/>
  <c r="AY238" i="4"/>
  <c r="AX238" i="4"/>
  <c r="L238" i="4"/>
  <c r="AY237" i="4"/>
  <c r="AX237" i="4"/>
  <c r="L237" i="4"/>
  <c r="AY236" i="4"/>
  <c r="AX236" i="4"/>
  <c r="L236" i="4"/>
  <c r="AY235" i="4"/>
  <c r="AX235" i="4"/>
  <c r="L235" i="4"/>
  <c r="AY234" i="4"/>
  <c r="AX234" i="4"/>
  <c r="L234" i="4"/>
  <c r="AY233" i="4"/>
  <c r="AX233" i="4"/>
  <c r="L233" i="4"/>
  <c r="AY232" i="4"/>
  <c r="AX232" i="4"/>
  <c r="L232" i="4"/>
  <c r="AY231" i="4"/>
  <c r="AX231" i="4"/>
  <c r="L231" i="4"/>
  <c r="AY230" i="4"/>
  <c r="AX230" i="4"/>
  <c r="L230" i="4"/>
  <c r="AY229" i="4"/>
  <c r="AX229" i="4"/>
  <c r="L229" i="4"/>
  <c r="AY228" i="4"/>
  <c r="AX228" i="4"/>
  <c r="L228" i="4"/>
  <c r="AY227" i="4"/>
  <c r="AX227" i="4"/>
  <c r="L227" i="4"/>
  <c r="AY226" i="4"/>
  <c r="AX226" i="4"/>
  <c r="L226" i="4"/>
  <c r="AY225" i="4"/>
  <c r="AX225" i="4"/>
  <c r="L225" i="4"/>
  <c r="AY224" i="4"/>
  <c r="AX224" i="4"/>
  <c r="L224" i="4"/>
  <c r="AY223" i="4"/>
  <c r="AX223" i="4"/>
  <c r="L223" i="4"/>
  <c r="AY222" i="4"/>
  <c r="AX222" i="4"/>
  <c r="L222" i="4"/>
  <c r="AY221" i="4"/>
  <c r="AX221" i="4"/>
  <c r="L221" i="4"/>
  <c r="AY220" i="4"/>
  <c r="AX220" i="4"/>
  <c r="L220" i="4"/>
  <c r="AY219" i="4"/>
  <c r="AX219" i="4"/>
  <c r="L219" i="4"/>
  <c r="AY218" i="4"/>
  <c r="AX218" i="4"/>
  <c r="L218" i="4"/>
  <c r="AY217" i="4"/>
  <c r="AX217" i="4"/>
  <c r="L217" i="4"/>
  <c r="AY216" i="4"/>
  <c r="AX216" i="4"/>
  <c r="L216" i="4"/>
  <c r="AY215" i="4"/>
  <c r="AX215" i="4"/>
  <c r="L215" i="4"/>
  <c r="AY214" i="4"/>
  <c r="AX214" i="4"/>
  <c r="L214" i="4"/>
  <c r="AY213" i="4"/>
  <c r="AX213" i="4"/>
  <c r="L213" i="4"/>
  <c r="AY212" i="4"/>
  <c r="AX212" i="4"/>
  <c r="L212" i="4"/>
  <c r="AY211" i="4"/>
  <c r="AX211" i="4"/>
  <c r="L211" i="4"/>
  <c r="AY210" i="4"/>
  <c r="AX210" i="4"/>
  <c r="L210" i="4"/>
  <c r="AY209" i="4"/>
  <c r="AX209" i="4"/>
  <c r="L209" i="4"/>
  <c r="AY208" i="4"/>
  <c r="AX208" i="4"/>
  <c r="L208" i="4"/>
  <c r="AY207" i="4"/>
  <c r="AX207" i="4"/>
  <c r="L207" i="4"/>
  <c r="AY206" i="4"/>
  <c r="AX206" i="4"/>
  <c r="L206" i="4"/>
  <c r="AY205" i="4"/>
  <c r="AX205" i="4"/>
  <c r="L205" i="4"/>
  <c r="AY204" i="4"/>
  <c r="AX204" i="4"/>
  <c r="L204" i="4"/>
  <c r="AY203" i="4"/>
  <c r="AX203" i="4"/>
  <c r="L203" i="4"/>
  <c r="AY202" i="4"/>
  <c r="AX202" i="4"/>
  <c r="L202" i="4"/>
  <c r="AY201" i="4"/>
  <c r="AX201" i="4"/>
  <c r="L201" i="4"/>
  <c r="AY200" i="4"/>
  <c r="AX200" i="4"/>
  <c r="L200" i="4"/>
  <c r="AY199" i="4"/>
  <c r="AX199" i="4"/>
  <c r="L199" i="4"/>
  <c r="AY198" i="4"/>
  <c r="AX198" i="4"/>
  <c r="L198" i="4"/>
  <c r="AY197" i="4"/>
  <c r="AX197" i="4"/>
  <c r="L197" i="4"/>
  <c r="AY196" i="4"/>
  <c r="AX196" i="4"/>
  <c r="L196" i="4"/>
  <c r="AY195" i="4"/>
  <c r="AX195" i="4"/>
  <c r="L195" i="4"/>
  <c r="AY194" i="4"/>
  <c r="AX194" i="4"/>
  <c r="L194" i="4"/>
  <c r="AY193" i="4"/>
  <c r="AX193" i="4"/>
  <c r="L193" i="4"/>
  <c r="AY192" i="4"/>
  <c r="AX192" i="4"/>
  <c r="L192" i="4"/>
  <c r="AY191" i="4"/>
  <c r="AX191" i="4"/>
  <c r="L191" i="4"/>
  <c r="AY190" i="4"/>
  <c r="AX190" i="4"/>
  <c r="L190" i="4"/>
  <c r="AY189" i="4"/>
  <c r="AX189" i="4"/>
  <c r="L189" i="4"/>
  <c r="M189" i="4" s="1"/>
  <c r="AY188" i="4"/>
  <c r="AX188" i="4"/>
  <c r="L188" i="4"/>
  <c r="AY187" i="4"/>
  <c r="AX187" i="4"/>
  <c r="L187" i="4"/>
  <c r="AY186" i="4"/>
  <c r="AX186" i="4"/>
  <c r="L186" i="4"/>
  <c r="AY185" i="4"/>
  <c r="AX185" i="4"/>
  <c r="L185" i="4"/>
  <c r="AY184" i="4"/>
  <c r="AX184" i="4"/>
  <c r="L184" i="4"/>
  <c r="AY183" i="4"/>
  <c r="AX183" i="4"/>
  <c r="L183" i="4"/>
  <c r="AY182" i="4"/>
  <c r="AX182" i="4"/>
  <c r="L182" i="4"/>
  <c r="AY181" i="4"/>
  <c r="AX181" i="4"/>
  <c r="L181" i="4"/>
  <c r="AY180" i="4"/>
  <c r="AX180" i="4"/>
  <c r="L180" i="4"/>
  <c r="AY179" i="4"/>
  <c r="AX179" i="4"/>
  <c r="L179" i="4"/>
  <c r="AY178" i="4"/>
  <c r="AX178" i="4"/>
  <c r="L178" i="4"/>
  <c r="AY177" i="4"/>
  <c r="AX177" i="4"/>
  <c r="L177" i="4"/>
  <c r="M177" i="4" s="1"/>
  <c r="AY176" i="4"/>
  <c r="AX176" i="4"/>
  <c r="L176" i="4"/>
  <c r="AY175" i="4"/>
  <c r="AX175" i="4"/>
  <c r="L175" i="4"/>
  <c r="AY174" i="4"/>
  <c r="AX174" i="4"/>
  <c r="L174" i="4"/>
  <c r="AY173" i="4"/>
  <c r="AX173" i="4"/>
  <c r="L173" i="4"/>
  <c r="AY172" i="4"/>
  <c r="AX172" i="4"/>
  <c r="L172" i="4"/>
  <c r="AY171" i="4"/>
  <c r="AX171" i="4"/>
  <c r="L171" i="4"/>
  <c r="AY170" i="4"/>
  <c r="AX170" i="4"/>
  <c r="L170" i="4"/>
  <c r="AY169" i="4"/>
  <c r="AX169" i="4"/>
  <c r="L169" i="4"/>
  <c r="AY168" i="4"/>
  <c r="AX168" i="4"/>
  <c r="L168" i="4"/>
  <c r="AY167" i="4"/>
  <c r="AX167" i="4"/>
  <c r="L167" i="4"/>
  <c r="AY166" i="4"/>
  <c r="AX166" i="4"/>
  <c r="L166" i="4"/>
  <c r="AY165" i="4"/>
  <c r="AX165" i="4"/>
  <c r="L165" i="4"/>
  <c r="AY164" i="4"/>
  <c r="AX164" i="4"/>
  <c r="L164" i="4"/>
  <c r="AY163" i="4"/>
  <c r="AX163" i="4"/>
  <c r="L163" i="4"/>
  <c r="M163" i="4" s="1"/>
  <c r="AY162" i="4"/>
  <c r="AX162" i="4"/>
  <c r="L162" i="4"/>
  <c r="AY161" i="4"/>
  <c r="AX161" i="4"/>
  <c r="L161" i="4"/>
  <c r="AY160" i="4"/>
  <c r="AX160" i="4"/>
  <c r="L160" i="4"/>
  <c r="AY159" i="4"/>
  <c r="AX159" i="4"/>
  <c r="L159" i="4"/>
  <c r="M159" i="4" s="1"/>
  <c r="AY158" i="4"/>
  <c r="AX158" i="4"/>
  <c r="L158" i="4"/>
  <c r="AY157" i="4"/>
  <c r="AX157" i="4"/>
  <c r="L157" i="4"/>
  <c r="AY156" i="4"/>
  <c r="AX156" i="4"/>
  <c r="L156" i="4"/>
  <c r="AY155" i="4"/>
  <c r="AX155" i="4"/>
  <c r="L155" i="4"/>
  <c r="AY154" i="4"/>
  <c r="AX154" i="4"/>
  <c r="L154" i="4"/>
  <c r="AY153" i="4"/>
  <c r="AX153" i="4"/>
  <c r="L153" i="4"/>
  <c r="AY152" i="4"/>
  <c r="AX152" i="4"/>
  <c r="L152" i="4"/>
  <c r="AY151" i="4"/>
  <c r="AX151" i="4"/>
  <c r="L151" i="4"/>
  <c r="AY150" i="4"/>
  <c r="AX150" i="4"/>
  <c r="L150" i="4"/>
  <c r="AY149" i="4"/>
  <c r="AX149" i="4"/>
  <c r="L149" i="4"/>
  <c r="AY148" i="4"/>
  <c r="AX148" i="4"/>
  <c r="L148" i="4"/>
  <c r="M148" i="4" s="1"/>
  <c r="AY147" i="4"/>
  <c r="AX147" i="4"/>
  <c r="L147" i="4"/>
  <c r="AY146" i="4"/>
  <c r="AX146" i="4"/>
  <c r="L146" i="4"/>
  <c r="AY145" i="4"/>
  <c r="AX145" i="4"/>
  <c r="L145" i="4"/>
  <c r="AY144" i="4"/>
  <c r="AX144" i="4"/>
  <c r="L144" i="4"/>
  <c r="M144" i="4" s="1"/>
  <c r="AY143" i="4"/>
  <c r="AX143" i="4"/>
  <c r="L143" i="4"/>
  <c r="AY142" i="4"/>
  <c r="AX142" i="4"/>
  <c r="L142" i="4"/>
  <c r="AY141" i="4"/>
  <c r="AX141" i="4"/>
  <c r="L141" i="4"/>
  <c r="AY140" i="4"/>
  <c r="AX140" i="4"/>
  <c r="L140" i="4"/>
  <c r="AY139" i="4"/>
  <c r="AX139" i="4"/>
  <c r="L139" i="4"/>
  <c r="AY138" i="4"/>
  <c r="AX138" i="4"/>
  <c r="L138" i="4"/>
  <c r="M138" i="4" s="1"/>
  <c r="AY137" i="4"/>
  <c r="AX137" i="4"/>
  <c r="L137" i="4"/>
  <c r="AY136" i="4"/>
  <c r="AX136" i="4"/>
  <c r="L136" i="4"/>
  <c r="AY135" i="4"/>
  <c r="AX135" i="4"/>
  <c r="L135" i="4"/>
  <c r="AY134" i="4"/>
  <c r="AX134" i="4"/>
  <c r="L134" i="4"/>
  <c r="AY133" i="4"/>
  <c r="AX133" i="4"/>
  <c r="L133" i="4"/>
  <c r="AY132" i="4"/>
  <c r="AX132" i="4"/>
  <c r="L132" i="4"/>
  <c r="M132" i="4" s="1"/>
  <c r="AY131" i="4"/>
  <c r="AX131" i="4"/>
  <c r="L131" i="4"/>
  <c r="AY130" i="4"/>
  <c r="AX130" i="4"/>
  <c r="L130" i="4"/>
  <c r="AY129" i="4"/>
  <c r="AX129" i="4"/>
  <c r="L129" i="4"/>
  <c r="AY128" i="4"/>
  <c r="AX128" i="4"/>
  <c r="L128" i="4"/>
  <c r="AY127" i="4"/>
  <c r="AX127" i="4"/>
  <c r="L127" i="4"/>
  <c r="AY126" i="4"/>
  <c r="AX126" i="4"/>
  <c r="L126" i="4"/>
  <c r="AY125" i="4"/>
  <c r="AX125" i="4"/>
  <c r="L125" i="4"/>
  <c r="AY124" i="4"/>
  <c r="AX124" i="4"/>
  <c r="L124" i="4"/>
  <c r="AY123" i="4"/>
  <c r="AX123" i="4"/>
  <c r="L123" i="4"/>
  <c r="AY122" i="4"/>
  <c r="AX122" i="4"/>
  <c r="L122" i="4"/>
  <c r="AY121" i="4"/>
  <c r="AX121" i="4"/>
  <c r="L121" i="4"/>
  <c r="AY120" i="4"/>
  <c r="AX120" i="4"/>
  <c r="L120" i="4"/>
  <c r="M120" i="4" s="1"/>
  <c r="AY119" i="4"/>
  <c r="AX119" i="4"/>
  <c r="L119" i="4"/>
  <c r="AY118" i="4"/>
  <c r="AX118" i="4"/>
  <c r="L118" i="4"/>
  <c r="M118" i="4" s="1"/>
  <c r="AY117" i="4"/>
  <c r="AX117" i="4"/>
  <c r="L117" i="4"/>
  <c r="AY116" i="4"/>
  <c r="AX116" i="4"/>
  <c r="L116" i="4"/>
  <c r="AY115" i="4"/>
  <c r="AX115" i="4"/>
  <c r="L115" i="4"/>
  <c r="AY114" i="4"/>
  <c r="AX114" i="4"/>
  <c r="L114" i="4"/>
  <c r="AY113" i="4"/>
  <c r="AX113" i="4"/>
  <c r="L113" i="4"/>
  <c r="AY112" i="4"/>
  <c r="AX112" i="4"/>
  <c r="L112" i="4"/>
  <c r="M112" i="4" s="1"/>
  <c r="AY111" i="4"/>
  <c r="AX111" i="4"/>
  <c r="L111" i="4"/>
  <c r="AY110" i="4"/>
  <c r="AX110" i="4"/>
  <c r="L110" i="4"/>
  <c r="AY109" i="4"/>
  <c r="AX109" i="4"/>
  <c r="L109" i="4"/>
  <c r="AY108" i="4"/>
  <c r="AX108" i="4"/>
  <c r="L108" i="4"/>
  <c r="AY107" i="4"/>
  <c r="AX107" i="4"/>
  <c r="L107" i="4"/>
  <c r="AY106" i="4"/>
  <c r="AX106" i="4"/>
  <c r="L106" i="4"/>
  <c r="AY105" i="4"/>
  <c r="AX105" i="4"/>
  <c r="L105" i="4"/>
  <c r="AY104" i="4"/>
  <c r="AX104" i="4"/>
  <c r="L104" i="4"/>
  <c r="AY103" i="4"/>
  <c r="AX103" i="4"/>
  <c r="L103" i="4"/>
  <c r="M103" i="4" s="1"/>
  <c r="AY102" i="4"/>
  <c r="AX102" i="4"/>
  <c r="L102" i="4"/>
  <c r="AY101" i="4"/>
  <c r="AX101" i="4"/>
  <c r="L101" i="4"/>
  <c r="AY100" i="4"/>
  <c r="AX100" i="4"/>
  <c r="L100" i="4"/>
  <c r="AY99" i="4"/>
  <c r="AX99" i="4"/>
  <c r="L99" i="4"/>
  <c r="M99" i="4" s="1"/>
  <c r="AY98" i="4"/>
  <c r="AX98" i="4"/>
  <c r="L98" i="4"/>
  <c r="AY97" i="4"/>
  <c r="AX97" i="4"/>
  <c r="L97" i="4"/>
  <c r="AY96" i="4"/>
  <c r="AX96" i="4"/>
  <c r="L96" i="4"/>
  <c r="M96" i="4" s="1"/>
  <c r="AY95" i="4"/>
  <c r="AX95" i="4"/>
  <c r="L95" i="4"/>
  <c r="AY94" i="4"/>
  <c r="AX94" i="4"/>
  <c r="L94" i="4"/>
  <c r="AY93" i="4"/>
  <c r="AX93" i="4"/>
  <c r="L93" i="4"/>
  <c r="M93" i="4" s="1"/>
  <c r="AY92" i="4"/>
  <c r="AX92" i="4"/>
  <c r="L92" i="4"/>
  <c r="AY91" i="4"/>
  <c r="AX91" i="4"/>
  <c r="L91" i="4"/>
  <c r="AY90" i="4"/>
  <c r="AX90" i="4"/>
  <c r="L90" i="4"/>
  <c r="M90" i="4" s="1"/>
  <c r="AY89" i="4"/>
  <c r="AX89" i="4"/>
  <c r="L89" i="4"/>
  <c r="AY88" i="4"/>
  <c r="AX88" i="4"/>
  <c r="L88" i="4"/>
  <c r="AY87" i="4"/>
  <c r="AX87" i="4"/>
  <c r="L87" i="4"/>
  <c r="M87" i="4" s="1"/>
  <c r="AY86" i="4"/>
  <c r="AX86" i="4"/>
  <c r="L86" i="4"/>
  <c r="AY85" i="4"/>
  <c r="AX85" i="4"/>
  <c r="L85" i="4"/>
  <c r="AY84" i="4"/>
  <c r="AX84" i="4"/>
  <c r="L84" i="4"/>
  <c r="AY83" i="4"/>
  <c r="AX83" i="4"/>
  <c r="L83" i="4"/>
  <c r="AY82" i="4"/>
  <c r="AX82" i="4"/>
  <c r="L82" i="4"/>
  <c r="M82" i="4" s="1"/>
  <c r="AY81" i="4"/>
  <c r="AX81" i="4"/>
  <c r="L81" i="4"/>
  <c r="AY80" i="4"/>
  <c r="AX80" i="4"/>
  <c r="L80" i="4"/>
  <c r="AY79" i="4"/>
  <c r="AX79" i="4"/>
  <c r="L79" i="4"/>
  <c r="AY78" i="4"/>
  <c r="AX78" i="4"/>
  <c r="L78" i="4"/>
  <c r="AY77" i="4"/>
  <c r="AX77" i="4"/>
  <c r="L77" i="4"/>
  <c r="AY76" i="4"/>
  <c r="AX76" i="4"/>
  <c r="L76" i="4"/>
  <c r="AY75" i="4"/>
  <c r="AX75" i="4"/>
  <c r="L75" i="4"/>
  <c r="AY74" i="4"/>
  <c r="AX74" i="4"/>
  <c r="L74" i="4"/>
  <c r="AY73" i="4"/>
  <c r="AX73" i="4"/>
  <c r="L73" i="4"/>
  <c r="AY72" i="4"/>
  <c r="AX72" i="4"/>
  <c r="L72" i="4"/>
  <c r="AY71" i="4"/>
  <c r="AX71" i="4"/>
  <c r="L71" i="4"/>
  <c r="AY70" i="4"/>
  <c r="AX70" i="4"/>
  <c r="L70" i="4"/>
  <c r="AY69" i="4"/>
  <c r="AX69" i="4"/>
  <c r="L69" i="4"/>
  <c r="AY57" i="4"/>
  <c r="AX57" i="4"/>
  <c r="L57" i="4"/>
  <c r="AY56" i="4"/>
  <c r="AX56" i="4"/>
  <c r="L56" i="4"/>
  <c r="AY53" i="4"/>
  <c r="AX53" i="4"/>
  <c r="L53" i="4"/>
  <c r="AY52" i="4"/>
  <c r="AX52" i="4"/>
  <c r="L52" i="4"/>
  <c r="AY51" i="4"/>
  <c r="AX51" i="4"/>
  <c r="L51" i="4"/>
  <c r="AY50" i="4"/>
  <c r="AX50" i="4"/>
  <c r="L50" i="4"/>
  <c r="AY49" i="4"/>
  <c r="AX49" i="4"/>
  <c r="L49" i="4"/>
  <c r="AY48" i="4"/>
  <c r="AX48" i="4"/>
  <c r="L48" i="4"/>
  <c r="AY47" i="4"/>
  <c r="AX47" i="4"/>
  <c r="L47" i="4"/>
  <c r="M47" i="4" s="1"/>
  <c r="AY46" i="4"/>
  <c r="AX46" i="4"/>
  <c r="L46" i="4"/>
  <c r="AY45" i="4"/>
  <c r="AX45" i="4"/>
  <c r="L45" i="4"/>
  <c r="AY44" i="4"/>
  <c r="AX44" i="4"/>
  <c r="L44" i="4"/>
  <c r="AY43" i="4"/>
  <c r="AX43" i="4"/>
  <c r="L43" i="4"/>
  <c r="AY42" i="4"/>
  <c r="AX42" i="4"/>
  <c r="L42" i="4"/>
  <c r="AY41" i="4"/>
  <c r="AX41" i="4"/>
  <c r="L41" i="4"/>
  <c r="AY40" i="4"/>
  <c r="AX40" i="4"/>
  <c r="L40" i="4"/>
  <c r="AY39" i="4"/>
  <c r="AX39" i="4"/>
  <c r="L39" i="4"/>
  <c r="AY38" i="4"/>
  <c r="AX38" i="4"/>
  <c r="L38" i="4"/>
  <c r="AY37" i="4"/>
  <c r="AX37" i="4"/>
  <c r="L37" i="4"/>
  <c r="AY36" i="4"/>
  <c r="AX36" i="4"/>
  <c r="L36" i="4"/>
  <c r="AY35" i="4"/>
  <c r="AX35" i="4"/>
  <c r="L35" i="4"/>
  <c r="AY34" i="4"/>
  <c r="AX34" i="4"/>
  <c r="L34" i="4"/>
  <c r="AY33" i="4"/>
  <c r="AX33" i="4"/>
  <c r="L33" i="4"/>
  <c r="AY32" i="4"/>
  <c r="AX32" i="4"/>
  <c r="L32" i="4"/>
  <c r="AY31" i="4"/>
  <c r="AX31" i="4"/>
  <c r="L31" i="4"/>
  <c r="AX30" i="4"/>
  <c r="L30" i="4"/>
  <c r="AU28" i="4"/>
  <c r="X28" i="4"/>
  <c r="W28" i="4"/>
  <c r="V28" i="4"/>
  <c r="U28" i="4"/>
  <c r="T28" i="4"/>
  <c r="S28" i="4"/>
  <c r="R28" i="4"/>
  <c r="Q28" i="4"/>
  <c r="P28" i="4"/>
  <c r="O28" i="4"/>
  <c r="N28" i="4"/>
  <c r="AU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346" i="5"/>
  <c r="T197" i="9"/>
  <c r="T167" i="9"/>
  <c r="T627" i="9"/>
  <c r="T148" i="9"/>
  <c r="T646" i="9"/>
  <c r="T62" i="9"/>
  <c r="T373" i="9"/>
  <c r="T556" i="9"/>
  <c r="T683" i="9"/>
  <c r="T615" i="9"/>
  <c r="T561" i="9"/>
  <c r="T422" i="9"/>
  <c r="T346" i="9"/>
  <c r="T604" i="9"/>
  <c r="T657" i="9"/>
  <c r="T555" i="9"/>
  <c r="T475" i="9"/>
  <c r="T359" i="9"/>
  <c r="T640" i="9"/>
  <c r="T476" i="9"/>
  <c r="T670" i="9"/>
  <c r="T215" i="9"/>
  <c r="T353" i="9"/>
  <c r="T97" i="9"/>
  <c r="T597" i="9"/>
  <c r="T631" i="9"/>
  <c r="T12" i="9"/>
  <c r="T620" i="9"/>
  <c r="T99" i="9"/>
  <c r="T575" i="9"/>
  <c r="T552" i="9"/>
  <c r="T662" i="9"/>
  <c r="T196" i="9"/>
  <c r="T378" i="9"/>
  <c r="T304" i="9"/>
  <c r="T564" i="9"/>
  <c r="T352" i="5"/>
  <c r="T302" i="9"/>
  <c r="T341" i="9"/>
  <c r="T170" i="9"/>
  <c r="T677" i="9"/>
  <c r="T380" i="9"/>
  <c r="T145" i="9"/>
  <c r="T248" i="9"/>
  <c r="T682" i="9"/>
  <c r="T340" i="9"/>
  <c r="T171" i="9"/>
  <c r="T634" i="9"/>
  <c r="T347" i="9"/>
  <c r="T632" i="9"/>
  <c r="T169" i="9"/>
  <c r="T602" i="9"/>
  <c r="T595" i="9"/>
  <c r="T213" i="9"/>
  <c r="T468" i="9"/>
  <c r="T619" i="9"/>
  <c r="T434" i="9"/>
  <c r="T362" i="5"/>
  <c r="T16" i="9"/>
  <c r="T59" i="9"/>
  <c r="T212" i="9"/>
  <c r="T557" i="9"/>
  <c r="T300" i="9"/>
  <c r="T596" i="9"/>
  <c r="T638" i="9"/>
  <c r="T453" i="9"/>
  <c r="T374" i="9"/>
  <c r="T578" i="9"/>
  <c r="T367" i="9"/>
  <c r="T297" i="9"/>
  <c r="T613" i="9"/>
  <c r="T570" i="9"/>
  <c r="T608" i="9"/>
  <c r="T193" i="9"/>
  <c r="T420" i="9"/>
  <c r="T102" i="9"/>
  <c r="T661" i="9"/>
  <c r="T15" i="9"/>
  <c r="T616" i="9"/>
  <c r="R5" i="6" a="1"/>
  <c r="T470" i="9"/>
  <c r="T471" i="9"/>
  <c r="T554" i="9"/>
  <c r="T664" i="9"/>
  <c r="T610" i="9"/>
  <c r="T593" i="9"/>
  <c r="T58" i="9"/>
  <c r="T474" i="9"/>
  <c r="T63" i="9"/>
  <c r="T594" i="9"/>
  <c r="T418" i="9"/>
  <c r="T210" i="9"/>
  <c r="T457" i="9"/>
  <c r="T587" i="9"/>
  <c r="T192" i="9"/>
  <c r="T166" i="9"/>
  <c r="T654" i="9"/>
  <c r="T655" i="9"/>
  <c r="T647" i="9"/>
  <c r="T98" i="9"/>
  <c r="T61" i="9"/>
  <c r="T560" i="9"/>
  <c r="T644" i="9"/>
  <c r="T341" i="5"/>
  <c r="T421" i="9"/>
  <c r="T585" i="9"/>
  <c r="T678" i="9"/>
  <c r="T660" i="9"/>
  <c r="T606" i="9"/>
  <c r="T358" i="5"/>
  <c r="T583" i="9"/>
  <c r="T383" i="9"/>
  <c r="T584" i="9"/>
  <c r="T342" i="9"/>
  <c r="T622" i="9"/>
  <c r="T567" i="9"/>
  <c r="T419" i="9"/>
  <c r="T671" i="9"/>
  <c r="T343" i="9"/>
  <c r="T411" i="9"/>
  <c r="T611" i="9"/>
  <c r="T581" i="9"/>
  <c r="T354" i="5"/>
  <c r="T599" i="9"/>
  <c r="T454" i="9"/>
  <c r="T325" i="9"/>
  <c r="T681" i="9"/>
  <c r="T298" i="9"/>
  <c r="T60" i="9"/>
  <c r="T473" i="9"/>
  <c r="T588" i="9"/>
  <c r="T669" i="9"/>
  <c r="T630" i="9"/>
  <c r="T456" i="9"/>
  <c r="T666" i="9"/>
  <c r="T621" i="9"/>
  <c r="T658" i="9"/>
  <c r="T645" i="9"/>
  <c r="T563" i="9"/>
  <c r="T600" i="9"/>
  <c r="T17" i="9"/>
  <c r="T458" i="9"/>
  <c r="T641" i="9"/>
  <c r="T194" i="9"/>
  <c r="T101" i="9"/>
  <c r="T191" i="9"/>
  <c r="T455" i="9"/>
  <c r="T172" i="9"/>
  <c r="T566" i="9"/>
  <c r="T628" i="9"/>
  <c r="T675" i="9"/>
  <c r="T586" i="9"/>
  <c r="T249" i="9"/>
  <c r="T403" i="9"/>
  <c r="T673" i="9"/>
  <c r="T651" i="9"/>
  <c r="T650" i="9"/>
  <c r="T195" i="9"/>
  <c r="T360" i="5"/>
  <c r="T612" i="9"/>
  <c r="T303" i="9"/>
  <c r="T344" i="9"/>
  <c r="T642" i="9"/>
  <c r="T417" i="9"/>
  <c r="T626" i="9"/>
  <c r="T301" i="9"/>
  <c r="T366" i="5"/>
  <c r="T576" i="9"/>
  <c r="T149" i="9"/>
  <c r="T435" i="9"/>
  <c r="T589" i="9"/>
  <c r="T685" i="9"/>
  <c r="T653" i="9"/>
  <c r="T579" i="9"/>
  <c r="T625" i="9"/>
  <c r="T444" i="9"/>
  <c r="T605" i="9"/>
  <c r="T150" i="9"/>
  <c r="T211" i="9"/>
  <c r="T299" i="9"/>
  <c r="T437" i="9"/>
  <c r="T553" i="9"/>
  <c r="T629" i="9"/>
  <c r="T572" i="9"/>
  <c r="T147" i="9"/>
  <c r="T376" i="9"/>
  <c r="T168" i="9"/>
  <c r="T649" i="9"/>
  <c r="T636" i="9"/>
  <c r="T558" i="9"/>
  <c r="T340" i="5"/>
  <c r="T356" i="5"/>
  <c r="T680" i="9"/>
  <c r="T439" i="9"/>
  <c r="T590" i="9"/>
  <c r="T350" i="5"/>
  <c r="T663" i="9"/>
  <c r="T441" i="9"/>
  <c r="T13" i="9"/>
  <c r="T618" i="9"/>
  <c r="T345" i="9"/>
  <c r="T14" i="9"/>
  <c r="T614" i="9"/>
  <c r="T214" i="9"/>
  <c r="T477" i="9"/>
  <c r="T438" i="9"/>
  <c r="T676" i="9"/>
  <c r="T377" i="9"/>
  <c r="T100" i="9"/>
  <c r="T574" i="9"/>
  <c r="T633" i="9"/>
  <c r="T667" i="9"/>
  <c r="T559" i="9"/>
  <c r="T679" i="9"/>
  <c r="T580" i="9"/>
  <c r="T569" i="9"/>
  <c r="T551" i="9"/>
  <c r="T384" i="9"/>
  <c r="T665" i="9"/>
  <c r="T394" i="9"/>
  <c r="T598" i="9"/>
  <c r="T469" i="9"/>
  <c r="T251" i="9"/>
  <c r="T375" i="9"/>
  <c r="T635" i="9"/>
  <c r="T672" i="9"/>
  <c r="T659" i="9"/>
  <c r="T624" i="9"/>
  <c r="T364" i="5"/>
  <c r="T573" i="9"/>
  <c r="T472" i="9"/>
  <c r="T416" i="9"/>
  <c r="T607" i="9"/>
  <c r="T348" i="5"/>
  <c r="T684" i="9"/>
  <c r="T146" i="9"/>
  <c r="T674" i="9"/>
  <c r="T648" i="9"/>
  <c r="T436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8" i="9"/>
  <c r="U58" i="9"/>
  <c r="AI58" i="9"/>
  <c r="AN58" i="9" s="1"/>
  <c r="AO58" i="9" s="1"/>
  <c r="AI376" i="9"/>
  <c r="AJ376" i="9" s="1"/>
  <c r="V376" i="9"/>
  <c r="U376" i="9"/>
  <c r="V682" i="9"/>
  <c r="V632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AI301" i="9"/>
  <c r="AJ301" i="9" s="1"/>
  <c r="V301" i="9"/>
  <c r="U301" i="9"/>
  <c r="V576" i="9"/>
  <c r="V588" i="9"/>
  <c r="AI647" i="9"/>
  <c r="AJ647" i="9" s="1"/>
  <c r="V647" i="9"/>
  <c r="U647" i="9"/>
  <c r="U627" i="9"/>
  <c r="V627" i="9"/>
  <c r="AI627" i="9"/>
  <c r="AJ627" i="9" s="1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AJ600" i="9" l="1"/>
  <c r="W603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366" i="5"/>
  <c r="AO366" i="5" s="1"/>
  <c r="AN148" i="9"/>
  <c r="AO148" i="9" s="1"/>
  <c r="AN677" i="9"/>
  <c r="AO677" i="9" s="1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AS600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Q634" i="9"/>
  <c r="AR633" i="9"/>
  <c r="N442" i="9"/>
  <c r="CF442" i="9"/>
  <c r="U665" i="9"/>
  <c r="CF665" i="9"/>
  <c r="N665" i="9"/>
  <c r="AI678" i="9"/>
  <c r="AJ678" i="9" s="1"/>
  <c r="L561" i="9"/>
  <c r="K562" i="9"/>
  <c r="CF652" i="9"/>
  <c r="N652" i="9"/>
  <c r="AW680" i="9"/>
  <c r="AV681" i="9"/>
  <c r="L666" i="9"/>
  <c r="K667" i="9"/>
  <c r="L667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CF305" i="9"/>
  <c r="N305" i="9"/>
  <c r="AG307" i="9"/>
  <c r="AH306" i="9"/>
  <c r="N461" i="9"/>
  <c r="CF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Q465" i="9"/>
  <c r="AR464" i="9"/>
  <c r="W339" i="5"/>
  <c r="AJ248" i="9"/>
  <c r="AS248" i="9"/>
  <c r="AT248" i="9" s="1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J197" i="9"/>
  <c r="AN197" i="9"/>
  <c r="AO197" i="9" s="1"/>
  <c r="AN150" i="9"/>
  <c r="AO150" i="9" s="1"/>
  <c r="AN172" i="9"/>
  <c r="AO172" i="9" s="1"/>
  <c r="AN215" i="9"/>
  <c r="AG221" i="9"/>
  <c r="AH220" i="9"/>
  <c r="AG199" i="9"/>
  <c r="AH198" i="9"/>
  <c r="AG106" i="9"/>
  <c r="AH105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Q253" i="5"/>
  <c r="AR252" i="5"/>
  <c r="AV317" i="5"/>
  <c r="AW317" i="5" s="1"/>
  <c r="AW316" i="5"/>
  <c r="AL62" i="5"/>
  <c r="AM61" i="5"/>
  <c r="AG187" i="5"/>
  <c r="AH186" i="5"/>
  <c r="AG211" i="5"/>
  <c r="AH210" i="5"/>
  <c r="AL37" i="5"/>
  <c r="AM36" i="5"/>
  <c r="AG193" i="5"/>
  <c r="AH192" i="5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G106" i="5"/>
  <c r="AH105" i="5"/>
  <c r="AL331" i="5"/>
  <c r="AM331" i="5" s="1"/>
  <c r="AM330" i="5"/>
  <c r="AG170" i="5"/>
  <c r="AH169" i="5"/>
  <c r="AQ259" i="5"/>
  <c r="AR258" i="5"/>
  <c r="AQ82" i="5"/>
  <c r="AR81" i="5"/>
  <c r="AG223" i="5"/>
  <c r="AH222" i="5"/>
  <c r="AG37" i="5"/>
  <c r="AH36" i="5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Q287" i="5"/>
  <c r="AR286" i="5"/>
  <c r="AL141" i="5"/>
  <c r="AM140" i="5"/>
  <c r="AV331" i="5"/>
  <c r="AW331" i="5" s="1"/>
  <c r="AW330" i="5"/>
  <c r="AG241" i="5"/>
  <c r="AH240" i="5"/>
  <c r="AQ18" i="5"/>
  <c r="AR17" i="5"/>
  <c r="AL72" i="5"/>
  <c r="AM71" i="5"/>
  <c r="AG199" i="5"/>
  <c r="AH198" i="5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H301" i="5"/>
  <c r="AQ121" i="5"/>
  <c r="AR120" i="5"/>
  <c r="AL259" i="5"/>
  <c r="AM258" i="5"/>
  <c r="AG117" i="5"/>
  <c r="AH117" i="5" s="1"/>
  <c r="AH116" i="5"/>
  <c r="AQ317" i="5"/>
  <c r="AR317" i="5" s="1"/>
  <c r="AR316" i="5"/>
  <c r="AL121" i="5"/>
  <c r="AM120" i="5"/>
  <c r="AV247" i="5"/>
  <c r="AW246" i="5"/>
  <c r="AG121" i="5"/>
  <c r="AH120" i="5"/>
  <c r="AQ42" i="5"/>
  <c r="AR41" i="5"/>
  <c r="AV211" i="5"/>
  <c r="AW210" i="5"/>
  <c r="AQ247" i="5"/>
  <c r="AR246" i="5"/>
  <c r="AQ106" i="5"/>
  <c r="AR105" i="5"/>
  <c r="AG317" i="5"/>
  <c r="AH317" i="5" s="1"/>
  <c r="AH316" i="5"/>
  <c r="AL223" i="5"/>
  <c r="AM222" i="5"/>
  <c r="AG14" i="5"/>
  <c r="AH14" i="5" s="1"/>
  <c r="AH13" i="5"/>
  <c r="AG42" i="5"/>
  <c r="AH41" i="5"/>
  <c r="AV187" i="5"/>
  <c r="AW186" i="5"/>
  <c r="AN340" i="5"/>
  <c r="AO340" i="5" s="1"/>
  <c r="AG247" i="5"/>
  <c r="AH246" i="5"/>
  <c r="AG72" i="5"/>
  <c r="AH71" i="5"/>
  <c r="AL302" i="5"/>
  <c r="AM302" i="5" s="1"/>
  <c r="AM301" i="5"/>
  <c r="AL77" i="5"/>
  <c r="AM76" i="5"/>
  <c r="AG229" i="5"/>
  <c r="AH228" i="5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G253" i="5"/>
  <c r="AH252" i="5"/>
  <c r="AG77" i="5"/>
  <c r="AH76" i="5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V52" i="5"/>
  <c r="AW51" i="5"/>
  <c r="AV302" i="5"/>
  <c r="AW302" i="5" s="1"/>
  <c r="AW301" i="5"/>
  <c r="AG95" i="5"/>
  <c r="AH94" i="5"/>
  <c r="AG141" i="5"/>
  <c r="AH140" i="5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V18" i="5"/>
  <c r="AW17" i="5"/>
  <c r="AL95" i="5"/>
  <c r="AM94" i="5"/>
  <c r="AG331" i="5"/>
  <c r="AH331" i="5" s="1"/>
  <c r="AH330" i="5"/>
  <c r="AV241" i="5"/>
  <c r="AW240" i="5"/>
  <c r="AV67" i="5"/>
  <c r="AW66" i="5"/>
  <c r="AV199" i="5"/>
  <c r="AW198" i="5"/>
  <c r="AG27" i="5"/>
  <c r="AH26" i="5"/>
  <c r="AV223" i="5"/>
  <c r="AW222" i="5"/>
  <c r="AG62" i="5"/>
  <c r="AH61" i="5"/>
  <c r="AV106" i="5"/>
  <c r="AW105" i="5"/>
  <c r="AG259" i="5"/>
  <c r="AH258" i="5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V77" i="5"/>
  <c r="AW76" i="5"/>
  <c r="AV117" i="5"/>
  <c r="AW117" i="5" s="1"/>
  <c r="AW116" i="5"/>
  <c r="AQ229" i="5"/>
  <c r="AR228" i="5"/>
  <c r="AL52" i="5"/>
  <c r="AM51" i="5"/>
  <c r="N106" i="5"/>
  <c r="N111" i="5"/>
  <c r="N109" i="5"/>
  <c r="N107" i="5"/>
  <c r="N112" i="5"/>
  <c r="N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L13" i="5"/>
  <c r="K200" i="5"/>
  <c r="L199" i="5"/>
  <c r="N12" i="5"/>
  <c r="CB12" i="5"/>
  <c r="N228" i="5"/>
  <c r="CB228" i="5"/>
  <c r="K230" i="5"/>
  <c r="L229" i="5"/>
  <c r="N41" i="5"/>
  <c r="CB41" i="5"/>
  <c r="N273" i="5"/>
  <c r="CB273" i="5"/>
  <c r="K43" i="5"/>
  <c r="L42" i="5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61" i="9"/>
  <c r="T151" i="5"/>
  <c r="T217" i="5"/>
  <c r="T344" i="5"/>
  <c r="T266" i="5"/>
  <c r="T306" i="5"/>
  <c r="T185" i="5"/>
  <c r="T317" i="5"/>
  <c r="T111" i="5"/>
  <c r="T231" i="9"/>
  <c r="T192" i="5"/>
  <c r="T29" i="5"/>
  <c r="T232" i="9"/>
  <c r="T249" i="5"/>
  <c r="T87" i="5"/>
  <c r="T298" i="5"/>
  <c r="T333" i="5"/>
  <c r="T245" i="9"/>
  <c r="T142" i="5"/>
  <c r="T215" i="5"/>
  <c r="T83" i="5"/>
  <c r="T103" i="9"/>
  <c r="T11" i="5"/>
  <c r="T259" i="5"/>
  <c r="T163" i="5"/>
  <c r="T162" i="5"/>
  <c r="T273" i="5"/>
  <c r="T128" i="5"/>
  <c r="T285" i="5"/>
  <c r="T157" i="5"/>
  <c r="T78" i="5"/>
  <c r="T225" i="5"/>
  <c r="T258" i="9"/>
  <c r="T193" i="5"/>
  <c r="T286" i="5"/>
  <c r="T255" i="9"/>
  <c r="T134" i="5"/>
  <c r="T37" i="5"/>
  <c r="T337" i="5"/>
  <c r="T95" i="5"/>
  <c r="T295" i="5"/>
  <c r="T119" i="5"/>
  <c r="T264" i="5"/>
  <c r="T160" i="5"/>
  <c r="T159" i="5"/>
  <c r="T268" i="9"/>
  <c r="T148" i="5"/>
  <c r="T262" i="9"/>
  <c r="T38" i="5"/>
  <c r="T177" i="5"/>
  <c r="T173" i="5"/>
  <c r="T288" i="5"/>
  <c r="T13" i="5"/>
  <c r="T43" i="5"/>
  <c r="T248" i="5"/>
  <c r="T257" i="9"/>
  <c r="T75" i="5"/>
  <c r="T263" i="9"/>
  <c r="T58" i="5"/>
  <c r="T100" i="5"/>
  <c r="T292" i="5"/>
  <c r="T94" i="5"/>
  <c r="T18" i="9"/>
  <c r="T40" i="5"/>
  <c r="T109" i="5"/>
  <c r="T235" i="5"/>
  <c r="T259" i="9"/>
  <c r="T56" i="5"/>
  <c r="T300" i="5"/>
  <c r="T321" i="5"/>
  <c r="T158" i="5"/>
  <c r="T189" i="5"/>
  <c r="T330" i="5"/>
  <c r="T238" i="9"/>
  <c r="T125" i="5"/>
  <c r="T313" i="5"/>
  <c r="T140" i="5"/>
  <c r="T42" i="5"/>
  <c r="T112" i="5"/>
  <c r="T237" i="9"/>
  <c r="T108" i="5"/>
  <c r="T46" i="5"/>
  <c r="T253" i="5"/>
  <c r="T124" i="5"/>
  <c r="T82" i="5"/>
  <c r="R5" i="4" a="1"/>
  <c r="T237" i="5"/>
  <c r="T71" i="5"/>
  <c r="T41" i="5"/>
  <c r="T305" i="9"/>
  <c r="T154" i="5"/>
  <c r="T183" i="5"/>
  <c r="T258" i="5"/>
  <c r="T68" i="5"/>
  <c r="T165" i="5"/>
  <c r="T122" i="5"/>
  <c r="T84" i="5"/>
  <c r="T197" i="5"/>
  <c r="T206" i="5"/>
  <c r="T205" i="5"/>
  <c r="T263" i="5"/>
  <c r="T230" i="9"/>
  <c r="T86" i="5"/>
  <c r="T166" i="5"/>
  <c r="T151" i="9"/>
  <c r="T133" i="5"/>
  <c r="T335" i="5"/>
  <c r="T150" i="5"/>
  <c r="T223" i="5"/>
  <c r="T310" i="5"/>
  <c r="T241" i="5"/>
  <c r="T235" i="9"/>
  <c r="T267" i="5"/>
  <c r="T66" i="5"/>
  <c r="T325" i="5"/>
  <c r="T104" i="5"/>
  <c r="T652" i="9"/>
  <c r="T194" i="5"/>
  <c r="T65" i="5"/>
  <c r="T168" i="5"/>
  <c r="T271" i="9"/>
  <c r="T60" i="5"/>
  <c r="T80" i="5"/>
  <c r="T113" i="5"/>
  <c r="T72" i="5"/>
  <c r="T90" i="5"/>
  <c r="T32" i="5"/>
  <c r="T216" i="9"/>
  <c r="T141" i="5"/>
  <c r="T178" i="5"/>
  <c r="T77" i="5"/>
  <c r="T120" i="5"/>
  <c r="T170" i="5"/>
  <c r="T459" i="9"/>
  <c r="T73" i="5"/>
  <c r="T319" i="5"/>
  <c r="T222" i="5"/>
  <c r="T20" i="5"/>
  <c r="T251" i="5"/>
  <c r="T25" i="5"/>
  <c r="T236" i="5"/>
  <c r="T297" i="5"/>
  <c r="T30" i="5"/>
  <c r="T207" i="5"/>
  <c r="T88" i="5"/>
  <c r="T234" i="5"/>
  <c r="T99" i="5"/>
  <c r="T182" i="5"/>
  <c r="T155" i="5"/>
  <c r="T276" i="9"/>
  <c r="T53" i="5"/>
  <c r="T55" i="5"/>
  <c r="T22" i="5"/>
  <c r="T91" i="5"/>
  <c r="T61" i="5"/>
  <c r="T269" i="5"/>
  <c r="T240" i="5"/>
  <c r="T101" i="5"/>
  <c r="T181" i="5"/>
  <c r="T172" i="5"/>
  <c r="T188" i="5"/>
  <c r="T115" i="5"/>
  <c r="T44" i="5"/>
  <c r="T254" i="5"/>
  <c r="T85" i="5"/>
  <c r="T81" i="5"/>
  <c r="T440" i="9"/>
  <c r="T17" i="5"/>
  <c r="T246" i="5"/>
  <c r="T261" i="5"/>
  <c r="T93" i="5"/>
  <c r="T247" i="5"/>
  <c r="T129" i="5"/>
  <c r="T136" i="5"/>
  <c r="T31" i="5"/>
  <c r="T254" i="9"/>
  <c r="T201" i="5"/>
  <c r="T315" i="5"/>
  <c r="T64" i="9"/>
  <c r="T164" i="5"/>
  <c r="T45" i="5"/>
  <c r="T265" i="5"/>
  <c r="T268" i="5"/>
  <c r="T296" i="5"/>
  <c r="T156" i="5"/>
  <c r="T302" i="5"/>
  <c r="T240" i="9"/>
  <c r="T67" i="5"/>
  <c r="T260" i="5"/>
  <c r="T51" i="5"/>
  <c r="T211" i="5"/>
  <c r="T186" i="5"/>
  <c r="T187" i="5"/>
  <c r="T117" i="5"/>
  <c r="T62" i="5"/>
  <c r="T257" i="5"/>
  <c r="T278" i="9"/>
  <c r="T262" i="5"/>
  <c r="T131" i="5"/>
  <c r="T76" i="5"/>
  <c r="T35" i="5"/>
  <c r="T52" i="5"/>
  <c r="T23" i="5"/>
  <c r="T174" i="5"/>
  <c r="T329" i="5"/>
  <c r="T275" i="9"/>
  <c r="T287" i="5"/>
  <c r="T242" i="5"/>
  <c r="T327" i="5"/>
  <c r="T179" i="5"/>
  <c r="T96" i="5"/>
  <c r="T21" i="5"/>
  <c r="T316" i="5"/>
  <c r="T229" i="5"/>
  <c r="T505" i="9"/>
  <c r="T227" i="5"/>
  <c r="T290" i="5"/>
  <c r="T301" i="5"/>
  <c r="T224" i="5"/>
  <c r="T245" i="5"/>
  <c r="T338" i="5"/>
  <c r="T291" i="5"/>
  <c r="T204" i="5"/>
  <c r="T221" i="5"/>
  <c r="T169" i="5"/>
  <c r="T198" i="9"/>
  <c r="T269" i="9"/>
  <c r="T110" i="5"/>
  <c r="T98" i="5"/>
  <c r="T331" i="5"/>
  <c r="T216" i="5"/>
  <c r="T27" i="5"/>
  <c r="T379" i="9"/>
  <c r="T102" i="5"/>
  <c r="T153" i="5"/>
  <c r="T210" i="5"/>
  <c r="T149" i="5"/>
  <c r="T145" i="5"/>
  <c r="T198" i="5"/>
  <c r="T195" i="5"/>
  <c r="T161" i="5"/>
  <c r="T267" i="9"/>
  <c r="T176" i="5"/>
  <c r="T105" i="5"/>
  <c r="T175" i="5"/>
  <c r="T503" i="9"/>
  <c r="T253" i="9"/>
  <c r="T171" i="5"/>
  <c r="T228" i="5"/>
  <c r="T236" i="9"/>
  <c r="T14" i="5"/>
  <c r="T26" i="5"/>
  <c r="T70" i="5"/>
  <c r="T63" i="5"/>
  <c r="T502" i="9"/>
  <c r="T294" i="5"/>
  <c r="T16" i="5"/>
  <c r="T601" i="9"/>
  <c r="T304" i="5"/>
  <c r="T12" i="5"/>
  <c r="T252" i="5"/>
  <c r="T308" i="5"/>
  <c r="T266" i="9"/>
  <c r="T173" i="9"/>
  <c r="T274" i="9"/>
  <c r="T180" i="5"/>
  <c r="T209" i="5"/>
  <c r="T213" i="5"/>
  <c r="T33" i="5"/>
  <c r="T311" i="5"/>
  <c r="T289" i="5"/>
  <c r="T147" i="5"/>
  <c r="T146" i="5"/>
  <c r="T243" i="5"/>
  <c r="T57" i="5"/>
  <c r="T130" i="5"/>
  <c r="T106" i="5"/>
  <c r="T270" i="9"/>
  <c r="T50" i="5"/>
  <c r="T47" i="5"/>
  <c r="T107" i="5"/>
  <c r="T126" i="5"/>
  <c r="T272" i="5"/>
  <c r="T139" i="5"/>
  <c r="T123" i="5"/>
  <c r="T241" i="9"/>
  <c r="T28" i="5"/>
  <c r="T255" i="5"/>
  <c r="T48" i="5"/>
  <c r="T212" i="5"/>
  <c r="T203" i="5"/>
  <c r="T137" i="5"/>
  <c r="T127" i="5"/>
  <c r="T233" i="9"/>
  <c r="T135" i="5"/>
  <c r="T116" i="5"/>
  <c r="T343" i="5"/>
  <c r="T219" i="5"/>
  <c r="T191" i="5"/>
  <c r="T18" i="5"/>
  <c r="T231" i="5"/>
  <c r="T36" i="5"/>
  <c r="T121" i="5"/>
  <c r="T323" i="5"/>
  <c r="T239" i="5"/>
  <c r="T218" i="5"/>
  <c r="T152" i="5"/>
  <c r="T144" i="5"/>
  <c r="T270" i="5"/>
  <c r="T233" i="5"/>
  <c r="T19" i="5"/>
  <c r="T293" i="5"/>
  <c r="T273" i="9"/>
  <c r="T97" i="5"/>
  <c r="T132" i="5"/>
  <c r="T143" i="5"/>
  <c r="T89" i="5"/>
  <c r="T54" i="5"/>
  <c r="T424" i="9"/>
  <c r="T153" i="9"/>
  <c r="T499" i="9"/>
  <c r="T492" i="9"/>
  <c r="T529" i="9"/>
  <c r="T462" i="9"/>
  <c r="T507" i="9"/>
  <c r="T522" i="9"/>
  <c r="T19" i="9"/>
  <c r="T512" i="9"/>
  <c r="T485" i="9"/>
  <c r="T520" i="9"/>
  <c r="T509" i="9"/>
  <c r="T530" i="9"/>
  <c r="T199" i="5"/>
  <c r="T513" i="9"/>
  <c r="T489" i="9"/>
  <c r="T495" i="9"/>
  <c r="T532" i="9"/>
  <c r="T382" i="9"/>
  <c r="T521" i="9"/>
  <c r="T487" i="9"/>
  <c r="T517" i="9"/>
  <c r="T484" i="9"/>
  <c r="T306" i="9"/>
  <c r="T528" i="9"/>
  <c r="T199" i="9"/>
  <c r="T490" i="9"/>
  <c r="T348" i="9"/>
  <c r="T486" i="9"/>
  <c r="T523" i="9"/>
  <c r="T174" i="9"/>
  <c r="T527" i="9"/>
  <c r="T478" i="9"/>
  <c r="T261" i="9"/>
  <c r="T511" i="9"/>
  <c r="T460" i="9"/>
  <c r="T65" i="9"/>
  <c r="T491" i="9"/>
  <c r="T217" i="9"/>
  <c r="T525" i="9"/>
  <c r="T508" i="9"/>
  <c r="T104" i="9"/>
  <c r="T274" i="5"/>
  <c r="T494" i="9"/>
  <c r="T524" i="9"/>
  <c r="T516" i="9"/>
  <c r="X656" i="9" l="1"/>
  <c r="V54" i="5"/>
  <c r="U54" i="5"/>
  <c r="U89" i="5"/>
  <c r="V89" i="5"/>
  <c r="V143" i="5"/>
  <c r="U143" i="5"/>
  <c r="U132" i="5"/>
  <c r="V132" i="5"/>
  <c r="U97" i="5"/>
  <c r="V97" i="5"/>
  <c r="V273" i="9"/>
  <c r="AI273" i="9"/>
  <c r="AN273" i="9" s="1"/>
  <c r="AO273" i="9" s="1"/>
  <c r="U273" i="9"/>
  <c r="V293" i="5"/>
  <c r="U293" i="5"/>
  <c r="V19" i="5"/>
  <c r="U19" i="5"/>
  <c r="U233" i="5"/>
  <c r="X232" i="5"/>
  <c r="V233" i="5"/>
  <c r="AI233" i="5"/>
  <c r="AJ233" i="5" s="1"/>
  <c r="U270" i="5"/>
  <c r="V270" i="5"/>
  <c r="U144" i="5"/>
  <c r="V144" i="5"/>
  <c r="U152" i="5"/>
  <c r="V152" i="5"/>
  <c r="V218" i="5"/>
  <c r="U218" i="5"/>
  <c r="X238" i="5"/>
  <c r="V239" i="5"/>
  <c r="U239" i="5"/>
  <c r="AI239" i="5"/>
  <c r="AJ239" i="5" s="1"/>
  <c r="X322" i="5"/>
  <c r="AI323" i="5"/>
  <c r="AJ323" i="5" s="1"/>
  <c r="V323" i="5"/>
  <c r="W322" i="5" s="1"/>
  <c r="U323" i="5"/>
  <c r="U121" i="5"/>
  <c r="V121" i="5"/>
  <c r="V36" i="5"/>
  <c r="U36" i="5"/>
  <c r="V231" i="5"/>
  <c r="U18" i="5"/>
  <c r="V18" i="5"/>
  <c r="AI191" i="5"/>
  <c r="AJ191" i="5" s="1"/>
  <c r="V191" i="5"/>
  <c r="X190" i="5"/>
  <c r="U191" i="5"/>
  <c r="U219" i="5"/>
  <c r="V219" i="5"/>
  <c r="V343" i="5"/>
  <c r="AI343" i="5"/>
  <c r="AJ343" i="5" s="1"/>
  <c r="U343" i="5"/>
  <c r="X342" i="5"/>
  <c r="U116" i="5"/>
  <c r="V116" i="5"/>
  <c r="V135" i="5"/>
  <c r="U135" i="5"/>
  <c r="U233" i="9"/>
  <c r="AI233" i="9"/>
  <c r="AN233" i="9" s="1"/>
  <c r="AO233" i="9" s="1"/>
  <c r="V233" i="9"/>
  <c r="U127" i="5"/>
  <c r="V127" i="5"/>
  <c r="V137" i="5"/>
  <c r="U137" i="5"/>
  <c r="V203" i="5"/>
  <c r="U203" i="5"/>
  <c r="X202" i="5"/>
  <c r="AI203" i="5"/>
  <c r="AJ203" i="5" s="1"/>
  <c r="V212" i="5"/>
  <c r="U212" i="5"/>
  <c r="V48" i="5"/>
  <c r="V255" i="5"/>
  <c r="U255" i="5"/>
  <c r="U28" i="5"/>
  <c r="V28" i="5"/>
  <c r="AI241" i="9"/>
  <c r="AJ241" i="9" s="1"/>
  <c r="V241" i="9"/>
  <c r="U241" i="9"/>
  <c r="V123" i="5"/>
  <c r="U123" i="5"/>
  <c r="V139" i="5"/>
  <c r="X138" i="5"/>
  <c r="U139" i="5"/>
  <c r="AI139" i="5"/>
  <c r="AJ139" i="5" s="1"/>
  <c r="U272" i="5"/>
  <c r="V272" i="5"/>
  <c r="AI272" i="5"/>
  <c r="AJ272" i="5" s="1"/>
  <c r="V126" i="5"/>
  <c r="U126" i="5"/>
  <c r="U107" i="5"/>
  <c r="V107" i="5"/>
  <c r="V47" i="5"/>
  <c r="U50" i="5"/>
  <c r="X49" i="5"/>
  <c r="AI50" i="5"/>
  <c r="AJ50" i="5" s="1"/>
  <c r="V50" i="5"/>
  <c r="U270" i="9"/>
  <c r="V270" i="9"/>
  <c r="AI270" i="9"/>
  <c r="AN270" i="9" s="1"/>
  <c r="AO270" i="9" s="1"/>
  <c r="U106" i="5"/>
  <c r="V106" i="5"/>
  <c r="U130" i="5"/>
  <c r="V130" i="5"/>
  <c r="V57" i="5"/>
  <c r="U57" i="5"/>
  <c r="V243" i="5"/>
  <c r="U243" i="5"/>
  <c r="V146" i="5"/>
  <c r="U146" i="5"/>
  <c r="U147" i="5"/>
  <c r="V147" i="5"/>
  <c r="U289" i="5"/>
  <c r="V289" i="5"/>
  <c r="V311" i="5"/>
  <c r="U311" i="5"/>
  <c r="AI311" i="5"/>
  <c r="AJ311" i="5" s="1"/>
  <c r="V33" i="5"/>
  <c r="U33" i="5"/>
  <c r="V213" i="5"/>
  <c r="U213" i="5"/>
  <c r="AI209" i="5"/>
  <c r="AJ209" i="5" s="1"/>
  <c r="U209" i="5"/>
  <c r="V209" i="5"/>
  <c r="X208" i="5"/>
  <c r="U180" i="5"/>
  <c r="V180" i="5"/>
  <c r="AI274" i="9"/>
  <c r="AJ274" i="9" s="1"/>
  <c r="U274" i="9"/>
  <c r="V274" i="9"/>
  <c r="V173" i="9"/>
  <c r="U173" i="9"/>
  <c r="U266" i="9"/>
  <c r="V266" i="9"/>
  <c r="AI266" i="9"/>
  <c r="AJ266" i="9" s="1"/>
  <c r="U308" i="5"/>
  <c r="AI308" i="5"/>
  <c r="AJ308" i="5" s="1"/>
  <c r="V308" i="5"/>
  <c r="W307" i="5" s="1"/>
  <c r="X307" i="5"/>
  <c r="U252" i="5"/>
  <c r="V252" i="5"/>
  <c r="AI12" i="5"/>
  <c r="AJ12" i="5" s="1"/>
  <c r="U12" i="5"/>
  <c r="V12" i="5"/>
  <c r="X303" i="5"/>
  <c r="U304" i="5"/>
  <c r="V304" i="5"/>
  <c r="W303" i="5" s="1"/>
  <c r="AI304" i="5"/>
  <c r="AJ304" i="5" s="1"/>
  <c r="U601" i="9"/>
  <c r="V601" i="9"/>
  <c r="W592" i="9" s="1"/>
  <c r="AI601" i="9"/>
  <c r="AN601" i="9" s="1"/>
  <c r="AO601" i="9" s="1"/>
  <c r="V16" i="5"/>
  <c r="AI16" i="5"/>
  <c r="AJ16" i="5" s="1"/>
  <c r="X15" i="5"/>
  <c r="U16" i="5"/>
  <c r="V294" i="5"/>
  <c r="U294" i="5"/>
  <c r="AI502" i="9"/>
  <c r="AJ502" i="9" s="1"/>
  <c r="V502" i="9"/>
  <c r="W501" i="9" s="1"/>
  <c r="X247" i="9"/>
  <c r="U502" i="9"/>
  <c r="X501" i="9"/>
  <c r="U63" i="5"/>
  <c r="V63" i="5"/>
  <c r="AI70" i="5"/>
  <c r="AJ70" i="5" s="1"/>
  <c r="V70" i="5"/>
  <c r="U70" i="5"/>
  <c r="X69" i="5"/>
  <c r="U26" i="5"/>
  <c r="V26" i="5"/>
  <c r="V14" i="5"/>
  <c r="V236" i="9"/>
  <c r="AI236" i="9"/>
  <c r="AJ236" i="9" s="1"/>
  <c r="U236" i="9"/>
  <c r="V228" i="5"/>
  <c r="U228" i="5"/>
  <c r="V171" i="5"/>
  <c r="U171" i="5"/>
  <c r="U253" i="9"/>
  <c r="AI253" i="9"/>
  <c r="AJ253" i="9" s="1"/>
  <c r="V253" i="9"/>
  <c r="AI503" i="9"/>
  <c r="AJ503" i="9" s="1"/>
  <c r="V503" i="9"/>
  <c r="U503" i="9"/>
  <c r="U175" i="5"/>
  <c r="V175" i="5"/>
  <c r="U105" i="5"/>
  <c r="V105" i="5"/>
  <c r="U176" i="5"/>
  <c r="V176" i="5"/>
  <c r="U267" i="9"/>
  <c r="V267" i="9"/>
  <c r="AI267" i="9"/>
  <c r="AJ267" i="9" s="1"/>
  <c r="V161" i="5"/>
  <c r="U161" i="5"/>
  <c r="V195" i="5"/>
  <c r="U195" i="5"/>
  <c r="V198" i="5"/>
  <c r="U198" i="5"/>
  <c r="U145" i="5"/>
  <c r="V145" i="5"/>
  <c r="V149" i="5"/>
  <c r="U149" i="5"/>
  <c r="V210" i="5"/>
  <c r="U210" i="5"/>
  <c r="U153" i="5"/>
  <c r="V153" i="5"/>
  <c r="V102" i="5"/>
  <c r="U102" i="5"/>
  <c r="AI379" i="9"/>
  <c r="AJ379" i="9" s="1"/>
  <c r="V379" i="9"/>
  <c r="U379" i="9"/>
  <c r="V27" i="5"/>
  <c r="U27" i="5"/>
  <c r="U216" i="5"/>
  <c r="V216" i="5"/>
  <c r="V331" i="5"/>
  <c r="U331" i="5"/>
  <c r="U98" i="5"/>
  <c r="V98" i="5"/>
  <c r="V110" i="5"/>
  <c r="U110" i="5"/>
  <c r="V269" i="9"/>
  <c r="AI269" i="9"/>
  <c r="AN269" i="9" s="1"/>
  <c r="AO269" i="9" s="1"/>
  <c r="U269" i="9"/>
  <c r="U198" i="9"/>
  <c r="V198" i="9"/>
  <c r="U169" i="5"/>
  <c r="V169" i="5"/>
  <c r="V221" i="5"/>
  <c r="AI221" i="5"/>
  <c r="AJ221" i="5" s="1"/>
  <c r="X220" i="5"/>
  <c r="U221" i="5"/>
  <c r="V204" i="5"/>
  <c r="U204" i="5"/>
  <c r="V291" i="5"/>
  <c r="U291" i="5"/>
  <c r="AI338" i="5"/>
  <c r="AJ338" i="5" s="1"/>
  <c r="V338" i="5"/>
  <c r="U338" i="5"/>
  <c r="X244" i="5"/>
  <c r="U245" i="5"/>
  <c r="V245" i="5"/>
  <c r="AI245" i="5"/>
  <c r="AJ245" i="5" s="1"/>
  <c r="V224" i="5"/>
  <c r="U224" i="5"/>
  <c r="U301" i="5"/>
  <c r="V301" i="5"/>
  <c r="U290" i="5"/>
  <c r="V290" i="5"/>
  <c r="V227" i="5"/>
  <c r="U227" i="5"/>
  <c r="AI227" i="5"/>
  <c r="AJ227" i="5" s="1"/>
  <c r="V505" i="9"/>
  <c r="W250" i="9" s="1"/>
  <c r="U505" i="9"/>
  <c r="AI505" i="9"/>
  <c r="AJ505" i="9" s="1"/>
  <c r="X250" i="9"/>
  <c r="X504" i="9"/>
  <c r="V229" i="5"/>
  <c r="V316" i="5"/>
  <c r="U316" i="5"/>
  <c r="U21" i="5"/>
  <c r="V21" i="5"/>
  <c r="U96" i="5"/>
  <c r="V96" i="5"/>
  <c r="V179" i="5"/>
  <c r="U179" i="5"/>
  <c r="AI327" i="5"/>
  <c r="AJ327" i="5" s="1"/>
  <c r="X326" i="5"/>
  <c r="U327" i="5"/>
  <c r="V327" i="5"/>
  <c r="W326" i="5" s="1"/>
  <c r="V242" i="5"/>
  <c r="U242" i="5"/>
  <c r="V287" i="5"/>
  <c r="U287" i="5"/>
  <c r="U275" i="9"/>
  <c r="V275" i="9"/>
  <c r="AI275" i="9"/>
  <c r="AJ275" i="9" s="1"/>
  <c r="X328" i="5"/>
  <c r="V329" i="5"/>
  <c r="U329" i="5"/>
  <c r="AI329" i="5"/>
  <c r="AJ329" i="5" s="1"/>
  <c r="U174" i="5"/>
  <c r="V174" i="5"/>
  <c r="V23" i="5"/>
  <c r="U23" i="5"/>
  <c r="V52" i="5"/>
  <c r="U52" i="5"/>
  <c r="V35" i="5"/>
  <c r="U35" i="5"/>
  <c r="AI35" i="5"/>
  <c r="AJ35" i="5" s="1"/>
  <c r="X34" i="5"/>
  <c r="V76" i="5"/>
  <c r="U76" i="5"/>
  <c r="V131" i="5"/>
  <c r="U131" i="5"/>
  <c r="V262" i="5"/>
  <c r="U262" i="5"/>
  <c r="U278" i="9"/>
  <c r="V278" i="9"/>
  <c r="AI278" i="9"/>
  <c r="AJ278" i="9" s="1"/>
  <c r="V257" i="5"/>
  <c r="U257" i="5"/>
  <c r="AI257" i="5"/>
  <c r="AJ257" i="5" s="1"/>
  <c r="X256" i="5"/>
  <c r="U62" i="5"/>
  <c r="V62" i="5"/>
  <c r="V117" i="5"/>
  <c r="U117" i="5"/>
  <c r="U187" i="5"/>
  <c r="V187" i="5"/>
  <c r="U186" i="5"/>
  <c r="V186" i="5"/>
  <c r="U211" i="5"/>
  <c r="V211" i="5"/>
  <c r="V51" i="5"/>
  <c r="U51" i="5"/>
  <c r="U260" i="5"/>
  <c r="V260" i="5"/>
  <c r="V67" i="5"/>
  <c r="U67" i="5"/>
  <c r="U240" i="9"/>
  <c r="AI240" i="9"/>
  <c r="AN240" i="9" s="1"/>
  <c r="AO240" i="9" s="1"/>
  <c r="V240" i="9"/>
  <c r="V302" i="5"/>
  <c r="U302" i="5"/>
  <c r="V156" i="5"/>
  <c r="U156" i="5"/>
  <c r="V296" i="5"/>
  <c r="U296" i="5"/>
  <c r="V268" i="5"/>
  <c r="U268" i="5"/>
  <c r="V265" i="5"/>
  <c r="U265" i="5"/>
  <c r="V45" i="5"/>
  <c r="V164" i="5"/>
  <c r="U164" i="5"/>
  <c r="AI64" i="9"/>
  <c r="AJ64" i="9" s="1"/>
  <c r="V64" i="9"/>
  <c r="U64" i="9"/>
  <c r="U315" i="5"/>
  <c r="V315" i="5"/>
  <c r="AI315" i="5"/>
  <c r="AJ315" i="5" s="1"/>
  <c r="X314" i="5"/>
  <c r="V201" i="5"/>
  <c r="AI254" i="9"/>
  <c r="AJ254" i="9" s="1"/>
  <c r="U254" i="9"/>
  <c r="V254" i="9"/>
  <c r="U31" i="5"/>
  <c r="V31" i="5"/>
  <c r="U136" i="5"/>
  <c r="V136" i="5"/>
  <c r="U129" i="5"/>
  <c r="V129" i="5"/>
  <c r="V247" i="5"/>
  <c r="U247" i="5"/>
  <c r="X92" i="5"/>
  <c r="V93" i="5"/>
  <c r="U93" i="5"/>
  <c r="AI93" i="5"/>
  <c r="AJ93" i="5" s="1"/>
  <c r="U261" i="5"/>
  <c r="V261" i="5"/>
  <c r="U246" i="5"/>
  <c r="V246" i="5"/>
  <c r="V17" i="5"/>
  <c r="U17" i="5"/>
  <c r="U440" i="9"/>
  <c r="V440" i="9"/>
  <c r="AI440" i="9"/>
  <c r="AJ440" i="9" s="1"/>
  <c r="U81" i="5"/>
  <c r="V81" i="5"/>
  <c r="U85" i="5"/>
  <c r="V85" i="5"/>
  <c r="V254" i="5"/>
  <c r="U254" i="5"/>
  <c r="V44" i="5"/>
  <c r="X114" i="5"/>
  <c r="U115" i="5"/>
  <c r="V115" i="5"/>
  <c r="AI115" i="5"/>
  <c r="AJ115" i="5" s="1"/>
  <c r="U188" i="5"/>
  <c r="V188" i="5"/>
  <c r="U172" i="5"/>
  <c r="V172" i="5"/>
  <c r="U181" i="5"/>
  <c r="V181" i="5"/>
  <c r="V101" i="5"/>
  <c r="U101" i="5"/>
  <c r="V240" i="5"/>
  <c r="U240" i="5"/>
  <c r="V269" i="5"/>
  <c r="U269" i="5"/>
  <c r="U61" i="5"/>
  <c r="V61" i="5"/>
  <c r="V91" i="5"/>
  <c r="U91" i="5"/>
  <c r="V22" i="5"/>
  <c r="U22" i="5"/>
  <c r="V55" i="5"/>
  <c r="U55" i="5"/>
  <c r="V53" i="5"/>
  <c r="U53" i="5"/>
  <c r="V276" i="9"/>
  <c r="U276" i="9"/>
  <c r="AI276" i="9"/>
  <c r="AJ276" i="9" s="1"/>
  <c r="V155" i="5"/>
  <c r="U155" i="5"/>
  <c r="V182" i="5"/>
  <c r="U182" i="5"/>
  <c r="U99" i="5"/>
  <c r="V99" i="5"/>
  <c r="U234" i="5"/>
  <c r="V234" i="5"/>
  <c r="U88" i="5"/>
  <c r="V88" i="5"/>
  <c r="U207" i="5"/>
  <c r="V207" i="5"/>
  <c r="V30" i="5"/>
  <c r="U30" i="5"/>
  <c r="U297" i="5"/>
  <c r="V297" i="5"/>
  <c r="V236" i="5"/>
  <c r="U236" i="5"/>
  <c r="V25" i="5"/>
  <c r="X24" i="5"/>
  <c r="U25" i="5"/>
  <c r="AI25" i="5"/>
  <c r="AJ25" i="5" s="1"/>
  <c r="AI251" i="5"/>
  <c r="AJ251" i="5" s="1"/>
  <c r="U251" i="5"/>
  <c r="V251" i="5"/>
  <c r="X250" i="5"/>
  <c r="V20" i="5"/>
  <c r="U20" i="5"/>
  <c r="V222" i="5"/>
  <c r="U222" i="5"/>
  <c r="V319" i="5"/>
  <c r="W318" i="5" s="1"/>
  <c r="X318" i="5"/>
  <c r="AI319" i="5"/>
  <c r="AJ319" i="5" s="1"/>
  <c r="U319" i="5"/>
  <c r="V73" i="5"/>
  <c r="U73" i="5"/>
  <c r="AI459" i="9"/>
  <c r="AJ459" i="9" s="1"/>
  <c r="V459" i="9"/>
  <c r="U459" i="9"/>
  <c r="U170" i="5"/>
  <c r="V170" i="5"/>
  <c r="V120" i="5"/>
  <c r="U120" i="5"/>
  <c r="V77" i="5"/>
  <c r="U77" i="5"/>
  <c r="V178" i="5"/>
  <c r="U178" i="5"/>
  <c r="U141" i="5"/>
  <c r="V141" i="5"/>
  <c r="AI216" i="9"/>
  <c r="AJ216" i="9" s="1"/>
  <c r="V216" i="9"/>
  <c r="U216" i="9"/>
  <c r="U32" i="5"/>
  <c r="V32" i="5"/>
  <c r="V90" i="5"/>
  <c r="U90" i="5"/>
  <c r="V72" i="5"/>
  <c r="U72" i="5"/>
  <c r="U113" i="5"/>
  <c r="V113" i="5"/>
  <c r="U80" i="5"/>
  <c r="X79" i="5"/>
  <c r="V80" i="5"/>
  <c r="AI80" i="5"/>
  <c r="AJ80" i="5" s="1"/>
  <c r="V60" i="5"/>
  <c r="U60" i="5"/>
  <c r="X59" i="5"/>
  <c r="AI60" i="5"/>
  <c r="AJ60" i="5" s="1"/>
  <c r="AI271" i="9"/>
  <c r="AN271" i="9" s="1"/>
  <c r="AO271" i="9" s="1"/>
  <c r="U271" i="9"/>
  <c r="V271" i="9"/>
  <c r="AI168" i="5"/>
  <c r="AJ168" i="5" s="1"/>
  <c r="X167" i="5"/>
  <c r="U168" i="5"/>
  <c r="V168" i="5"/>
  <c r="AI65" i="5"/>
  <c r="AJ65" i="5" s="1"/>
  <c r="U65" i="5"/>
  <c r="V65" i="5"/>
  <c r="X64" i="5"/>
  <c r="U194" i="5"/>
  <c r="V194" i="5"/>
  <c r="V652" i="9"/>
  <c r="W643" i="9" s="1"/>
  <c r="AI652" i="9"/>
  <c r="AJ652" i="9" s="1"/>
  <c r="U652" i="9"/>
  <c r="AI104" i="5"/>
  <c r="AJ104" i="5" s="1"/>
  <c r="X103" i="5"/>
  <c r="V104" i="5"/>
  <c r="U104" i="5"/>
  <c r="U325" i="5"/>
  <c r="AI325" i="5"/>
  <c r="AJ325" i="5" s="1"/>
  <c r="X324" i="5"/>
  <c r="V325" i="5"/>
  <c r="W324" i="5" s="1"/>
  <c r="V66" i="5"/>
  <c r="U66" i="5"/>
  <c r="V267" i="5"/>
  <c r="U267" i="5"/>
  <c r="U235" i="9"/>
  <c r="AI235" i="9"/>
  <c r="AN235" i="9" s="1"/>
  <c r="AO235" i="9" s="1"/>
  <c r="V235" i="9"/>
  <c r="V241" i="5"/>
  <c r="U241" i="5"/>
  <c r="AI310" i="5"/>
  <c r="AJ310" i="5" s="1"/>
  <c r="U310" i="5"/>
  <c r="V310" i="5"/>
  <c r="X309" i="5"/>
  <c r="U223" i="5"/>
  <c r="V223" i="5"/>
  <c r="U150" i="5"/>
  <c r="V150" i="5"/>
  <c r="X334" i="5"/>
  <c r="V335" i="5"/>
  <c r="W334" i="5" s="1"/>
  <c r="U335" i="5"/>
  <c r="AI335" i="5"/>
  <c r="AJ335" i="5" s="1"/>
  <c r="V133" i="5"/>
  <c r="U133" i="5"/>
  <c r="X415" i="9"/>
  <c r="AI151" i="9"/>
  <c r="AJ151" i="9" s="1"/>
  <c r="V151" i="9"/>
  <c r="W415" i="9" s="1"/>
  <c r="U151" i="9"/>
  <c r="V166" i="5"/>
  <c r="U166" i="5"/>
  <c r="U86" i="5"/>
  <c r="V86" i="5"/>
  <c r="U230" i="9"/>
  <c r="AI230" i="9"/>
  <c r="AJ230" i="9" s="1"/>
  <c r="V230" i="9"/>
  <c r="U263" i="5"/>
  <c r="V263" i="5"/>
  <c r="U205" i="5"/>
  <c r="V205" i="5"/>
  <c r="V206" i="5"/>
  <c r="U206" i="5"/>
  <c r="V197" i="5"/>
  <c r="U197" i="5"/>
  <c r="AI197" i="5"/>
  <c r="AJ197" i="5" s="1"/>
  <c r="V84" i="5"/>
  <c r="U84" i="5"/>
  <c r="V122" i="5"/>
  <c r="U122" i="5"/>
  <c r="U165" i="5"/>
  <c r="V165" i="5"/>
  <c r="U68" i="5"/>
  <c r="V68" i="5"/>
  <c r="U258" i="5"/>
  <c r="V258" i="5"/>
  <c r="V183" i="5"/>
  <c r="U183" i="5"/>
  <c r="V154" i="5"/>
  <c r="U154" i="5"/>
  <c r="AI305" i="9"/>
  <c r="AJ305" i="9" s="1"/>
  <c r="U305" i="9"/>
  <c r="V305" i="9"/>
  <c r="V41" i="5"/>
  <c r="U41" i="5"/>
  <c r="V71" i="5"/>
  <c r="U71" i="5"/>
  <c r="U237" i="5"/>
  <c r="V237" i="5"/>
  <c r="V82" i="5"/>
  <c r="U82" i="5"/>
  <c r="U124" i="5"/>
  <c r="V124" i="5"/>
  <c r="V253" i="5"/>
  <c r="U253" i="5"/>
  <c r="V46" i="5"/>
  <c r="V108" i="5"/>
  <c r="U108" i="5"/>
  <c r="U237" i="9"/>
  <c r="AI237" i="9"/>
  <c r="AJ237" i="9" s="1"/>
  <c r="V237" i="9"/>
  <c r="U112" i="5"/>
  <c r="V112" i="5"/>
  <c r="V42" i="5"/>
  <c r="U140" i="5"/>
  <c r="V140" i="5"/>
  <c r="X312" i="5"/>
  <c r="AI313" i="5"/>
  <c r="AJ313" i="5" s="1"/>
  <c r="V313" i="5"/>
  <c r="W312" i="5" s="1"/>
  <c r="U313" i="5"/>
  <c r="U125" i="5"/>
  <c r="V125" i="5"/>
  <c r="U238" i="9"/>
  <c r="V238" i="9"/>
  <c r="AI238" i="9"/>
  <c r="AJ238" i="9" s="1"/>
  <c r="U330" i="5"/>
  <c r="V330" i="5"/>
  <c r="U189" i="5"/>
  <c r="V189" i="5"/>
  <c r="V158" i="5"/>
  <c r="U158" i="5"/>
  <c r="X320" i="5"/>
  <c r="AI321" i="5"/>
  <c r="AJ321" i="5" s="1"/>
  <c r="U321" i="5"/>
  <c r="V321" i="5"/>
  <c r="W320" i="5" s="1"/>
  <c r="U300" i="5"/>
  <c r="AI300" i="5"/>
  <c r="AJ300" i="5" s="1"/>
  <c r="V300" i="5"/>
  <c r="X299" i="5"/>
  <c r="V56" i="5"/>
  <c r="U56" i="5"/>
  <c r="V259" i="9"/>
  <c r="U259" i="9"/>
  <c r="AI259" i="9"/>
  <c r="AJ259" i="9" s="1"/>
  <c r="V235" i="5"/>
  <c r="U235" i="5"/>
  <c r="U109" i="5"/>
  <c r="V109" i="5"/>
  <c r="V40" i="5"/>
  <c r="U40" i="5"/>
  <c r="AI40" i="5"/>
  <c r="AJ40" i="5" s="1"/>
  <c r="AI18" i="9"/>
  <c r="AJ18" i="9" s="1"/>
  <c r="U18" i="9"/>
  <c r="V18" i="9"/>
  <c r="U94" i="5"/>
  <c r="V94" i="5"/>
  <c r="V292" i="5"/>
  <c r="U292" i="5"/>
  <c r="V100" i="5"/>
  <c r="U100" i="5"/>
  <c r="V58" i="5"/>
  <c r="U58" i="5"/>
  <c r="U263" i="9"/>
  <c r="V263" i="9"/>
  <c r="AI263" i="9"/>
  <c r="AJ263" i="9" s="1"/>
  <c r="X74" i="5"/>
  <c r="V75" i="5"/>
  <c r="AI75" i="5"/>
  <c r="AJ75" i="5" s="1"/>
  <c r="U75" i="5"/>
  <c r="U257" i="9"/>
  <c r="V257" i="9"/>
  <c r="AI257" i="9"/>
  <c r="AJ257" i="9" s="1"/>
  <c r="V248" i="5"/>
  <c r="U248" i="5"/>
  <c r="V43" i="5"/>
  <c r="V13" i="5"/>
  <c r="U288" i="5"/>
  <c r="V288" i="5"/>
  <c r="U173" i="5"/>
  <c r="V173" i="5"/>
  <c r="U177" i="5"/>
  <c r="V177" i="5"/>
  <c r="V38" i="5"/>
  <c r="U38" i="5"/>
  <c r="AI262" i="9"/>
  <c r="AJ262" i="9" s="1"/>
  <c r="V262" i="9"/>
  <c r="U262" i="9"/>
  <c r="V148" i="5"/>
  <c r="U148" i="5"/>
  <c r="V268" i="9"/>
  <c r="AI268" i="9"/>
  <c r="AJ268" i="9" s="1"/>
  <c r="U268" i="9"/>
  <c r="U159" i="5"/>
  <c r="V159" i="5"/>
  <c r="V160" i="5"/>
  <c r="U160" i="5"/>
  <c r="V264" i="5"/>
  <c r="U264" i="5"/>
  <c r="X118" i="5"/>
  <c r="AI119" i="5"/>
  <c r="AJ119" i="5" s="1"/>
  <c r="U119" i="5"/>
  <c r="V119" i="5"/>
  <c r="V295" i="5"/>
  <c r="U295" i="5"/>
  <c r="U95" i="5"/>
  <c r="V95" i="5"/>
  <c r="V337" i="5"/>
  <c r="W336" i="5" s="1"/>
  <c r="X336" i="5"/>
  <c r="U337" i="5"/>
  <c r="AI337" i="5"/>
  <c r="AJ337" i="5" s="1"/>
  <c r="V37" i="5"/>
  <c r="U37" i="5"/>
  <c r="U134" i="5"/>
  <c r="V134" i="5"/>
  <c r="U255" i="9"/>
  <c r="AI255" i="9"/>
  <c r="AJ255" i="9" s="1"/>
  <c r="V255" i="9"/>
  <c r="U286" i="5"/>
  <c r="V286" i="5"/>
  <c r="U193" i="5"/>
  <c r="V193" i="5"/>
  <c r="AI258" i="9"/>
  <c r="AJ258" i="9" s="1"/>
  <c r="V258" i="9"/>
  <c r="U258" i="9"/>
  <c r="V225" i="5"/>
  <c r="U225" i="5"/>
  <c r="U78" i="5"/>
  <c r="V78" i="5"/>
  <c r="V157" i="5"/>
  <c r="U157" i="5"/>
  <c r="U285" i="5"/>
  <c r="AI285" i="5"/>
  <c r="AJ285" i="5" s="1"/>
  <c r="V285" i="5"/>
  <c r="X284" i="5"/>
  <c r="V128" i="5"/>
  <c r="U128" i="5"/>
  <c r="U273" i="5"/>
  <c r="V273" i="5"/>
  <c r="V162" i="5"/>
  <c r="U162" i="5"/>
  <c r="V163" i="5"/>
  <c r="U163" i="5"/>
  <c r="V259" i="5"/>
  <c r="U259" i="5"/>
  <c r="AI11" i="5"/>
  <c r="AJ11" i="5" s="1"/>
  <c r="V11" i="5"/>
  <c r="U11" i="5"/>
  <c r="AP12" i="5" s="1"/>
  <c r="AP13" i="5" s="1"/>
  <c r="AP14" i="5" s="1"/>
  <c r="AI103" i="9"/>
  <c r="AJ103" i="9" s="1"/>
  <c r="V103" i="9"/>
  <c r="U103" i="9"/>
  <c r="V83" i="5"/>
  <c r="U83" i="5"/>
  <c r="X214" i="5"/>
  <c r="V215" i="5"/>
  <c r="U215" i="5"/>
  <c r="AI215" i="5"/>
  <c r="AJ215" i="5" s="1"/>
  <c r="V142" i="5"/>
  <c r="U142" i="5"/>
  <c r="V245" i="9"/>
  <c r="AI245" i="9"/>
  <c r="AN245" i="9" s="1"/>
  <c r="AO245" i="9" s="1"/>
  <c r="U245" i="9"/>
  <c r="AI333" i="5"/>
  <c r="AJ333" i="5" s="1"/>
  <c r="V333" i="5"/>
  <c r="W332" i="5" s="1"/>
  <c r="U333" i="5"/>
  <c r="X332" i="5"/>
  <c r="V298" i="5"/>
  <c r="U298" i="5"/>
  <c r="U87" i="5"/>
  <c r="V87" i="5"/>
  <c r="U249" i="5"/>
  <c r="V249" i="5"/>
  <c r="AI232" i="9"/>
  <c r="AJ232" i="9" s="1"/>
  <c r="U232" i="9"/>
  <c r="V232" i="9"/>
  <c r="V29" i="5"/>
  <c r="U29" i="5"/>
  <c r="U192" i="5"/>
  <c r="V192" i="5"/>
  <c r="AI231" i="9"/>
  <c r="AJ231" i="9" s="1"/>
  <c r="U231" i="9"/>
  <c r="V231" i="9"/>
  <c r="U111" i="5"/>
  <c r="V111" i="5"/>
  <c r="V317" i="5"/>
  <c r="U317" i="5"/>
  <c r="X184" i="5"/>
  <c r="V185" i="5"/>
  <c r="U185" i="5"/>
  <c r="AI185" i="5"/>
  <c r="AJ185" i="5" s="1"/>
  <c r="V306" i="5"/>
  <c r="W305" i="5" s="1"/>
  <c r="U306" i="5"/>
  <c r="AI306" i="5"/>
  <c r="AJ306" i="5" s="1"/>
  <c r="X305" i="5"/>
  <c r="U266" i="5"/>
  <c r="V266" i="5"/>
  <c r="U344" i="5"/>
  <c r="AI344" i="5"/>
  <c r="AJ344" i="5" s="1"/>
  <c r="V344" i="5"/>
  <c r="U217" i="5"/>
  <c r="V217" i="5"/>
  <c r="U151" i="5"/>
  <c r="V151" i="5"/>
  <c r="V461" i="9"/>
  <c r="AI461" i="9"/>
  <c r="AN461" i="9" s="1"/>
  <c r="AO461" i="9" s="1"/>
  <c r="U461" i="9"/>
  <c r="AI120" i="5"/>
  <c r="AJ120" i="5" s="1"/>
  <c r="AI273" i="5"/>
  <c r="AN273" i="5" s="1"/>
  <c r="AO273" i="5" s="1"/>
  <c r="AI331" i="5"/>
  <c r="AN331" i="5" s="1"/>
  <c r="AI198" i="5"/>
  <c r="AJ198" i="5" s="1"/>
  <c r="AI81" i="5"/>
  <c r="AJ81" i="5" s="1"/>
  <c r="AI173" i="9"/>
  <c r="AJ173" i="9" s="1"/>
  <c r="AI234" i="5"/>
  <c r="AJ234" i="5" s="1"/>
  <c r="AI258" i="5"/>
  <c r="AJ258" i="5" s="1"/>
  <c r="AI51" i="5"/>
  <c r="AJ51" i="5" s="1"/>
  <c r="AI302" i="5"/>
  <c r="AN302" i="5" s="1"/>
  <c r="AI41" i="5"/>
  <c r="AJ41" i="5" s="1"/>
  <c r="AI94" i="5"/>
  <c r="AN94" i="5" s="1"/>
  <c r="U229" i="5"/>
  <c r="AI26" i="5"/>
  <c r="AJ26" i="5" s="1"/>
  <c r="AI36" i="5"/>
  <c r="AN36" i="5" s="1"/>
  <c r="U14" i="5"/>
  <c r="AI186" i="5"/>
  <c r="AN186" i="5" s="1"/>
  <c r="AI301" i="5"/>
  <c r="AJ301" i="5" s="1"/>
  <c r="AI61" i="5"/>
  <c r="AN61" i="5" s="1"/>
  <c r="AI14" i="5"/>
  <c r="AJ14" i="5" s="1"/>
  <c r="AI192" i="5"/>
  <c r="AJ192" i="5" s="1"/>
  <c r="AI216" i="5"/>
  <c r="AJ216" i="5" s="1"/>
  <c r="AI317" i="5"/>
  <c r="AJ317" i="5" s="1"/>
  <c r="AI210" i="5"/>
  <c r="AJ210" i="5" s="1"/>
  <c r="AI252" i="5"/>
  <c r="AJ252" i="5" s="1"/>
  <c r="AI140" i="5"/>
  <c r="AJ140" i="5" s="1"/>
  <c r="AI13" i="5"/>
  <c r="AJ13" i="5" s="1"/>
  <c r="AI316" i="5"/>
  <c r="AJ316" i="5" s="1"/>
  <c r="AI222" i="5"/>
  <c r="AJ222" i="5" s="1"/>
  <c r="AI330" i="5"/>
  <c r="AJ330" i="5" s="1"/>
  <c r="AI66" i="5"/>
  <c r="AJ66" i="5" s="1"/>
  <c r="AI105" i="5"/>
  <c r="AJ105" i="5" s="1"/>
  <c r="AI116" i="5"/>
  <c r="AJ116" i="5" s="1"/>
  <c r="AI286" i="5"/>
  <c r="AJ286" i="5" s="1"/>
  <c r="AI204" i="5"/>
  <c r="AJ204" i="5" s="1"/>
  <c r="U42" i="5"/>
  <c r="AI228" i="5"/>
  <c r="AJ228" i="5" s="1"/>
  <c r="AI17" i="5"/>
  <c r="AN17" i="5" s="1"/>
  <c r="AI71" i="5"/>
  <c r="AJ71" i="5" s="1"/>
  <c r="AI117" i="5"/>
  <c r="AJ117" i="5" s="1"/>
  <c r="AI169" i="5"/>
  <c r="AJ169" i="5" s="1"/>
  <c r="AI240" i="5"/>
  <c r="AN240" i="5" s="1"/>
  <c r="AI76" i="5"/>
  <c r="AJ76" i="5" s="1"/>
  <c r="AI246" i="5"/>
  <c r="AJ246" i="5" s="1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AX477" i="9"/>
  <c r="AY477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S380" i="9"/>
  <c r="AT380" i="9" s="1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U261" i="9"/>
  <c r="V261" i="9"/>
  <c r="AI261" i="9"/>
  <c r="AJ261" i="9" s="1"/>
  <c r="AX248" i="9"/>
  <c r="AY248" i="9" s="1"/>
  <c r="AS251" i="9"/>
  <c r="AT251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S63" i="9"/>
  <c r="AT63" i="9" s="1"/>
  <c r="AS172" i="9"/>
  <c r="AT172" i="9" s="1"/>
  <c r="AS197" i="9"/>
  <c r="AT197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L219" i="9"/>
  <c r="AM218" i="9"/>
  <c r="AG155" i="9"/>
  <c r="AH154" i="9"/>
  <c r="AV67" i="9"/>
  <c r="AW66" i="9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S341" i="5"/>
  <c r="AT341" i="5" s="1"/>
  <c r="AS340" i="5"/>
  <c r="AT340" i="5" s="1"/>
  <c r="AL43" i="5"/>
  <c r="AM42" i="5"/>
  <c r="AV107" i="5"/>
  <c r="AW106" i="5"/>
  <c r="AV242" i="5"/>
  <c r="AW241" i="5"/>
  <c r="AQ212" i="5"/>
  <c r="AR211" i="5"/>
  <c r="AQ107" i="5"/>
  <c r="AR106" i="5"/>
  <c r="AL122" i="5"/>
  <c r="AM121" i="5"/>
  <c r="AV260" i="5"/>
  <c r="AW259" i="5"/>
  <c r="AL218" i="5"/>
  <c r="AM217" i="5"/>
  <c r="AL68" i="5"/>
  <c r="AM68" i="5" s="1"/>
  <c r="AM67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L230" i="5"/>
  <c r="AM229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L142" i="5"/>
  <c r="AM141" i="5"/>
  <c r="AV142" i="5"/>
  <c r="AW141" i="5"/>
  <c r="AQ260" i="5"/>
  <c r="AR259" i="5"/>
  <c r="AQ230" i="5"/>
  <c r="AR229" i="5"/>
  <c r="AL19" i="5"/>
  <c r="AM18" i="5"/>
  <c r="AV224" i="5"/>
  <c r="AW223" i="5"/>
  <c r="AL96" i="5"/>
  <c r="AM95" i="5"/>
  <c r="AG43" i="5"/>
  <c r="AH42" i="5"/>
  <c r="AI42" i="5" s="1"/>
  <c r="AV212" i="5"/>
  <c r="AW211" i="5"/>
  <c r="AL28" i="5"/>
  <c r="AM27" i="5"/>
  <c r="AQ206" i="5"/>
  <c r="AR205" i="5"/>
  <c r="AL38" i="5"/>
  <c r="AM38" i="5" s="1"/>
  <c r="AM37" i="5"/>
  <c r="AG19" i="5"/>
  <c r="AH18" i="5"/>
  <c r="AI18" i="5" s="1"/>
  <c r="AV194" i="5"/>
  <c r="AW193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Q43" i="5"/>
  <c r="AR42" i="5"/>
  <c r="AL260" i="5"/>
  <c r="AM259" i="5"/>
  <c r="AQ236" i="5"/>
  <c r="AR235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L73" i="5"/>
  <c r="AM73" i="5" s="1"/>
  <c r="AM72" i="5"/>
  <c r="AG83" i="5"/>
  <c r="AH82" i="5"/>
  <c r="AI82" i="5" s="1"/>
  <c r="AQ194" i="5"/>
  <c r="AR193" i="5"/>
  <c r="AV78" i="5"/>
  <c r="AW78" i="5" s="1"/>
  <c r="AW77" i="5"/>
  <c r="AL242" i="5"/>
  <c r="AM241" i="5"/>
  <c r="AV200" i="5"/>
  <c r="AW199" i="5"/>
  <c r="AG206" i="5"/>
  <c r="AH205" i="5"/>
  <c r="AI205" i="5" s="1"/>
  <c r="AL224" i="5"/>
  <c r="AM223" i="5"/>
  <c r="AG122" i="5"/>
  <c r="AH121" i="5"/>
  <c r="AI121" i="5" s="1"/>
  <c r="AQ122" i="5"/>
  <c r="AR121" i="5"/>
  <c r="AV122" i="5"/>
  <c r="AW121" i="5"/>
  <c r="AL200" i="5"/>
  <c r="AM199" i="5"/>
  <c r="AG188" i="5"/>
  <c r="AH187" i="5"/>
  <c r="AI187" i="5" s="1"/>
  <c r="AJ273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V248" i="5"/>
  <c r="AW247" i="5"/>
  <c r="AV83" i="5"/>
  <c r="AW82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704" i="9"/>
  <c r="T714" i="9"/>
  <c r="T105" i="9"/>
  <c r="T307" i="9"/>
  <c r="T66" i="9"/>
  <c r="T275" i="5"/>
  <c r="T698" i="9"/>
  <c r="T697" i="9"/>
  <c r="T720" i="9"/>
  <c r="T729" i="9"/>
  <c r="T350" i="9"/>
  <c r="T722" i="9"/>
  <c r="T200" i="5"/>
  <c r="T706" i="9"/>
  <c r="T463" i="9"/>
  <c r="T721" i="9"/>
  <c r="T713" i="9"/>
  <c r="T479" i="9"/>
  <c r="T349" i="9"/>
  <c r="T689" i="9"/>
  <c r="T718" i="9"/>
  <c r="T724" i="9"/>
  <c r="T381" i="9"/>
  <c r="T717" i="9"/>
  <c r="T154" i="9"/>
  <c r="T425" i="9"/>
  <c r="T688" i="9"/>
  <c r="T710" i="9"/>
  <c r="T708" i="9"/>
  <c r="T702" i="9"/>
  <c r="T200" i="9"/>
  <c r="T20" i="9"/>
  <c r="T709" i="9"/>
  <c r="T230" i="5"/>
  <c r="T218" i="9"/>
  <c r="T705" i="9"/>
  <c r="T693" i="9"/>
  <c r="T692" i="9"/>
  <c r="T515" i="9"/>
  <c r="T695" i="9"/>
  <c r="T694" i="9"/>
  <c r="T442" i="9"/>
  <c r="T719" i="9"/>
  <c r="T687" i="9"/>
  <c r="T562" i="9"/>
  <c r="T690" i="9"/>
  <c r="T727" i="9"/>
  <c r="T175" i="9"/>
  <c r="T726" i="9"/>
  <c r="T725" i="9"/>
  <c r="AN266" i="9" l="1"/>
  <c r="AO266" i="9" s="1"/>
  <c r="W299" i="5"/>
  <c r="AN35" i="5"/>
  <c r="AO35" i="5" s="1"/>
  <c r="AN323" i="5"/>
  <c r="AO323" i="5" s="1"/>
  <c r="AJ331" i="5"/>
  <c r="AJ270" i="9"/>
  <c r="W39" i="5"/>
  <c r="W238" i="5"/>
  <c r="W208" i="5"/>
  <c r="AN286" i="5"/>
  <c r="AO286" i="5" s="1"/>
  <c r="AN120" i="5"/>
  <c r="AO120" i="5" s="1"/>
  <c r="W10" i="5"/>
  <c r="W167" i="5"/>
  <c r="W64" i="5"/>
  <c r="AS270" i="9"/>
  <c r="AT270" i="9" s="1"/>
  <c r="AS245" i="9"/>
  <c r="AT245" i="9" s="1"/>
  <c r="AN228" i="5"/>
  <c r="AO228" i="5" s="1"/>
  <c r="AN652" i="9"/>
  <c r="AS652" i="9" s="1"/>
  <c r="AT652" i="9" s="1"/>
  <c r="AN335" i="5"/>
  <c r="AO335" i="5" s="1"/>
  <c r="AN198" i="5"/>
  <c r="AO198" i="5" s="1"/>
  <c r="AN169" i="5"/>
  <c r="AS169" i="5" s="1"/>
  <c r="AN81" i="5"/>
  <c r="AO81" i="5" s="1"/>
  <c r="AN173" i="9"/>
  <c r="AO173" i="9" s="1"/>
  <c r="W309" i="5"/>
  <c r="W232" i="5"/>
  <c r="W114" i="5"/>
  <c r="AN267" i="9"/>
  <c r="AS267" i="9" s="1"/>
  <c r="AT267" i="9" s="1"/>
  <c r="W342" i="5"/>
  <c r="AJ273" i="9"/>
  <c r="AS273" i="9"/>
  <c r="AT273" i="9" s="1"/>
  <c r="AN116" i="5"/>
  <c r="AO116" i="5" s="1"/>
  <c r="AJ245" i="9"/>
  <c r="AN239" i="5"/>
  <c r="AO239" i="5" s="1"/>
  <c r="AN216" i="9"/>
  <c r="AO216" i="9" s="1"/>
  <c r="AS235" i="9"/>
  <c r="AT235" i="9" s="1"/>
  <c r="AN18" i="9"/>
  <c r="AO18" i="9" s="1"/>
  <c r="AJ235" i="9"/>
  <c r="AN65" i="5"/>
  <c r="AO65" i="5" s="1"/>
  <c r="W74" i="5"/>
  <c r="AN105" i="5"/>
  <c r="AO105" i="5" s="1"/>
  <c r="AS240" i="9"/>
  <c r="AT240" i="9" s="1"/>
  <c r="AJ240" i="9"/>
  <c r="W190" i="5"/>
  <c r="AN71" i="5"/>
  <c r="AO71" i="5" s="1"/>
  <c r="AJ17" i="5"/>
  <c r="AN197" i="5"/>
  <c r="AS197" i="5" s="1"/>
  <c r="AT197" i="5" s="1"/>
  <c r="AN329" i="5"/>
  <c r="AO329" i="5" s="1"/>
  <c r="AN215" i="5"/>
  <c r="AO215" i="5" s="1"/>
  <c r="W328" i="5"/>
  <c r="W69" i="5"/>
  <c r="W314" i="5"/>
  <c r="AN251" i="5"/>
  <c r="AO251" i="5" s="1"/>
  <c r="W59" i="5"/>
  <c r="AN103" i="9"/>
  <c r="AO103" i="9" s="1"/>
  <c r="AN305" i="9"/>
  <c r="AO305" i="9" s="1"/>
  <c r="AN204" i="5"/>
  <c r="AO204" i="5" s="1"/>
  <c r="AN234" i="5"/>
  <c r="AO234" i="5" s="1"/>
  <c r="AN246" i="5"/>
  <c r="AO246" i="5" s="1"/>
  <c r="AN258" i="5"/>
  <c r="AO258" i="5" s="1"/>
  <c r="AN93" i="5"/>
  <c r="AO93" i="5" s="1"/>
  <c r="AN203" i="5"/>
  <c r="AO203" i="5" s="1"/>
  <c r="AN301" i="5"/>
  <c r="AO301" i="5" s="1"/>
  <c r="AJ36" i="5"/>
  <c r="AN151" i="9"/>
  <c r="AO151" i="9" s="1"/>
  <c r="W34" i="5"/>
  <c r="AN337" i="5"/>
  <c r="AO337" i="5" s="1"/>
  <c r="AN221" i="5"/>
  <c r="AO221" i="5" s="1"/>
  <c r="W15" i="5"/>
  <c r="AN70" i="5"/>
  <c r="AO70" i="5" s="1"/>
  <c r="AN192" i="5"/>
  <c r="AO192" i="5" s="1"/>
  <c r="AN51" i="5"/>
  <c r="AO51" i="5" s="1"/>
  <c r="AN11" i="5"/>
  <c r="AO11" i="5" s="1"/>
  <c r="AN209" i="5"/>
  <c r="AO209" i="5" s="1"/>
  <c r="AN216" i="5"/>
  <c r="AO216" i="5" s="1"/>
  <c r="W49" i="5"/>
  <c r="W118" i="5"/>
  <c r="W103" i="5"/>
  <c r="AN330" i="5"/>
  <c r="AO330" i="5" s="1"/>
  <c r="W284" i="5"/>
  <c r="W244" i="5"/>
  <c r="W24" i="5"/>
  <c r="AJ186" i="5"/>
  <c r="W250" i="5"/>
  <c r="AN75" i="5"/>
  <c r="AO75" i="5" s="1"/>
  <c r="AJ94" i="5"/>
  <c r="AN14" i="5"/>
  <c r="AO14" i="5" s="1"/>
  <c r="AN26" i="5"/>
  <c r="AO26" i="5" s="1"/>
  <c r="AN104" i="5"/>
  <c r="AO104" i="5" s="1"/>
  <c r="AN25" i="5"/>
  <c r="AO25" i="5" s="1"/>
  <c r="W202" i="5"/>
  <c r="AN210" i="5"/>
  <c r="AO210" i="5" s="1"/>
  <c r="W138" i="5"/>
  <c r="AN459" i="9"/>
  <c r="AO459" i="9" s="1"/>
  <c r="W214" i="5"/>
  <c r="W256" i="5"/>
  <c r="AN317" i="5"/>
  <c r="AS317" i="5" s="1"/>
  <c r="W92" i="5"/>
  <c r="AN76" i="5"/>
  <c r="AS76" i="5" s="1"/>
  <c r="AT76" i="5" s="1"/>
  <c r="W220" i="5"/>
  <c r="AN313" i="5"/>
  <c r="AO313" i="5" s="1"/>
  <c r="AJ61" i="5"/>
  <c r="AN276" i="9"/>
  <c r="AS276" i="9" s="1"/>
  <c r="AT276" i="9" s="1"/>
  <c r="AN304" i="5"/>
  <c r="AS304" i="5" s="1"/>
  <c r="AT304" i="5" s="1"/>
  <c r="W79" i="5"/>
  <c r="W184" i="5"/>
  <c r="AN12" i="5"/>
  <c r="AO12" i="5" s="1"/>
  <c r="AN40" i="5"/>
  <c r="AO40" i="5" s="1"/>
  <c r="AN60" i="5"/>
  <c r="AO60" i="5" s="1"/>
  <c r="AN252" i="5"/>
  <c r="AO252" i="5" s="1"/>
  <c r="AN16" i="5"/>
  <c r="AO16" i="5" s="1"/>
  <c r="AN502" i="9"/>
  <c r="AS502" i="9" s="1"/>
  <c r="AJ461" i="9"/>
  <c r="AN275" i="9"/>
  <c r="AO275" i="9" s="1"/>
  <c r="AN259" i="9"/>
  <c r="AO259" i="9" s="1"/>
  <c r="AN274" i="9"/>
  <c r="AO274" i="9" s="1"/>
  <c r="AN119" i="5"/>
  <c r="AO119" i="5" s="1"/>
  <c r="AN315" i="5"/>
  <c r="AO315" i="5" s="1"/>
  <c r="AJ269" i="9"/>
  <c r="AS269" i="9"/>
  <c r="AT269" i="9" s="1"/>
  <c r="AN272" i="5"/>
  <c r="AO272" i="5" s="1"/>
  <c r="AN245" i="5"/>
  <c r="AO245" i="5" s="1"/>
  <c r="W247" i="9"/>
  <c r="AJ601" i="9"/>
  <c r="AN285" i="5"/>
  <c r="AO285" i="5" s="1"/>
  <c r="AN268" i="9"/>
  <c r="AO268" i="9" s="1"/>
  <c r="AN185" i="5"/>
  <c r="AO185" i="5" s="1"/>
  <c r="AN80" i="5"/>
  <c r="AO80" i="5" s="1"/>
  <c r="AN262" i="9"/>
  <c r="AS262" i="9" s="1"/>
  <c r="AT262" i="9" s="1"/>
  <c r="AN117" i="5"/>
  <c r="AO117" i="5" s="1"/>
  <c r="AN308" i="5"/>
  <c r="AO308" i="5" s="1"/>
  <c r="AN236" i="9"/>
  <c r="AS236" i="9" s="1"/>
  <c r="AT236" i="9" s="1"/>
  <c r="AN379" i="9"/>
  <c r="AS379" i="9" s="1"/>
  <c r="AT379" i="9" s="1"/>
  <c r="AJ302" i="5"/>
  <c r="AN257" i="5"/>
  <c r="AO257" i="5" s="1"/>
  <c r="AN139" i="5"/>
  <c r="AO139" i="5" s="1"/>
  <c r="AN227" i="5"/>
  <c r="AO227" i="5" s="1"/>
  <c r="AJ233" i="9"/>
  <c r="AS271" i="9"/>
  <c r="AT271" i="9" s="1"/>
  <c r="AN222" i="5"/>
  <c r="AO222" i="5" s="1"/>
  <c r="AN300" i="5"/>
  <c r="AO300" i="5" s="1"/>
  <c r="AN254" i="9"/>
  <c r="AO254" i="9" s="1"/>
  <c r="AN64" i="9"/>
  <c r="AO64" i="9" s="1"/>
  <c r="AN257" i="9"/>
  <c r="AO257" i="9" s="1"/>
  <c r="AN338" i="5"/>
  <c r="AO338" i="5" s="1"/>
  <c r="AN66" i="5"/>
  <c r="AO66" i="5" s="1"/>
  <c r="AN41" i="5"/>
  <c r="AS41" i="5" s="1"/>
  <c r="AN321" i="5"/>
  <c r="AO321" i="5" s="1"/>
  <c r="AN230" i="9"/>
  <c r="AS230" i="9" s="1"/>
  <c r="AT230" i="9" s="1"/>
  <c r="AN140" i="5"/>
  <c r="AS140" i="5" s="1"/>
  <c r="AT140" i="5" s="1"/>
  <c r="AJ240" i="5"/>
  <c r="AN231" i="9"/>
  <c r="AS231" i="9" s="1"/>
  <c r="AT231" i="9" s="1"/>
  <c r="AN50" i="5"/>
  <c r="AO50" i="5" s="1"/>
  <c r="AN241" i="9"/>
  <c r="AS241" i="9" s="1"/>
  <c r="AT241" i="9" s="1"/>
  <c r="AN278" i="9"/>
  <c r="AO278" i="9" s="1"/>
  <c r="AN168" i="5"/>
  <c r="AO168" i="5" s="1"/>
  <c r="AJ271" i="9"/>
  <c r="AN344" i="5"/>
  <c r="AO344" i="5" s="1"/>
  <c r="AN115" i="5"/>
  <c r="AO115" i="5" s="1"/>
  <c r="AN255" i="9"/>
  <c r="AO255" i="9" s="1"/>
  <c r="AN238" i="9"/>
  <c r="AS238" i="9" s="1"/>
  <c r="AT238" i="9" s="1"/>
  <c r="AN232" i="9"/>
  <c r="AS232" i="9" s="1"/>
  <c r="AT232" i="9" s="1"/>
  <c r="AN505" i="9"/>
  <c r="AO505" i="9" s="1"/>
  <c r="AN503" i="9"/>
  <c r="AO503" i="9" s="1"/>
  <c r="W504" i="9"/>
  <c r="AS461" i="9"/>
  <c r="AT461" i="9" s="1"/>
  <c r="AN237" i="9"/>
  <c r="AO237" i="9" s="1"/>
  <c r="AS601" i="9"/>
  <c r="AX601" i="9" s="1"/>
  <c r="AY601" i="9" s="1"/>
  <c r="AN311" i="5"/>
  <c r="AO311" i="5" s="1"/>
  <c r="AN233" i="5"/>
  <c r="AO233" i="5" s="1"/>
  <c r="AN310" i="5"/>
  <c r="AO310" i="5" s="1"/>
  <c r="AN319" i="5"/>
  <c r="AO319" i="5" s="1"/>
  <c r="AN263" i="9"/>
  <c r="AO263" i="9" s="1"/>
  <c r="AN13" i="5"/>
  <c r="AO13" i="5" s="1"/>
  <c r="AN333" i="5"/>
  <c r="AO333" i="5" s="1"/>
  <c r="AS233" i="9"/>
  <c r="AT233" i="9" s="1"/>
  <c r="AN253" i="9"/>
  <c r="AS253" i="9" s="1"/>
  <c r="AT253" i="9" s="1"/>
  <c r="AN440" i="9"/>
  <c r="AO440" i="9" s="1"/>
  <c r="AN325" i="5"/>
  <c r="AO325" i="5" s="1"/>
  <c r="AN191" i="5"/>
  <c r="AS191" i="5" s="1"/>
  <c r="AT191" i="5" s="1"/>
  <c r="AN316" i="5"/>
  <c r="AO316" i="5" s="1"/>
  <c r="AN327" i="5"/>
  <c r="AO327" i="5" s="1"/>
  <c r="AN343" i="5"/>
  <c r="AO343" i="5" s="1"/>
  <c r="AN306" i="5"/>
  <c r="AO306" i="5" s="1"/>
  <c r="AN258" i="9"/>
  <c r="AO258" i="9" s="1"/>
  <c r="V562" i="9"/>
  <c r="W550" i="9" s="1"/>
  <c r="V690" i="9"/>
  <c r="AI690" i="9"/>
  <c r="AJ690" i="9" s="1"/>
  <c r="U690" i="9"/>
  <c r="V729" i="9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N484" i="9"/>
  <c r="AO484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N261" i="9"/>
  <c r="AO261" i="9" s="1"/>
  <c r="AS266" i="9"/>
  <c r="AT266" i="9" s="1"/>
  <c r="V200" i="5"/>
  <c r="W196" i="5" s="1"/>
  <c r="V230" i="5"/>
  <c r="W226" i="5" s="1"/>
  <c r="U200" i="5"/>
  <c r="U230" i="5"/>
  <c r="AX251" i="9"/>
  <c r="AY251" i="9" s="1"/>
  <c r="AX249" i="9"/>
  <c r="AY249" i="9" s="1"/>
  <c r="AJ104" i="9"/>
  <c r="AX102" i="9"/>
  <c r="AY102" i="9" s="1"/>
  <c r="AX17" i="9"/>
  <c r="AY17" i="9" s="1"/>
  <c r="AS104" i="9"/>
  <c r="AT104" i="9" s="1"/>
  <c r="AX63" i="9"/>
  <c r="AY63" i="9" s="1"/>
  <c r="AX197" i="9"/>
  <c r="AY197" i="9" s="1"/>
  <c r="AN153" i="9"/>
  <c r="AO15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X341" i="5"/>
  <c r="AY341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J27" i="5"/>
  <c r="AN27" i="5"/>
  <c r="AS27" i="5" s="1"/>
  <c r="AT27" i="5" s="1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J52" i="5"/>
  <c r="AN52" i="5"/>
  <c r="AS52" i="5" s="1"/>
  <c r="AT52" i="5" s="1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94" i="5"/>
  <c r="AS94" i="5"/>
  <c r="AT94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J77" i="5"/>
  <c r="AN77" i="5"/>
  <c r="AS77" i="5" s="1"/>
  <c r="AT77" i="5" s="1"/>
  <c r="AL123" i="5"/>
  <c r="AM122" i="5"/>
  <c r="AL44" i="5"/>
  <c r="AM43" i="5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219" i="9"/>
  <c r="T155" i="9"/>
  <c r="T308" i="9"/>
  <c r="T276" i="5"/>
  <c r="T518" i="9"/>
  <c r="T21" i="9"/>
  <c r="T426" i="9"/>
  <c r="T106" i="9"/>
  <c r="T201" i="9"/>
  <c r="T443" i="9"/>
  <c r="T67" i="9"/>
  <c r="T480" i="9"/>
  <c r="T176" i="9"/>
  <c r="AX652" i="9" l="1"/>
  <c r="AY652" i="9" s="1"/>
  <c r="AS286" i="5"/>
  <c r="AX286" i="5" s="1"/>
  <c r="AY286" i="5" s="1"/>
  <c r="AS323" i="5"/>
  <c r="AT323" i="5" s="1"/>
  <c r="AS35" i="5"/>
  <c r="AT35" i="5" s="1"/>
  <c r="AS120" i="5"/>
  <c r="AT120" i="5" s="1"/>
  <c r="AS173" i="9"/>
  <c r="AT173" i="9" s="1"/>
  <c r="AS228" i="5"/>
  <c r="AT228" i="5" s="1"/>
  <c r="AS116" i="5"/>
  <c r="AT116" i="5" s="1"/>
  <c r="AO652" i="9"/>
  <c r="AS198" i="5"/>
  <c r="AT198" i="5" s="1"/>
  <c r="AX245" i="9"/>
  <c r="AY245" i="9" s="1"/>
  <c r="AX270" i="9"/>
  <c r="AY270" i="9" s="1"/>
  <c r="AS81" i="5"/>
  <c r="AT81" i="5" s="1"/>
  <c r="AO267" i="9"/>
  <c r="AO169" i="5"/>
  <c r="AX267" i="9"/>
  <c r="AY267" i="9" s="1"/>
  <c r="AS335" i="5"/>
  <c r="AT335" i="5" s="1"/>
  <c r="AS216" i="9"/>
  <c r="AT216" i="9" s="1"/>
  <c r="AS325" i="5"/>
  <c r="AT325" i="5" s="1"/>
  <c r="AS215" i="5"/>
  <c r="AT215" i="5" s="1"/>
  <c r="AX253" i="9"/>
  <c r="AY253" i="9" s="1"/>
  <c r="AX197" i="5"/>
  <c r="AY197" i="5" s="1"/>
  <c r="AX273" i="9"/>
  <c r="AY273" i="9" s="1"/>
  <c r="AX240" i="9"/>
  <c r="AY240" i="9" s="1"/>
  <c r="AS105" i="5"/>
  <c r="AT105" i="5" s="1"/>
  <c r="AX191" i="5"/>
  <c r="AY191" i="5" s="1"/>
  <c r="AS315" i="5"/>
  <c r="AT315" i="5" s="1"/>
  <c r="AS251" i="5"/>
  <c r="AT251" i="5" s="1"/>
  <c r="AX235" i="9"/>
  <c r="AY235" i="9" s="1"/>
  <c r="AS239" i="5"/>
  <c r="AT239" i="5" s="1"/>
  <c r="AS71" i="5"/>
  <c r="AX71" i="5" s="1"/>
  <c r="AY71" i="5" s="1"/>
  <c r="AS18" i="9"/>
  <c r="AT18" i="9" s="1"/>
  <c r="AS65" i="5"/>
  <c r="AT65" i="5" s="1"/>
  <c r="AO197" i="5"/>
  <c r="AO317" i="5"/>
  <c r="AO41" i="5"/>
  <c r="AS329" i="5"/>
  <c r="AT329" i="5" s="1"/>
  <c r="AS503" i="9"/>
  <c r="AX503" i="9" s="1"/>
  <c r="AY503" i="9" s="1"/>
  <c r="AS259" i="9"/>
  <c r="AT259" i="9" s="1"/>
  <c r="AS103" i="9"/>
  <c r="AT103" i="9" s="1"/>
  <c r="AS305" i="9"/>
  <c r="AT305" i="9" s="1"/>
  <c r="AS93" i="5"/>
  <c r="AT93" i="5" s="1"/>
  <c r="AS203" i="5"/>
  <c r="AT203" i="5" s="1"/>
  <c r="AO262" i="9"/>
  <c r="AS246" i="5"/>
  <c r="AT246" i="5" s="1"/>
  <c r="AX238" i="9"/>
  <c r="AY238" i="9" s="1"/>
  <c r="AO238" i="9"/>
  <c r="AX140" i="5"/>
  <c r="AY140" i="5" s="1"/>
  <c r="AS316" i="5"/>
  <c r="AT316" i="5" s="1"/>
  <c r="AS209" i="5"/>
  <c r="AT209" i="5" s="1"/>
  <c r="AS13" i="5"/>
  <c r="AT13" i="5" s="1"/>
  <c r="AS301" i="5"/>
  <c r="AT301" i="5" s="1"/>
  <c r="AS338" i="5"/>
  <c r="AT338" i="5" s="1"/>
  <c r="AS151" i="9"/>
  <c r="AT151" i="9" s="1"/>
  <c r="AS333" i="5"/>
  <c r="AT333" i="5" s="1"/>
  <c r="AS330" i="5"/>
  <c r="AX330" i="5" s="1"/>
  <c r="AY330" i="5" s="1"/>
  <c r="AS192" i="5"/>
  <c r="AX192" i="5" s="1"/>
  <c r="AY192" i="5" s="1"/>
  <c r="AS216" i="5"/>
  <c r="AT216" i="5" s="1"/>
  <c r="AS234" i="5"/>
  <c r="AT234" i="5" s="1"/>
  <c r="AS204" i="5"/>
  <c r="AX204" i="5" s="1"/>
  <c r="AY204" i="5" s="1"/>
  <c r="AX233" i="9"/>
  <c r="AY233" i="9" s="1"/>
  <c r="AS257" i="9"/>
  <c r="AT257" i="9" s="1"/>
  <c r="AS16" i="5"/>
  <c r="AT16" i="5" s="1"/>
  <c r="AS11" i="5"/>
  <c r="AT11" i="5" s="1"/>
  <c r="AS221" i="5"/>
  <c r="AT221" i="5" s="1"/>
  <c r="AS337" i="5"/>
  <c r="AT337" i="5" s="1"/>
  <c r="AO502" i="9"/>
  <c r="AS252" i="5"/>
  <c r="AX252" i="5" s="1"/>
  <c r="AY252" i="5" s="1"/>
  <c r="AS258" i="5"/>
  <c r="AT258" i="5" s="1"/>
  <c r="AS51" i="5"/>
  <c r="AT51" i="5" s="1"/>
  <c r="AO191" i="5"/>
  <c r="AS14" i="5"/>
  <c r="AX14" i="5" s="1"/>
  <c r="AY14" i="5" s="1"/>
  <c r="AS168" i="5"/>
  <c r="AT168" i="5" s="1"/>
  <c r="AS60" i="5"/>
  <c r="AT60" i="5" s="1"/>
  <c r="AS344" i="5"/>
  <c r="AT344" i="5" s="1"/>
  <c r="AS104" i="5"/>
  <c r="AT104" i="5" s="1"/>
  <c r="AS274" i="9"/>
  <c r="AT274" i="9" s="1"/>
  <c r="AS70" i="5"/>
  <c r="AT70" i="5" s="1"/>
  <c r="AS275" i="9"/>
  <c r="AT275" i="9" s="1"/>
  <c r="AS64" i="9"/>
  <c r="AT64" i="9" s="1"/>
  <c r="AS440" i="9"/>
  <c r="AT440" i="9" s="1"/>
  <c r="AO241" i="9"/>
  <c r="AS263" i="9"/>
  <c r="AX263" i="9" s="1"/>
  <c r="AY263" i="9" s="1"/>
  <c r="AS321" i="5"/>
  <c r="AT321" i="5" s="1"/>
  <c r="AO231" i="9"/>
  <c r="AS459" i="9"/>
  <c r="AT459" i="9" s="1"/>
  <c r="AS40" i="5"/>
  <c r="AT40" i="5" s="1"/>
  <c r="AS278" i="9"/>
  <c r="AT278" i="9" s="1"/>
  <c r="AS343" i="5"/>
  <c r="AT343" i="5" s="1"/>
  <c r="AO140" i="5"/>
  <c r="AS75" i="5"/>
  <c r="AT75" i="5" s="1"/>
  <c r="AS26" i="5"/>
  <c r="AT26" i="5" s="1"/>
  <c r="AS258" i="9"/>
  <c r="AT258" i="9" s="1"/>
  <c r="AO304" i="5"/>
  <c r="AS313" i="5"/>
  <c r="AT313" i="5" s="1"/>
  <c r="AS12" i="5"/>
  <c r="AT12" i="5" s="1"/>
  <c r="AS25" i="5"/>
  <c r="AT25" i="5" s="1"/>
  <c r="AS300" i="5"/>
  <c r="AT300" i="5" s="1"/>
  <c r="AX276" i="9"/>
  <c r="AY276" i="9" s="1"/>
  <c r="AO236" i="9"/>
  <c r="AX304" i="5"/>
  <c r="AY304" i="5" s="1"/>
  <c r="AS310" i="5"/>
  <c r="AT310" i="5" s="1"/>
  <c r="AS66" i="5"/>
  <c r="AX66" i="5" s="1"/>
  <c r="AY66" i="5" s="1"/>
  <c r="AS254" i="9"/>
  <c r="AT254" i="9" s="1"/>
  <c r="AO379" i="9"/>
  <c r="AO76" i="5"/>
  <c r="AS210" i="5"/>
  <c r="AT210" i="5" s="1"/>
  <c r="AS327" i="5"/>
  <c r="AT327" i="5" s="1"/>
  <c r="AX269" i="9"/>
  <c r="AY269" i="9" s="1"/>
  <c r="AS255" i="9"/>
  <c r="AX255" i="9" s="1"/>
  <c r="AY255" i="9" s="1"/>
  <c r="AO276" i="9"/>
  <c r="AT601" i="9"/>
  <c r="AS222" i="5"/>
  <c r="AT222" i="5" s="1"/>
  <c r="AS311" i="5"/>
  <c r="AT311" i="5" s="1"/>
  <c r="AS237" i="9"/>
  <c r="AX237" i="9" s="1"/>
  <c r="AY237" i="9" s="1"/>
  <c r="AS285" i="5"/>
  <c r="AT285" i="5" s="1"/>
  <c r="AS308" i="5"/>
  <c r="AT308" i="5" s="1"/>
  <c r="AS268" i="9"/>
  <c r="AX268" i="9" s="1"/>
  <c r="AY268" i="9" s="1"/>
  <c r="AO230" i="9"/>
  <c r="AS505" i="9"/>
  <c r="AT505" i="9" s="1"/>
  <c r="AS50" i="5"/>
  <c r="AT50" i="5" s="1"/>
  <c r="AX230" i="9"/>
  <c r="AY230" i="9" s="1"/>
  <c r="AO253" i="9"/>
  <c r="AX271" i="9"/>
  <c r="AY271" i="9" s="1"/>
  <c r="AS117" i="5"/>
  <c r="AT117" i="5" s="1"/>
  <c r="AS139" i="5"/>
  <c r="AT139" i="5" s="1"/>
  <c r="AX461" i="9"/>
  <c r="AY461" i="9" s="1"/>
  <c r="AO232" i="9"/>
  <c r="AS272" i="5"/>
  <c r="AT272" i="5" s="1"/>
  <c r="AS245" i="5"/>
  <c r="AT245" i="5" s="1"/>
  <c r="AS306" i="5"/>
  <c r="AT306" i="5" s="1"/>
  <c r="AS319" i="5"/>
  <c r="AT319" i="5" s="1"/>
  <c r="AS115" i="5"/>
  <c r="AT115" i="5" s="1"/>
  <c r="AS227" i="5"/>
  <c r="AT227" i="5" s="1"/>
  <c r="AX236" i="9"/>
  <c r="AY236" i="9" s="1"/>
  <c r="AX262" i="9"/>
  <c r="AY262" i="9" s="1"/>
  <c r="AS233" i="5"/>
  <c r="AT233" i="5" s="1"/>
  <c r="AS185" i="5"/>
  <c r="AT185" i="5" s="1"/>
  <c r="AS257" i="5"/>
  <c r="AT257" i="5" s="1"/>
  <c r="AX232" i="9"/>
  <c r="AY232" i="9" s="1"/>
  <c r="AS119" i="5"/>
  <c r="AT119" i="5" s="1"/>
  <c r="AS80" i="5"/>
  <c r="AT80" i="5" s="1"/>
  <c r="AX241" i="9"/>
  <c r="AY241" i="9" s="1"/>
  <c r="AX231" i="9"/>
  <c r="AY231" i="9" s="1"/>
  <c r="AN690" i="9"/>
  <c r="AO690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484" i="9"/>
  <c r="AJ307" i="9"/>
  <c r="AX653" i="9"/>
  <c r="AY653" i="9" s="1"/>
  <c r="AX559" i="9"/>
  <c r="AY559" i="9" s="1"/>
  <c r="AX633" i="9"/>
  <c r="AY633" i="9" s="1"/>
  <c r="AS444" i="9"/>
  <c r="AT444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66" i="9"/>
  <c r="AY266" i="9" s="1"/>
  <c r="AO200" i="9"/>
  <c r="AX104" i="9"/>
  <c r="AY104" i="9" s="1"/>
  <c r="AX173" i="9"/>
  <c r="AY173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36" i="5"/>
  <c r="AY36" i="5" s="1"/>
  <c r="AS38" i="5"/>
  <c r="AT38" i="5" s="1"/>
  <c r="AS95" i="5"/>
  <c r="AT95" i="5" s="1"/>
  <c r="AS73" i="5"/>
  <c r="AT73" i="5" s="1"/>
  <c r="AS235" i="5"/>
  <c r="AT235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O170" i="5"/>
  <c r="AX170" i="5"/>
  <c r="AY170" i="5" s="1"/>
  <c r="AJ248" i="5"/>
  <c r="AN248" i="5"/>
  <c r="AO248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Q98" i="5"/>
  <c r="AR97" i="5"/>
  <c r="AV290" i="5"/>
  <c r="AW289" i="5"/>
  <c r="AO72" i="5"/>
  <c r="AX72" i="5"/>
  <c r="AY72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S205" i="5"/>
  <c r="AJ107" i="5"/>
  <c r="AN107" i="5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107" i="9"/>
  <c r="T352" i="9"/>
  <c r="T68" i="9"/>
  <c r="T637" i="9"/>
  <c r="T712" i="9"/>
  <c r="T309" i="9"/>
  <c r="T22" i="9"/>
  <c r="T466" i="9"/>
  <c r="T446" i="9"/>
  <c r="T277" i="5"/>
  <c r="T220" i="9"/>
  <c r="T202" i="9"/>
  <c r="T481" i="9"/>
  <c r="T177" i="9"/>
  <c r="T465" i="9"/>
  <c r="T427" i="9"/>
  <c r="T156" i="9"/>
  <c r="AT286" i="5" l="1"/>
  <c r="AX323" i="5"/>
  <c r="AY323" i="5" s="1"/>
  <c r="AX116" i="5"/>
  <c r="AY116" i="5" s="1"/>
  <c r="AX35" i="5"/>
  <c r="AY35" i="5" s="1"/>
  <c r="AX335" i="5"/>
  <c r="AY335" i="5" s="1"/>
  <c r="AX198" i="5"/>
  <c r="AY198" i="5" s="1"/>
  <c r="AX325" i="5"/>
  <c r="AY325" i="5" s="1"/>
  <c r="AX215" i="5"/>
  <c r="AY215" i="5" s="1"/>
  <c r="AX228" i="5"/>
  <c r="AY228" i="5" s="1"/>
  <c r="AT71" i="5"/>
  <c r="AX81" i="5"/>
  <c r="AY81" i="5" s="1"/>
  <c r="AX315" i="5"/>
  <c r="AY315" i="5" s="1"/>
  <c r="AX251" i="5"/>
  <c r="AY251" i="5" s="1"/>
  <c r="AX216" i="9"/>
  <c r="AY216" i="9" s="1"/>
  <c r="AX239" i="5"/>
  <c r="AY239" i="5" s="1"/>
  <c r="AX246" i="5"/>
  <c r="AY246" i="5" s="1"/>
  <c r="AX105" i="5"/>
  <c r="AY105" i="5" s="1"/>
  <c r="AX329" i="5"/>
  <c r="AY329" i="5" s="1"/>
  <c r="AX259" i="9"/>
  <c r="AY259" i="9" s="1"/>
  <c r="AX103" i="9"/>
  <c r="AY103" i="9" s="1"/>
  <c r="AX305" i="9"/>
  <c r="AY305" i="9" s="1"/>
  <c r="AX18" i="9"/>
  <c r="AY18" i="9" s="1"/>
  <c r="AX274" i="9"/>
  <c r="AY274" i="9" s="1"/>
  <c r="AX65" i="5"/>
  <c r="AY65" i="5" s="1"/>
  <c r="AT503" i="9"/>
  <c r="AX234" i="5"/>
  <c r="AY234" i="5" s="1"/>
  <c r="AT204" i="5"/>
  <c r="AX104" i="5"/>
  <c r="AY104" i="5" s="1"/>
  <c r="AX93" i="5"/>
  <c r="AY93" i="5" s="1"/>
  <c r="AX151" i="9"/>
  <c r="AY151" i="9" s="1"/>
  <c r="AX221" i="5"/>
  <c r="AY221" i="5" s="1"/>
  <c r="AX203" i="5"/>
  <c r="AY203" i="5" s="1"/>
  <c r="AT255" i="9"/>
  <c r="AX275" i="9"/>
  <c r="AY275" i="9" s="1"/>
  <c r="AX11" i="5"/>
  <c r="AY11" i="5" s="1"/>
  <c r="AX50" i="5"/>
  <c r="AY50" i="5" s="1"/>
  <c r="AX338" i="5"/>
  <c r="AY338" i="5" s="1"/>
  <c r="AX343" i="5"/>
  <c r="AY343" i="5" s="1"/>
  <c r="AX13" i="5"/>
  <c r="AY13" i="5" s="1"/>
  <c r="AX308" i="5"/>
  <c r="AY308" i="5" s="1"/>
  <c r="AX209" i="5"/>
  <c r="AY209" i="5" s="1"/>
  <c r="AX313" i="5"/>
  <c r="AY313" i="5" s="1"/>
  <c r="AX16" i="5"/>
  <c r="AY16" i="5" s="1"/>
  <c r="AT14" i="5"/>
  <c r="AX60" i="5"/>
  <c r="AY60" i="5" s="1"/>
  <c r="AX316" i="5"/>
  <c r="AY316" i="5" s="1"/>
  <c r="AX301" i="5"/>
  <c r="AY301" i="5" s="1"/>
  <c r="AX254" i="9"/>
  <c r="AY254" i="9" s="1"/>
  <c r="AX168" i="5"/>
  <c r="AY168" i="5" s="1"/>
  <c r="AX344" i="5"/>
  <c r="AY344" i="5" s="1"/>
  <c r="AT192" i="5"/>
  <c r="AX216" i="5"/>
  <c r="AY216" i="5" s="1"/>
  <c r="AX257" i="9"/>
  <c r="AY257" i="9" s="1"/>
  <c r="AT330" i="5"/>
  <c r="AT237" i="9"/>
  <c r="AX285" i="5"/>
  <c r="AY285" i="5" s="1"/>
  <c r="AX70" i="5"/>
  <c r="AY70" i="5" s="1"/>
  <c r="AX258" i="5"/>
  <c r="AY258" i="5" s="1"/>
  <c r="AX327" i="5"/>
  <c r="AY327" i="5" s="1"/>
  <c r="AX337" i="5"/>
  <c r="AY337" i="5" s="1"/>
  <c r="AX321" i="5"/>
  <c r="AY321" i="5" s="1"/>
  <c r="AT252" i="5"/>
  <c r="AX440" i="9"/>
  <c r="AY440" i="9" s="1"/>
  <c r="AX40" i="5"/>
  <c r="AY40" i="5" s="1"/>
  <c r="AX459" i="9"/>
  <c r="AY459" i="9" s="1"/>
  <c r="AX51" i="5"/>
  <c r="AY51" i="5" s="1"/>
  <c r="AX333" i="5"/>
  <c r="AY333" i="5" s="1"/>
  <c r="AX64" i="9"/>
  <c r="AY64" i="9" s="1"/>
  <c r="AX310" i="5"/>
  <c r="AY310" i="5" s="1"/>
  <c r="AX26" i="5"/>
  <c r="AY26" i="5" s="1"/>
  <c r="AT66" i="5"/>
  <c r="AX258" i="9"/>
  <c r="AY258" i="9" s="1"/>
  <c r="AX12" i="5"/>
  <c r="AY12" i="5" s="1"/>
  <c r="AX75" i="5"/>
  <c r="AY75" i="5" s="1"/>
  <c r="AX278" i="9"/>
  <c r="AY278" i="9" s="1"/>
  <c r="AT263" i="9"/>
  <c r="AX25" i="5"/>
  <c r="AY25" i="5" s="1"/>
  <c r="AX245" i="5"/>
  <c r="AY245" i="5" s="1"/>
  <c r="AX300" i="5"/>
  <c r="AY300" i="5" s="1"/>
  <c r="AX185" i="5"/>
  <c r="AY185" i="5" s="1"/>
  <c r="AX117" i="5"/>
  <c r="AY117" i="5" s="1"/>
  <c r="AX139" i="5"/>
  <c r="AY139" i="5" s="1"/>
  <c r="AX222" i="5"/>
  <c r="AY222" i="5" s="1"/>
  <c r="AX210" i="5"/>
  <c r="AY210" i="5" s="1"/>
  <c r="AX311" i="5"/>
  <c r="AY311" i="5" s="1"/>
  <c r="AX257" i="5"/>
  <c r="AY257" i="5" s="1"/>
  <c r="AX306" i="5"/>
  <c r="AY306" i="5" s="1"/>
  <c r="AX227" i="5"/>
  <c r="AY227" i="5" s="1"/>
  <c r="AX119" i="5"/>
  <c r="AY119" i="5" s="1"/>
  <c r="AT268" i="9"/>
  <c r="AX115" i="5"/>
  <c r="AY115" i="5" s="1"/>
  <c r="AX272" i="5"/>
  <c r="AY272" i="5" s="1"/>
  <c r="AX233" i="5"/>
  <c r="AY233" i="5" s="1"/>
  <c r="AX319" i="5"/>
  <c r="AY319" i="5" s="1"/>
  <c r="AX80" i="5"/>
  <c r="AY80" i="5" s="1"/>
  <c r="AX505" i="9"/>
  <c r="AY505" i="9" s="1"/>
  <c r="V637" i="9"/>
  <c r="AS690" i="9"/>
  <c r="AT690" i="9" s="1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108" i="9"/>
  <c r="T445" i="9"/>
  <c r="T158" i="9"/>
  <c r="T70" i="9"/>
  <c r="T310" i="9"/>
  <c r="T464" i="9"/>
  <c r="T429" i="9"/>
  <c r="T23" i="9"/>
  <c r="T221" i="9"/>
  <c r="T278" i="5"/>
  <c r="T203" i="9"/>
  <c r="AX690" i="9" l="1"/>
  <c r="AY690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Q639" i="9"/>
  <c r="AR638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X603" i="9" s="1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311" i="9"/>
  <c r="T355" i="9"/>
  <c r="T204" i="9"/>
  <c r="T430" i="9"/>
  <c r="T354" i="9"/>
  <c r="T639" i="9"/>
  <c r="T279" i="5"/>
  <c r="T448" i="9"/>
  <c r="T179" i="9"/>
  <c r="T24" i="9"/>
  <c r="T387" i="9"/>
  <c r="T71" i="9"/>
  <c r="T385" i="9"/>
  <c r="T222" i="9"/>
  <c r="T109" i="9"/>
  <c r="T159" i="9"/>
  <c r="V355" i="9" l="1"/>
  <c r="V311" i="9"/>
  <c r="AI355" i="9"/>
  <c r="AJ355" i="9" s="1"/>
  <c r="V639" i="9"/>
  <c r="W623" i="9" s="1"/>
  <c r="AO481" i="9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56" i="9"/>
  <c r="T432" i="9"/>
  <c r="T568" i="9"/>
  <c r="T388" i="9"/>
  <c r="T110" i="9"/>
  <c r="T280" i="5"/>
  <c r="T386" i="9"/>
  <c r="T180" i="9"/>
  <c r="T431" i="9"/>
  <c r="T205" i="9"/>
  <c r="T72" i="9"/>
  <c r="T160" i="9"/>
  <c r="T447" i="9"/>
  <c r="T482" i="9"/>
  <c r="T313" i="9"/>
  <c r="T25" i="9"/>
  <c r="T223" i="9"/>
  <c r="AN355" i="9" l="1"/>
  <c r="AO355" i="9" s="1"/>
  <c r="V356" i="9"/>
  <c r="AN448" i="9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11" i="9"/>
  <c r="T314" i="9"/>
  <c r="T161" i="9"/>
  <c r="T206" i="9"/>
  <c r="T26" i="9"/>
  <c r="T451" i="9"/>
  <c r="T224" i="9"/>
  <c r="T73" i="9"/>
  <c r="T181" i="9"/>
  <c r="T281" i="5"/>
  <c r="AS355" i="9" l="1"/>
  <c r="AX355" i="9" s="1"/>
  <c r="AY355" i="9" s="1"/>
  <c r="AS448" i="9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07" i="9"/>
  <c r="T358" i="9"/>
  <c r="T208" i="9"/>
  <c r="T282" i="5"/>
  <c r="T162" i="9"/>
  <c r="T112" i="9"/>
  <c r="T283" i="5"/>
  <c r="T182" i="9"/>
  <c r="T225" i="9"/>
  <c r="T449" i="9"/>
  <c r="T28" i="9"/>
  <c r="T315" i="9"/>
  <c r="T74" i="9"/>
  <c r="AT355" i="9" l="1"/>
  <c r="AN451" i="9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450" i="9"/>
  <c r="T76" i="9"/>
  <c r="T392" i="9"/>
  <c r="T163" i="9"/>
  <c r="T114" i="9"/>
  <c r="T316" i="9"/>
  <c r="T390" i="9"/>
  <c r="T29" i="9"/>
  <c r="T183" i="9"/>
  <c r="T226" i="9"/>
  <c r="T164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77" i="9"/>
  <c r="T227" i="9"/>
  <c r="T317" i="9"/>
  <c r="T360" i="9"/>
  <c r="T228" i="9"/>
  <c r="T115" i="9"/>
  <c r="T391" i="9"/>
  <c r="T184" i="9"/>
  <c r="T30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116" i="9"/>
  <c r="T185" i="9"/>
  <c r="T361" i="9"/>
  <c r="T31" i="9"/>
  <c r="T318" i="9"/>
  <c r="T78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186" i="9"/>
  <c r="T32" i="9"/>
  <c r="T319" i="9"/>
  <c r="T363" i="9"/>
  <c r="T117" i="9"/>
  <c r="T79" i="9"/>
  <c r="T362" i="9"/>
  <c r="T393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118" i="9"/>
  <c r="T187" i="9"/>
  <c r="T33" i="9"/>
  <c r="T8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364" i="9"/>
  <c r="T395" i="9"/>
  <c r="T34" i="9"/>
  <c r="T119" i="9"/>
  <c r="T189" i="9"/>
  <c r="T188" i="9"/>
  <c r="T81" i="9"/>
  <c r="T321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5" i="9"/>
  <c r="T120" i="9"/>
  <c r="T322" i="9"/>
  <c r="T82" i="9"/>
  <c r="T396" i="9"/>
  <c r="T366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6" i="9"/>
  <c r="T398" i="9"/>
  <c r="T323" i="9"/>
  <c r="T84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24" i="9"/>
  <c r="T401" i="9"/>
  <c r="T370" i="9"/>
  <c r="T369" i="9"/>
  <c r="T85" i="9"/>
  <c r="T368" i="9"/>
  <c r="T123" i="9"/>
  <c r="T37" i="9"/>
  <c r="T399" i="9"/>
  <c r="V369" i="9" l="1"/>
  <c r="V370" i="9"/>
  <c r="V401" i="9"/>
  <c r="V324" i="9"/>
  <c r="AS396" i="9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124" i="9"/>
  <c r="T582" i="9"/>
  <c r="T400" i="9"/>
  <c r="T38" i="9"/>
  <c r="T86" i="9"/>
  <c r="W365" i="9" l="1"/>
  <c r="AX396" i="9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125" i="9"/>
  <c r="T39" i="9"/>
  <c r="T87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126" i="9"/>
  <c r="T40" i="9"/>
  <c r="T404" i="9"/>
  <c r="T88" i="9"/>
  <c r="T402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2" i="9"/>
  <c r="T127" i="9"/>
  <c r="T329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330" i="9"/>
  <c r="T128" i="9"/>
  <c r="T328" i="9"/>
  <c r="T43" i="9"/>
  <c r="T90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331" i="9"/>
  <c r="T405" i="9"/>
  <c r="T44" i="9"/>
  <c r="T129" i="9"/>
  <c r="T9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131" i="9"/>
  <c r="T407" i="9"/>
  <c r="T92" i="9"/>
  <c r="T333" i="9"/>
  <c r="T409" i="9"/>
  <c r="T45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132" i="9"/>
  <c r="T408" i="9"/>
  <c r="T46" i="9"/>
  <c r="T94" i="9"/>
  <c r="T334" i="9"/>
  <c r="T93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133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13" i="9"/>
  <c r="T410" i="9"/>
  <c r="T337" i="9"/>
  <c r="T336" i="9"/>
  <c r="T49" i="9"/>
  <c r="T134" i="9"/>
  <c r="V413" i="9" l="1"/>
  <c r="V336" i="9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412" i="9"/>
  <c r="T136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52" i="9"/>
  <c r="T137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4" i="9"/>
  <c r="T55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G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U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V61" i="4" l="1"/>
  <c r="AV93" i="4"/>
  <c r="AV125" i="4"/>
  <c r="AV157" i="4"/>
  <c r="AV189" i="4"/>
  <c r="AV221" i="4"/>
  <c r="AV253" i="4"/>
  <c r="AV285" i="4"/>
  <c r="AV317" i="4"/>
  <c r="AV222" i="4"/>
  <c r="AV254" i="4"/>
  <c r="AV286" i="4"/>
  <c r="AV318" i="4"/>
  <c r="AV31" i="4"/>
  <c r="AV63" i="4"/>
  <c r="AV95" i="4"/>
  <c r="AV127" i="4"/>
  <c r="AV159" i="4"/>
  <c r="AV191" i="4"/>
  <c r="AV223" i="4"/>
  <c r="AV255" i="4"/>
  <c r="AV287" i="4"/>
  <c r="AV319" i="4"/>
  <c r="AV97" i="4"/>
  <c r="AV129" i="4"/>
  <c r="AV161" i="4"/>
  <c r="AV193" i="4"/>
  <c r="AV257" i="4"/>
  <c r="AV289" i="4"/>
  <c r="AV66" i="4"/>
  <c r="AV131" i="4"/>
  <c r="AV100" i="4"/>
  <c r="AV196" i="4"/>
  <c r="AV228" i="4"/>
  <c r="AV260" i="4"/>
  <c r="AV292" i="4"/>
  <c r="AV324" i="4"/>
  <c r="AV37" i="4"/>
  <c r="AV69" i="4"/>
  <c r="AV101" i="4"/>
  <c r="AV133" i="4"/>
  <c r="AV165" i="4"/>
  <c r="AV197" i="4"/>
  <c r="AV261" i="4"/>
  <c r="AV293" i="4"/>
  <c r="AV325" i="4"/>
  <c r="AV38" i="4"/>
  <c r="AV102" i="4"/>
  <c r="AV203" i="4"/>
  <c r="AV77" i="4"/>
  <c r="AV270" i="4"/>
  <c r="AV62" i="4"/>
  <c r="AV94" i="4"/>
  <c r="AV126" i="4"/>
  <c r="AV158" i="4"/>
  <c r="AV190" i="4"/>
  <c r="AV33" i="4"/>
  <c r="AV164" i="4"/>
  <c r="AV229" i="4"/>
  <c r="AV70" i="4"/>
  <c r="AV198" i="4"/>
  <c r="AV230" i="4"/>
  <c r="AV294" i="4"/>
  <c r="AV135" i="4"/>
  <c r="AV106" i="4"/>
  <c r="AV267" i="4"/>
  <c r="AV173" i="4"/>
  <c r="AV65" i="4"/>
  <c r="AV321" i="4"/>
  <c r="AV34" i="4"/>
  <c r="AV98" i="4"/>
  <c r="AV130" i="4"/>
  <c r="AV162" i="4"/>
  <c r="AV194" i="4"/>
  <c r="AV226" i="4"/>
  <c r="AV258" i="4"/>
  <c r="AV290" i="4"/>
  <c r="AV322" i="4"/>
  <c r="AV35" i="4"/>
  <c r="AV67" i="4"/>
  <c r="AV99" i="4"/>
  <c r="AV163" i="4"/>
  <c r="AV195" i="4"/>
  <c r="AV227" i="4"/>
  <c r="AV259" i="4"/>
  <c r="AV291" i="4"/>
  <c r="AV323" i="4"/>
  <c r="AV36" i="4"/>
  <c r="AV134" i="4"/>
  <c r="AV262" i="4"/>
  <c r="AV30" i="4"/>
  <c r="AV39" i="4"/>
  <c r="AV71" i="4"/>
  <c r="AV103" i="4"/>
  <c r="AV167" i="4"/>
  <c r="AV199" i="4"/>
  <c r="AV231" i="4"/>
  <c r="AV263" i="4"/>
  <c r="AV295" i="4"/>
  <c r="AV40" i="4"/>
  <c r="AV104" i="4"/>
  <c r="AV136" i="4"/>
  <c r="AV168" i="4"/>
  <c r="AV232" i="4"/>
  <c r="AV296" i="4"/>
  <c r="AV73" i="4"/>
  <c r="AV137" i="4"/>
  <c r="AV201" i="4"/>
  <c r="AV265" i="4"/>
  <c r="AV297" i="4"/>
  <c r="AV138" i="4"/>
  <c r="AV202" i="4"/>
  <c r="AV266" i="4"/>
  <c r="AV43" i="4"/>
  <c r="AV75" i="4"/>
  <c r="AV107" i="4"/>
  <c r="AV139" i="4"/>
  <c r="AV171" i="4"/>
  <c r="AV235" i="4"/>
  <c r="AV299" i="4"/>
  <c r="AV44" i="4"/>
  <c r="AV76" i="4"/>
  <c r="AV108" i="4"/>
  <c r="AV140" i="4"/>
  <c r="AV172" i="4"/>
  <c r="AV204" i="4"/>
  <c r="AV236" i="4"/>
  <c r="AV268" i="4"/>
  <c r="AV300" i="4"/>
  <c r="AV45" i="4"/>
  <c r="AV109" i="4"/>
  <c r="AV141" i="4"/>
  <c r="AV205" i="4"/>
  <c r="AV237" i="4"/>
  <c r="AV269" i="4"/>
  <c r="AV301" i="4"/>
  <c r="AV46" i="4"/>
  <c r="AV78" i="4"/>
  <c r="AV110" i="4"/>
  <c r="AV142" i="4"/>
  <c r="AV174" i="4"/>
  <c r="AV206" i="4"/>
  <c r="AV238" i="4"/>
  <c r="AV302" i="4"/>
  <c r="AV47" i="4"/>
  <c r="AV111" i="4"/>
  <c r="AV143" i="4"/>
  <c r="AV175" i="4"/>
  <c r="AV207" i="4"/>
  <c r="AV271" i="4"/>
  <c r="AV48" i="4"/>
  <c r="AV144" i="4"/>
  <c r="AV32" i="4"/>
  <c r="AV64" i="4"/>
  <c r="AV96" i="4"/>
  <c r="AV128" i="4"/>
  <c r="AV160" i="4"/>
  <c r="AV192" i="4"/>
  <c r="AV224" i="4"/>
  <c r="AV256" i="4"/>
  <c r="AV288" i="4"/>
  <c r="AV320" i="4"/>
  <c r="AV225" i="4"/>
  <c r="AV68" i="4"/>
  <c r="AV166" i="4"/>
  <c r="AV74" i="4"/>
  <c r="AV132" i="4"/>
  <c r="AV72" i="4"/>
  <c r="AV200" i="4"/>
  <c r="AV264" i="4"/>
  <c r="AV41" i="4"/>
  <c r="AV105" i="4"/>
  <c r="AV169" i="4"/>
  <c r="AV233" i="4"/>
  <c r="AV42" i="4"/>
  <c r="AV170" i="4"/>
  <c r="AV234" i="4"/>
  <c r="AV298" i="4"/>
  <c r="AV79" i="4"/>
  <c r="AV239" i="4"/>
  <c r="AV303" i="4"/>
  <c r="AV80" i="4"/>
  <c r="AV176" i="4"/>
  <c r="AV49" i="4"/>
  <c r="AV81" i="4"/>
  <c r="AV113" i="4"/>
  <c r="AV145" i="4"/>
  <c r="AV177" i="4"/>
  <c r="AV209" i="4"/>
  <c r="AV241" i="4"/>
  <c r="AV273" i="4"/>
  <c r="AV305" i="4"/>
  <c r="AV50" i="4"/>
  <c r="AV82" i="4"/>
  <c r="AV123" i="4"/>
  <c r="AV217" i="4"/>
  <c r="AV309" i="4"/>
  <c r="AV187" i="4"/>
  <c r="AV208" i="4"/>
  <c r="AV283" i="4"/>
  <c r="AV124" i="4"/>
  <c r="AV218" i="4"/>
  <c r="AV310" i="4"/>
  <c r="AV51" i="4"/>
  <c r="AV219" i="4"/>
  <c r="AV311" i="4"/>
  <c r="AV52" i="4"/>
  <c r="AV220" i="4"/>
  <c r="AV53" i="4"/>
  <c r="AV240" i="4"/>
  <c r="AV54" i="4"/>
  <c r="AV242" i="4"/>
  <c r="AV55" i="4"/>
  <c r="AV243" i="4"/>
  <c r="AV56" i="4"/>
  <c r="AV244" i="4"/>
  <c r="AV57" i="4"/>
  <c r="AV245" i="4"/>
  <c r="AV153" i="4"/>
  <c r="AV154" i="4"/>
  <c r="AV60" i="4"/>
  <c r="AV248" i="4"/>
  <c r="AV156" i="4"/>
  <c r="AV249" i="4"/>
  <c r="AV178" i="4"/>
  <c r="AV179" i="4"/>
  <c r="AV251" i="4"/>
  <c r="AV180" i="4"/>
  <c r="AV87" i="4"/>
  <c r="AV272" i="4"/>
  <c r="AV182" i="4"/>
  <c r="AV89" i="4"/>
  <c r="AV275" i="4"/>
  <c r="AV184" i="4"/>
  <c r="AV185" i="4"/>
  <c r="AV92" i="4"/>
  <c r="AV146" i="4"/>
  <c r="AV147" i="4"/>
  <c r="AV312" i="4"/>
  <c r="AV148" i="4"/>
  <c r="AV313" i="4"/>
  <c r="AV149" i="4"/>
  <c r="AV314" i="4"/>
  <c r="AV150" i="4"/>
  <c r="AV315" i="4"/>
  <c r="AV151" i="4"/>
  <c r="AV316" i="4"/>
  <c r="AV152" i="4"/>
  <c r="AV58" i="4"/>
  <c r="AV59" i="4"/>
  <c r="AV247" i="4"/>
  <c r="AV155" i="4"/>
  <c r="AV83" i="4"/>
  <c r="AV84" i="4"/>
  <c r="AV250" i="4"/>
  <c r="AV85" i="4"/>
  <c r="AV86" i="4"/>
  <c r="AV252" i="4"/>
  <c r="AV181" i="4"/>
  <c r="AV88" i="4"/>
  <c r="AV274" i="4"/>
  <c r="AV183" i="4"/>
  <c r="AV90" i="4"/>
  <c r="AV91" i="4"/>
  <c r="AV277" i="4"/>
  <c r="AV186" i="4"/>
  <c r="AV278" i="4"/>
  <c r="AV112" i="4"/>
  <c r="AV279" i="4"/>
  <c r="AV114" i="4"/>
  <c r="AV280" i="4"/>
  <c r="AV115" i="4"/>
  <c r="AV281" i="4"/>
  <c r="AV116" i="4"/>
  <c r="AV282" i="4"/>
  <c r="AV117" i="4"/>
  <c r="AV211" i="4"/>
  <c r="AV118" i="4"/>
  <c r="AV284" i="4"/>
  <c r="AV119" i="4"/>
  <c r="AV213" i="4"/>
  <c r="AV304" i="4"/>
  <c r="AV120" i="4"/>
  <c r="AV214" i="4"/>
  <c r="AV121" i="4"/>
  <c r="AV215" i="4"/>
  <c r="AV307" i="4"/>
  <c r="AV122" i="4"/>
  <c r="AV246" i="4"/>
  <c r="AV276" i="4"/>
  <c r="AV188" i="4"/>
  <c r="AV210" i="4"/>
  <c r="AV212" i="4"/>
  <c r="AV306" i="4"/>
  <c r="AV216" i="4"/>
  <c r="AV308" i="4"/>
  <c r="BH39" i="6"/>
  <c r="BH361" i="6"/>
  <c r="BH208" i="6"/>
  <c r="BH71" i="6"/>
  <c r="BH425" i="6"/>
  <c r="BH272" i="6"/>
  <c r="BH489" i="6"/>
  <c r="BH144" i="6"/>
  <c r="BH107" i="6"/>
  <c r="BH175" i="6"/>
  <c r="BH245" i="6"/>
  <c r="BH216" i="6"/>
  <c r="BH253" i="6"/>
  <c r="BH122" i="6"/>
  <c r="BH505" i="6"/>
  <c r="BH64" i="6"/>
  <c r="BH543" i="6"/>
  <c r="BH516" i="6"/>
  <c r="BH415" i="6"/>
  <c r="BH293" i="6"/>
  <c r="BH400" i="6"/>
  <c r="BH309" i="6"/>
  <c r="BH477" i="6"/>
  <c r="BH154" i="6"/>
  <c r="BH320" i="6"/>
  <c r="BH34" i="6"/>
  <c r="BH37" i="6"/>
  <c r="BH432" i="6"/>
  <c r="BH495" i="6"/>
  <c r="BH541" i="6"/>
  <c r="BH436" i="6"/>
  <c r="BH101" i="6"/>
  <c r="BH378" i="6"/>
  <c r="BH357" i="6"/>
  <c r="BH86" i="6"/>
  <c r="BH198" i="6"/>
  <c r="BH391" i="6"/>
  <c r="BH427" i="6"/>
  <c r="BH278" i="6"/>
  <c r="BH326" i="6"/>
  <c r="BH423" i="6"/>
  <c r="BH537" i="6"/>
  <c r="BH452" i="6"/>
  <c r="BH402" i="6"/>
  <c r="BH337" i="6"/>
  <c r="BH380" i="6"/>
  <c r="BH30" i="6"/>
  <c r="BH390" i="6"/>
  <c r="BH370" i="6"/>
  <c r="BH182" i="6"/>
  <c r="BH284" i="6"/>
  <c r="BH289" i="6"/>
  <c r="BH519" i="6"/>
  <c r="BH108" i="6"/>
  <c r="BH348" i="6"/>
  <c r="BH387" i="6"/>
  <c r="BH40" i="6"/>
  <c r="BH243" i="6"/>
  <c r="BH410" i="6"/>
  <c r="BH93" i="6"/>
  <c r="BH294" i="6"/>
  <c r="BH371" i="6"/>
  <c r="BH236" i="6"/>
  <c r="BH247" i="6"/>
  <c r="BH227" i="6"/>
  <c r="BH435" i="6"/>
  <c r="BH59" i="6"/>
  <c r="BH168" i="6"/>
  <c r="BH460" i="6"/>
  <c r="BH381" i="6"/>
  <c r="BH372" i="6"/>
  <c r="BH335" i="6"/>
  <c r="BH540" i="6"/>
  <c r="BH48" i="6"/>
  <c r="BH125" i="6"/>
  <c r="BH457" i="6"/>
  <c r="BH111" i="6"/>
  <c r="BH513" i="6"/>
  <c r="BH103" i="6"/>
  <c r="BH521" i="6"/>
  <c r="BH368" i="6"/>
  <c r="BH42" i="6"/>
  <c r="BH304" i="6"/>
  <c r="BH139" i="6"/>
  <c r="BH239" i="6"/>
  <c r="BH277" i="6"/>
  <c r="BH280" i="6"/>
  <c r="BH413" i="6"/>
  <c r="BH186" i="6"/>
  <c r="BH58" i="6"/>
  <c r="BH192" i="6"/>
  <c r="BH68" i="6"/>
  <c r="BH517" i="6"/>
  <c r="BH416" i="6"/>
  <c r="BH36" i="6"/>
  <c r="BH138" i="6"/>
  <c r="BH171" i="6"/>
  <c r="BH399" i="6"/>
  <c r="BH344" i="6"/>
  <c r="BH282" i="6"/>
  <c r="BH196" i="6"/>
  <c r="BH165" i="6"/>
  <c r="BH203" i="6"/>
  <c r="BH341" i="6"/>
  <c r="BH376" i="6"/>
  <c r="BH442" i="6"/>
  <c r="BH218" i="6"/>
  <c r="BH324" i="6"/>
  <c r="BH420" i="6"/>
  <c r="BH545" i="6"/>
  <c r="BH69" i="6"/>
  <c r="BH261" i="6"/>
  <c r="BH409" i="6"/>
  <c r="BH548" i="6"/>
  <c r="BH44" i="6"/>
  <c r="BH54" i="6"/>
  <c r="BH468" i="6"/>
  <c r="BH300" i="6"/>
  <c r="BH118" i="6"/>
  <c r="BH220" i="6"/>
  <c r="BH358" i="6"/>
  <c r="BH364" i="6"/>
  <c r="BH124" i="6"/>
  <c r="BH223" i="6"/>
  <c r="BH332" i="6"/>
  <c r="BH250" i="6"/>
  <c r="BH351" i="6"/>
  <c r="BH83" i="6"/>
  <c r="BH498" i="6"/>
  <c r="BH214" i="6"/>
  <c r="BH508" i="6"/>
  <c r="BH96" i="6"/>
  <c r="BH109" i="6"/>
  <c r="BH147" i="6"/>
  <c r="BH246" i="6"/>
  <c r="BH226" i="6"/>
  <c r="BH211" i="6"/>
  <c r="BH157" i="6"/>
  <c r="BH136" i="6"/>
  <c r="BH434" i="6"/>
  <c r="BH486" i="6"/>
  <c r="BH403" i="6"/>
  <c r="BH375" i="6"/>
  <c r="BH131" i="6"/>
  <c r="BH149" i="6"/>
  <c r="BH422" i="6"/>
  <c r="BH265" i="6"/>
  <c r="BH355" i="6"/>
  <c r="BH189" i="6"/>
  <c r="BH515" i="6"/>
  <c r="BH135" i="6"/>
  <c r="BH74" i="6"/>
  <c r="BH496" i="6"/>
  <c r="BH167" i="6"/>
  <c r="BH106" i="6"/>
  <c r="BH49" i="6"/>
  <c r="BH202" i="6"/>
  <c r="BH199" i="6"/>
  <c r="BH170" i="6"/>
  <c r="BH209" i="6"/>
  <c r="BH266" i="6"/>
  <c r="BH464" i="6"/>
  <c r="BH235" i="6"/>
  <c r="BH112" i="6"/>
  <c r="BH373" i="6"/>
  <c r="BH504" i="6"/>
  <c r="BH62" i="6"/>
  <c r="BH506" i="6"/>
  <c r="BH314" i="6"/>
  <c r="BH547" i="6"/>
  <c r="BH450" i="6"/>
  <c r="BH163" i="6"/>
  <c r="BH229" i="6"/>
  <c r="BH292" i="6"/>
  <c r="BH305" i="6"/>
  <c r="BH298" i="6"/>
  <c r="BH81" i="6"/>
  <c r="BH267" i="6"/>
  <c r="BH176" i="6"/>
  <c r="BH405" i="6"/>
  <c r="BH89" i="6"/>
  <c r="BH222" i="6"/>
  <c r="BH123" i="6"/>
  <c r="BH65" i="6"/>
  <c r="BH544" i="6"/>
  <c r="BH60" i="6"/>
  <c r="BH386" i="6"/>
  <c r="BH140" i="6"/>
  <c r="BH475" i="6"/>
  <c r="BH204" i="6"/>
  <c r="BH459" i="6"/>
  <c r="BH539" i="6"/>
  <c r="BH455" i="6"/>
  <c r="BH150" i="6"/>
  <c r="BH492" i="6"/>
  <c r="BH497" i="6"/>
  <c r="BH444" i="6"/>
  <c r="BH258" i="6"/>
  <c r="BH45" i="6"/>
  <c r="BH346" i="6"/>
  <c r="BH352" i="6"/>
  <c r="BH291" i="6"/>
  <c r="BH210" i="6"/>
  <c r="BH412" i="6"/>
  <c r="BH104" i="6"/>
  <c r="BH474" i="6"/>
  <c r="BH389" i="6"/>
  <c r="BH307" i="6"/>
  <c r="BH343" i="6"/>
  <c r="BH160" i="6"/>
  <c r="BH52" i="6"/>
  <c r="BH155" i="6"/>
  <c r="BH518" i="6"/>
  <c r="BH527" i="6"/>
  <c r="BH385" i="6"/>
  <c r="BH431" i="6"/>
  <c r="BH512" i="6"/>
  <c r="BH441" i="6"/>
  <c r="BH164" i="6"/>
  <c r="BH231" i="6"/>
  <c r="BH234" i="6"/>
  <c r="BH263" i="6"/>
  <c r="BH330" i="6"/>
  <c r="BH401" i="6"/>
  <c r="BH362" i="6"/>
  <c r="BH145" i="6"/>
  <c r="BH299" i="6"/>
  <c r="BH240" i="6"/>
  <c r="BH437" i="6"/>
  <c r="BH153" i="6"/>
  <c r="BH286" i="6"/>
  <c r="BH251" i="6"/>
  <c r="BH538" i="6"/>
  <c r="BH193" i="6"/>
  <c r="BH325" i="6"/>
  <c r="BH418" i="6"/>
  <c r="BH482" i="6"/>
  <c r="BH421" i="6"/>
  <c r="BH327" i="6"/>
  <c r="BH529" i="6"/>
  <c r="BH363" i="6"/>
  <c r="BH501" i="6"/>
  <c r="BH510" i="6"/>
  <c r="BH187" i="6"/>
  <c r="BH70" i="6"/>
  <c r="BH383" i="6"/>
  <c r="BH522" i="6"/>
  <c r="BH76" i="6"/>
  <c r="BH395" i="6"/>
  <c r="BH533" i="6"/>
  <c r="BH315" i="6"/>
  <c r="BH178" i="6"/>
  <c r="BH177" i="6"/>
  <c r="BH156" i="6"/>
  <c r="BH338" i="6"/>
  <c r="BH241" i="6"/>
  <c r="BH374" i="6"/>
  <c r="BH98" i="6"/>
  <c r="BH306" i="6"/>
  <c r="BH438" i="6"/>
  <c r="BH487" i="6"/>
  <c r="BH172" i="6"/>
  <c r="BH354" i="6"/>
  <c r="BH173" i="6"/>
  <c r="BH274" i="6"/>
  <c r="BH61" i="6"/>
  <c r="BH127" i="6"/>
  <c r="BH365" i="6"/>
  <c r="BH342" i="6"/>
  <c r="BH130" i="6"/>
  <c r="BH333" i="6"/>
  <c r="BH530" i="6"/>
  <c r="BH259" i="6"/>
  <c r="BH462" i="6"/>
  <c r="BH500" i="6"/>
  <c r="BH43" i="6"/>
  <c r="BH345" i="6"/>
  <c r="BH162" i="6"/>
  <c r="BH80" i="6"/>
  <c r="BH377" i="6"/>
  <c r="BH295" i="6"/>
  <c r="BH426" i="6"/>
  <c r="BH465" i="6"/>
  <c r="BH394" i="6"/>
  <c r="BH273" i="6"/>
  <c r="BH331" i="6"/>
  <c r="BH336" i="6"/>
  <c r="BH469" i="6"/>
  <c r="BH249" i="6"/>
  <c r="BH350" i="6"/>
  <c r="BH347" i="6"/>
  <c r="BH91" i="6"/>
  <c r="BH321" i="6"/>
  <c r="BH451" i="6"/>
  <c r="BH97" i="6"/>
  <c r="BH230" i="6"/>
  <c r="BH490" i="6"/>
  <c r="BH458" i="6"/>
  <c r="BH369" i="6"/>
  <c r="BH528" i="6"/>
  <c r="BH313" i="6"/>
  <c r="BH411" i="6"/>
  <c r="BH447" i="6"/>
  <c r="BH225" i="6"/>
  <c r="BH359" i="6"/>
  <c r="BH82" i="6"/>
  <c r="BH433" i="6"/>
  <c r="BH113" i="6"/>
  <c r="BH353" i="6"/>
  <c r="BH50" i="6"/>
  <c r="BH473" i="6"/>
  <c r="BH67" i="6"/>
  <c r="BH102" i="6"/>
  <c r="BH242" i="6"/>
  <c r="BH323" i="6"/>
  <c r="BH268" i="6"/>
  <c r="BH491" i="6"/>
  <c r="BH90" i="6"/>
  <c r="BH479" i="6"/>
  <c r="BH466" i="6"/>
  <c r="BH523" i="6"/>
  <c r="BH87" i="6"/>
  <c r="BH453" i="6"/>
  <c r="BH428" i="6"/>
  <c r="BH146" i="6"/>
  <c r="BH119" i="6"/>
  <c r="BH141" i="6"/>
  <c r="BH215" i="6"/>
  <c r="BH454" i="6"/>
  <c r="BH301" i="6"/>
  <c r="BH310" i="6"/>
  <c r="BH99" i="6"/>
  <c r="BH269" i="6"/>
  <c r="BH396" i="6"/>
  <c r="BH317" i="6"/>
  <c r="BH221" i="6"/>
  <c r="BH255" i="6"/>
  <c r="BH461" i="6"/>
  <c r="BH406" i="6"/>
  <c r="BH285" i="6"/>
  <c r="BH201" i="6"/>
  <c r="BH449" i="6"/>
  <c r="BH181" i="6"/>
  <c r="BH388" i="6"/>
  <c r="BH75" i="6"/>
  <c r="BH200" i="6"/>
  <c r="BH429" i="6"/>
  <c r="BH180" i="6"/>
  <c r="BH525" i="6"/>
  <c r="BH531" i="6"/>
  <c r="BH524" i="6"/>
  <c r="BH115" i="6"/>
  <c r="BH470" i="6"/>
  <c r="BH219" i="6"/>
  <c r="BH471" i="6"/>
  <c r="BH445" i="6"/>
  <c r="BH349" i="6"/>
  <c r="BH133" i="6"/>
  <c r="BH260" i="6"/>
  <c r="BH419" i="6"/>
  <c r="BH484" i="6"/>
  <c r="BH417" i="6"/>
  <c r="BH296" i="6"/>
  <c r="BH264" i="6"/>
  <c r="BH142" i="6"/>
  <c r="BH205" i="6"/>
  <c r="BH534" i="6"/>
  <c r="BH88" i="6"/>
  <c r="BH126" i="6"/>
  <c r="BH159" i="6"/>
  <c r="BH360" i="6"/>
  <c r="BH328" i="6"/>
  <c r="BH308" i="6"/>
  <c r="BH499" i="6"/>
  <c r="BH443" i="6"/>
  <c r="BH318" i="6"/>
  <c r="BH35" i="6"/>
  <c r="BH100" i="6"/>
  <c r="BH456" i="6"/>
  <c r="BH430" i="6"/>
  <c r="BH493" i="6"/>
  <c r="BH92" i="6"/>
  <c r="BH414" i="6"/>
  <c r="BH356" i="6"/>
  <c r="BH520" i="6"/>
  <c r="BH494" i="6"/>
  <c r="BH46" i="6"/>
  <c r="BH279" i="6"/>
  <c r="BH542" i="6"/>
  <c r="BH322" i="6"/>
  <c r="BH197" i="6"/>
  <c r="BH73" i="6"/>
  <c r="BH137" i="6"/>
  <c r="BH174" i="6"/>
  <c r="BH311" i="6"/>
  <c r="BH472" i="6"/>
  <c r="BH95" i="6"/>
  <c r="BH262" i="6"/>
  <c r="BH105" i="6"/>
  <c r="BH233" i="6"/>
  <c r="BH238" i="6"/>
  <c r="BH316" i="6"/>
  <c r="BH440" i="6"/>
  <c r="BH549" i="6"/>
  <c r="BH256" i="6"/>
  <c r="BH169" i="6"/>
  <c r="BH271" i="6"/>
  <c r="BH302" i="6"/>
  <c r="BH439" i="6"/>
  <c r="BH185" i="6"/>
  <c r="BH319" i="6"/>
  <c r="BH257" i="6"/>
  <c r="BH329" i="6"/>
  <c r="BH281" i="6"/>
  <c r="BH33" i="6"/>
  <c r="BH526" i="6"/>
  <c r="BH546" i="6"/>
  <c r="BH213" i="6"/>
  <c r="BH290" i="6"/>
  <c r="BH232" i="6"/>
  <c r="BH110" i="6"/>
  <c r="BH72" i="6"/>
  <c r="BH78" i="6"/>
  <c r="BH148" i="6"/>
  <c r="BH77" i="6"/>
  <c r="BH179" i="6"/>
  <c r="BH502" i="6"/>
  <c r="BH283" i="6"/>
  <c r="BH503" i="6"/>
  <c r="BH94" i="6"/>
  <c r="BH509" i="6"/>
  <c r="BH31" i="6"/>
  <c r="BH134" i="6"/>
  <c r="BH128" i="6"/>
  <c r="BH206" i="6"/>
  <c r="BH244" i="6"/>
  <c r="BH339" i="6"/>
  <c r="BH379" i="6"/>
  <c r="BH158" i="6"/>
  <c r="BH161" i="6"/>
  <c r="BH38" i="6"/>
  <c r="BH485" i="6"/>
  <c r="BH334" i="6"/>
  <c r="BH270" i="6"/>
  <c r="BH237" i="6"/>
  <c r="BH55" i="6"/>
  <c r="BH184" i="6"/>
  <c r="BH190" i="6"/>
  <c r="BH288" i="6"/>
  <c r="BH129" i="6"/>
  <c r="BH79" i="6"/>
  <c r="BH51" i="6"/>
  <c r="BH212" i="6"/>
  <c r="BH183" i="6"/>
  <c r="BH446" i="6"/>
  <c r="BH194" i="6"/>
  <c r="BH511" i="6"/>
  <c r="BH143" i="6"/>
  <c r="BH275" i="6"/>
  <c r="BH340" i="6"/>
  <c r="BH408" i="6"/>
  <c r="BH478" i="6"/>
  <c r="BH481" i="6"/>
  <c r="BH303" i="6"/>
  <c r="BH467" i="6"/>
  <c r="BH53" i="6"/>
  <c r="BH252" i="6"/>
  <c r="BH56" i="6"/>
  <c r="BH448" i="6"/>
  <c r="BH483" i="6"/>
  <c r="BH367" i="6"/>
  <c r="BH116" i="6"/>
  <c r="BH85" i="6"/>
  <c r="BH407" i="6"/>
  <c r="BH57" i="6"/>
  <c r="BH224" i="6"/>
  <c r="BH287" i="6"/>
  <c r="BH463" i="6"/>
  <c r="BH276" i="6"/>
  <c r="BH117" i="6"/>
  <c r="BH536" i="6"/>
  <c r="BH195" i="6"/>
  <c r="BH32" i="6"/>
  <c r="BH404" i="6"/>
  <c r="BH121" i="6"/>
  <c r="BH393" i="6"/>
  <c r="BH217" i="6"/>
  <c r="BH152" i="6"/>
  <c r="BH392" i="6"/>
  <c r="BH398" i="6"/>
  <c r="BH424" i="6"/>
  <c r="BH366" i="6"/>
  <c r="BH114" i="6"/>
  <c r="BH397" i="6"/>
  <c r="BH84" i="6"/>
  <c r="BH151" i="6"/>
  <c r="BH507" i="6"/>
  <c r="BH248" i="6"/>
  <c r="BH382" i="6"/>
  <c r="BH254" i="6"/>
  <c r="BH66" i="6"/>
  <c r="BH532" i="6"/>
  <c r="BH228" i="6"/>
  <c r="BH384" i="6"/>
  <c r="BH488" i="6"/>
  <c r="BH312" i="6"/>
  <c r="BH166" i="6"/>
  <c r="BH41" i="6"/>
  <c r="BH188" i="6"/>
  <c r="BH132" i="6"/>
  <c r="BH47" i="6"/>
  <c r="BH63" i="6"/>
  <c r="BH207" i="6"/>
  <c r="BH191" i="6"/>
  <c r="BH297" i="6"/>
  <c r="BH476" i="6"/>
  <c r="BH480" i="6"/>
  <c r="BH535" i="6"/>
  <c r="BH120" i="6"/>
  <c r="BH514" i="6"/>
  <c r="AV28" i="4" l="1"/>
  <c r="AV27" i="4" a="1"/>
  <c r="AV27" i="4" s="1"/>
  <c r="BH27" i="6" a="1"/>
  <c r="BH27" i="6" s="1"/>
  <c r="BH28" i="6"/>
  <c r="W6" i="5"/>
  <c r="P5" i="4"/>
  <c r="W6" i="5" a="1"/>
  <c r="P5" i="4" a="1"/>
  <c r="W6" i="9"/>
  <c r="P5" i="6"/>
  <c r="W6" i="9" a="1"/>
  <c r="P5" i="6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<sst xmlns="http://schemas.openxmlformats.org/spreadsheetml/2006/main" count="28179" uniqueCount="2393">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</sst>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222932.49060000005</v>
      </c>
      <c r="G3" s="94">
        <f>SUM(G4:G23)</f>
        <v>111104.77284611473</v>
      </c>
      <c r="H3" s="94">
        <f>SUM(H4:H23)</f>
        <v>61760.045299999998</v>
      </c>
      <c r="I3" s="95">
        <f>IFERROR(F3/E3," ")</f>
        <v>0.66738808808365901</v>
      </c>
      <c r="J3" s="94">
        <f>SUM(J4:J23)</f>
        <v>51008.607039999988</v>
      </c>
      <c r="K3" s="96">
        <f>SUM(K4:K23)</f>
        <v>10751.43826000001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99412.400000000052</v>
      </c>
      <c r="G4" s="100">
        <f>+E4-F4</f>
        <v>40675.200000000041</v>
      </c>
      <c r="H4" s="100"/>
      <c r="I4" s="101">
        <f t="shared" ref="I4:I23" si="0">IFERROR(F4/E4," ")</f>
        <v>0.70964453670417638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123520.0906</v>
      </c>
      <c r="G5" s="100">
        <f t="shared" ref="G5:G7" si="1">+E5-F5</f>
        <v>70429.572846114694</v>
      </c>
      <c r="H5" s="100">
        <f>+F5*0.5</f>
        <v>61760.045299999998</v>
      </c>
      <c r="I5" s="101">
        <f t="shared" si="0"/>
        <v>0.63686674369671059</v>
      </c>
      <c r="J5" s="100">
        <f>[2]Progress!$BH$4</f>
        <v>51008.607039999988</v>
      </c>
      <c r="K5" s="102">
        <f t="shared" ref="K5:K23" si="2">IF(H5-J5&lt;0,0,H5-J5)</f>
        <v>10751.43826000001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G332"/>
  <sheetViews>
    <sheetView zoomScale="85" zoomScaleNormal="85" workbookViewId="0">
      <pane xSplit="13" ySplit="29" topLeftCell="AL30" activePane="bottomRight" state="frozen"/>
      <selection activeCell="O42" sqref="O42"/>
      <selection pane="topRight" activeCell="O42" sqref="O42"/>
      <selection pane="bottomLeft" activeCell="O42" sqref="O42"/>
      <selection pane="bottomRight" activeCell="AN342" sqref="AN34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6" width="6.875" style="3" customWidth="1"/>
    <col min="47" max="47" width="7.25" style="3" customWidth="1"/>
    <col min="48" max="48" width="8.625" style="3" customWidth="1"/>
    <col min="49" max="49" width="14.25" style="3" customWidth="1"/>
    <col min="50" max="50" width="8.625" style="3" customWidth="1"/>
    <col min="51" max="51" width="8.75" style="3" customWidth="1"/>
    <col min="52" max="52" width="7.5" style="3" customWidth="1"/>
    <col min="53" max="55" width="9" style="3" customWidth="1"/>
    <col min="56" max="56" width="8.75" style="3" customWidth="1"/>
    <col min="57" max="57" width="8.625" style="3" customWidth="1"/>
    <col min="58" max="59" width="9" style="3" customWidth="1"/>
    <col min="60" max="16384" width="8.75" style="3"/>
  </cols>
  <sheetData>
    <row r="1" spans="4:47" ht="19.5">
      <c r="D1" s="1" t="s">
        <v>818</v>
      </c>
      <c r="E1" s="2"/>
      <c r="F1" s="2"/>
      <c r="G1" s="2"/>
      <c r="H1" s="2"/>
    </row>
    <row r="2" spans="4:47" ht="13.5" thickBot="1"/>
    <row r="3" spans="4:4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4:4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4:47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495</v>
      </c>
      <c r="N5" s="30">
        <f>H8</f>
        <v>99412.400000000052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spans="4:47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495</v>
      </c>
      <c r="H6" s="26" cm="1">
        <f t="array" ref="H6">SUMPRODUCT(--($C$30:$C$332=$D6),$L$30:$L$332,$J$30:$J$332)</f>
        <v>99412.400000000052</v>
      </c>
      <c r="I6" s="26" cm="1">
        <f t="array" ref="I6">SUMPRODUCT(--($C$30:$C$332=$D6),$M$30:$M$332)</f>
        <v>270</v>
      </c>
      <c r="J6" s="27" cm="1">
        <f t="array" ref="J6">SUMPRODUCT(--($C$30:$C$332=$D6),$M$30:$M$332,$J$30:$J$332)</f>
        <v>40675.199999999997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</row>
    <row r="7" spans="4:47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7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495</v>
      </c>
      <c r="H8" s="41">
        <f t="shared" si="0"/>
        <v>99412.400000000052</v>
      </c>
      <c r="I8" s="41">
        <f t="shared" si="0"/>
        <v>270</v>
      </c>
      <c r="J8" s="42">
        <f t="shared" si="0"/>
        <v>40675.199999999997</v>
      </c>
    </row>
    <row r="9" spans="4:47" ht="13.5" hidden="1" outlineLevel="1" thickTop="1"/>
    <row r="10" spans="4:4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7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</row>
    <row r="12" spans="4:47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</row>
    <row r="13" spans="4:47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</row>
    <row r="14" spans="4:47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</row>
    <row r="15" spans="4:47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</row>
    <row r="16" spans="4:47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</row>
    <row r="17" spans="3:59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</row>
    <row r="18" spans="3:59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</row>
    <row r="19" spans="3:59" ht="13.5" hidden="1" outlineLevel="1" thickTop="1"/>
    <row r="20" spans="3:5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9" ht="13.5" hidden="1" outlineLevel="1" thickTop="1">
      <c r="D21" s="63" t="s">
        <v>13</v>
      </c>
      <c r="E21" s="64" t="str" cm="1">
        <f t="array" ref="E21:M21">_xlfn._xlws.SORT(MID(TRANSPOSE(_xlfn.UNIQUE(_xlfn._xlws.FILTER(AX30:AX332,(C30:C332=$D$21)*(M30:M332&lt;&gt;0)))),3,3),,1)</f>
        <v>10</v>
      </c>
      <c r="F21" s="64" t="str">
        <v>25</v>
      </c>
      <c r="G21" s="64" t="str">
        <v>15</v>
      </c>
      <c r="H21" s="64" t="str">
        <v>20</v>
      </c>
      <c r="I21" s="64" t="e">
        <v>#VALUE!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</row>
    <row r="22" spans="3:59" ht="30.75" hidden="1" customHeight="1" outlineLevel="2">
      <c r="D22" s="66" t="s">
        <v>24</v>
      </c>
      <c r="E22" s="67" t="e" cm="1">
        <f t="array" ref="E22">SUMPRODUCT(--($C$30:$C$332=$D$21),--($AX$30:$AX$332="PL"&amp;E$21),$J$30:$J$332,$I$30:$I$332)/(7.85*E$21)</f>
        <v>#VALUE!</v>
      </c>
      <c r="F22" s="67" t="e" cm="1">
        <f t="array" ref="F22">SUMPRODUCT(--($C$30:$C$332=$D$21),--($AX$30:$AX$332="PL"&amp;F$21),$J$30:$J$332,$I$30:$I$332)/(7.85*F$21)</f>
        <v>#VALUE!</v>
      </c>
      <c r="G22" s="67" t="e" cm="1">
        <f t="array" ref="G22">SUMPRODUCT(--($C$30:$C$332=$D$21),--($AX$30:$AX$332="PL"&amp;G$21),$J$30:$J$332,$I$30:$I$332)/(7.85*G$21)</f>
        <v>#VALUE!</v>
      </c>
      <c r="H22" s="67" t="e" cm="1">
        <f t="array" ref="H22">SUMPRODUCT(--($C$30:$C$332=$D$21),--($AX$30:$AX$332="PL"&amp;H$21),$J$30:$J$332,$I$30:$I$332)/(7.85*H$21)</f>
        <v>#VALUE!</v>
      </c>
      <c r="I22" s="67" t="e" cm="1">
        <f t="array" ref="I22">SUMPRODUCT(--($C$30:$C$332=$D$21),--($AX$30:$AX$332="PL"&amp;I$21),$J$30:$J$332,$I$30:$I$332)/(7.85*I$21)</f>
        <v>#VALUE!</v>
      </c>
      <c r="J22" s="67" t="e" cm="1">
        <f t="array" ref="J22">SUMPRODUCT(--($C$30:$C$332=$D$21),--($AX$30:$AX$332="PL"&amp;J$21),$J$30:$J$332,$I$30:$I$332)/(7.85*J$21)</f>
        <v>#VALUE!</v>
      </c>
      <c r="K22" s="67" t="e" cm="1">
        <f t="array" ref="K22">SUMPRODUCT(--($C$30:$C$332=$D$21),--($AX$30:$AX$332="PL"&amp;K$21),$J$30:$J$332,$I$30:$I$332)/(7.85*K$21)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</row>
    <row r="23" spans="3:59" ht="21" hidden="1" customHeight="1" outlineLevel="2">
      <c r="D23" s="66" t="s">
        <v>17</v>
      </c>
      <c r="E23" s="69" t="e" cm="1">
        <f t="array" ref="E23">SUMPRODUCT(--($C$30:$C$332=$D$21),--($AX$30:$AX$332="PL"&amp;E$21),$I$30:$I$332)</f>
        <v>#VALUE!</v>
      </c>
      <c r="F23" s="69" t="e" cm="1">
        <f t="array" ref="F23">SUMPRODUCT(--($C$30:$C$332=$D$21),--($AX$30:$AX$332="PL"&amp;F$21),$I$30:$I$332)</f>
        <v>#VALUE!</v>
      </c>
      <c r="G23" s="69" t="e" cm="1">
        <f t="array" ref="G23">SUMPRODUCT(--($C$30:$C$332=$D$21),--($AX$30:$AX$332="PL"&amp;G$21),$I$30:$I$332)</f>
        <v>#VALUE!</v>
      </c>
      <c r="H23" s="69" t="e" cm="1">
        <f t="array" ref="H23">SUMPRODUCT(--($C$30:$C$332=$D$21),--($AX$30:$AX$332="PL"&amp;H$21),$I$30:$I$332)</f>
        <v>#VALUE!</v>
      </c>
      <c r="I23" s="69" t="e" cm="1">
        <f t="array" ref="I23">SUMPRODUCT(--($C$30:$C$332=$D$21),--($AX$30:$AX$332="PL"&amp;I$21),$I$30:$I$332)</f>
        <v>#VALUE!</v>
      </c>
      <c r="J23" s="69" t="e" cm="1">
        <f t="array" ref="J23">SUMPRODUCT(--($C$30:$C$332=$D$21),--($AX$30:$AX$332="PL"&amp;J$21),$I$30:$I$332)</f>
        <v>#VALUE!</v>
      </c>
      <c r="K23" s="69" t="e" cm="1">
        <f t="array" ref="K23">SUMPRODUCT(--($C$30:$C$332=$D$21),--($AX$30:$AX$332="PL"&amp;K$21),$I$30:$I$332)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</row>
    <row r="24" spans="3:59" ht="25.9" hidden="1" customHeight="1" outlineLevel="2">
      <c r="D24" s="66" t="s">
        <v>25</v>
      </c>
      <c r="E24" s="67" t="e" cm="1">
        <f t="array" ref="E24">SUMPRODUCT(--($C$30:$C$332=$D$21),--($AX$30:$AX$332="PL"&amp;E$21),$J$30:$J$332,$M$30:$M$332)/(7.85*E$21)</f>
        <v>#VALUE!</v>
      </c>
      <c r="F24" s="67" t="e" cm="1">
        <f t="array" ref="F24">SUMPRODUCT(--($C$30:$C$332=$D$21),--($AX$30:$AX$332="PL"&amp;F$21),$J$30:$J$332,$M$30:$M$332)/(7.85*F$21)</f>
        <v>#VALUE!</v>
      </c>
      <c r="G24" s="67" t="e" cm="1">
        <f t="array" ref="G24">SUMPRODUCT(--($C$30:$C$332=$D$21),--($AX$30:$AX$332="PL"&amp;G$21),$J$30:$J$332,$M$30:$M$332)/(7.85*G$21)</f>
        <v>#VALUE!</v>
      </c>
      <c r="H24" s="67" t="e" cm="1">
        <f t="array" ref="H24">SUMPRODUCT(--($C$30:$C$332=$D$21),--($AX$30:$AX$332="PL"&amp;H$21),$J$30:$J$332,$M$30:$M$332)/(7.85*H$21)</f>
        <v>#VALUE!</v>
      </c>
      <c r="I24" s="67" t="e" cm="1">
        <f t="array" ref="I24">SUMPRODUCT(--($C$30:$C$332=$D$21),--($AX$30:$AX$332="PL"&amp;I$21),$J$30:$J$332,$M$30:$M$332)/(7.85*I$21)</f>
        <v>#VALUE!</v>
      </c>
      <c r="J24" s="67" t="e" cm="1">
        <f t="array" ref="J24">SUMPRODUCT(--($C$30:$C$332=$D$21),--($AX$30:$AX$332="PL"&amp;J$21),$J$30:$J$332,$M$30:$M$332)/(7.85*J$21)</f>
        <v>#VALUE!</v>
      </c>
      <c r="K24" s="67" t="e" cm="1">
        <f t="array" ref="K24">SUMPRODUCT(--($C$30:$C$332=$D$21),--($AX$30:$AX$332="PL"&amp;K$21),$J$30:$J$332,$M$30:$M$332)/(7.85*K$21)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</row>
    <row r="25" spans="3:59" ht="19.5" hidden="1" customHeight="1" outlineLevel="2">
      <c r="D25" s="71" t="s">
        <v>26</v>
      </c>
      <c r="E25" s="69" t="e" cm="1">
        <f t="array" ref="E25">SUMPRODUCT(--($C$30:$C$332=$D$21),--($AX$30:$AX$332="PL"&amp;E$21),$M$30:$M$332)</f>
        <v>#VALUE!</v>
      </c>
      <c r="F25" s="69" t="e" cm="1">
        <f t="array" ref="F25">SUMPRODUCT(--($C$30:$C$332=$D$21),--($AX$30:$AX$332="PL"&amp;F$21),$M$30:$M$332)</f>
        <v>#VALUE!</v>
      </c>
      <c r="G25" s="69" t="e" cm="1">
        <f t="array" ref="G25">SUMPRODUCT(--($C$30:$C$332=$D$21),--($AX$30:$AX$332="PL"&amp;G$21),$M$30:$M$332)</f>
        <v>#VALUE!</v>
      </c>
      <c r="H25" s="69" t="e" cm="1">
        <f t="array" ref="H25">SUMPRODUCT(--($C$30:$C$332=$D$21),--($AX$30:$AX$332="PL"&amp;H$21),$M$30:$M$332)</f>
        <v>#VALUE!</v>
      </c>
      <c r="I25" s="69" t="e" cm="1">
        <f t="array" ref="I25">SUMPRODUCT(--($C$30:$C$332=$D$21),--($AX$30:$AX$332="PL"&amp;I$21),$M$30:$M$332)</f>
        <v>#VALUE!</v>
      </c>
      <c r="J25" s="69" t="e" cm="1">
        <f t="array" ref="J25">SUMPRODUCT(--($C$30:$C$332=$D$21),--($AX$30:$AX$332="PL"&amp;J$21),$M$30:$M$332)</f>
        <v>#VALUE!</v>
      </c>
      <c r="K25" s="69" t="e" cm="1">
        <f t="array" ref="K25">SUMPRODUCT(--($C$30:$C$332=$D$21),--($AX$30:$AX$332="PL"&amp;K$21),$M$30:$M$332)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</row>
    <row r="26" spans="3:59" ht="25.9" hidden="1" customHeight="1" outlineLevel="1" collapsed="1" thickBot="1">
      <c r="D26" s="72" t="s">
        <v>27</v>
      </c>
      <c r="E26" s="67" t="e" cm="1">
        <f t="array" ref="E26">SUMPRODUCT(--($C$30:$C$332=$D$21),--($AX$30:$AX$332="PL"&amp;E$21),$J$30:$J$332,$M$30:$M$332)</f>
        <v>#VALUE!</v>
      </c>
      <c r="F26" s="67" t="e" cm="1">
        <f t="array" ref="F26">SUMPRODUCT(--($C$30:$C$332=$D$21),--($AX$30:$AX$332="PL"&amp;F$21),$J$30:$J$332,$M$30:$M$332)</f>
        <v>#VALUE!</v>
      </c>
      <c r="G26" s="67" t="e" cm="1">
        <f t="array" ref="G26">SUMPRODUCT(--($C$30:$C$332=$D$21),--($AX$30:$AX$332="PL"&amp;G$21),$J$30:$J$332,$M$30:$M$332)</f>
        <v>#VALUE!</v>
      </c>
      <c r="H26" s="67" t="e" cm="1">
        <f t="array" ref="H26">SUMPRODUCT(--($C$30:$C$332=$D$21),--($AX$30:$AX$332="PL"&amp;H$21),$J$30:$J$332,$M$30:$M$332)</f>
        <v>#VALUE!</v>
      </c>
      <c r="I26" s="67" t="e" cm="1">
        <f t="array" ref="I26">SUMPRODUCT(--($C$30:$C$332=$D$21),--($AX$30:$AX$332="PL"&amp;I$21),$J$30:$J$332,$M$30:$M$332)</f>
        <v>#VALUE!</v>
      </c>
      <c r="J26" s="67" t="e" cm="1">
        <f t="array" ref="J26">SUMPRODUCT(--($C$30:$C$332=$D$21),--($AX$30:$AX$332="PL"&amp;J$21),$J$30:$J$332,$M$30:$M$332)</f>
        <v>#VALUE!</v>
      </c>
      <c r="K26" s="67" t="e" cm="1">
        <f t="array" ref="K26">SUMPRODUCT(--($C$30:$C$332=$D$21),--($AX$30:$AX$332="PL"&amp;K$21),$J$30:$J$332,$M$30:$M$332)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</row>
    <row r="27" spans="3:59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48.8</v>
      </c>
      <c r="AS27" s="73" cm="1">
        <f t="array" ref="AS27">SUMPRODUCT($J$30:$J$332,AS30:AS332,--(AS30:AS332&lt;&gt;""))</f>
        <v>177.60000000000002</v>
      </c>
      <c r="AT27" s="73" cm="1">
        <f t="array" ref="AT27">SUMPRODUCT($J$30:$J$332,AT30:AT332,--(AT30:AT332&lt;&gt;""))</f>
        <v>404.8</v>
      </c>
      <c r="AU27" s="73" cm="1">
        <f t="array" ref="AU27">SUMPRODUCT($J$30:$J$332,AU30:AU332,--(AU30:AU332&lt;&gt;""))</f>
        <v>0</v>
      </c>
      <c r="AV27" s="73" t="e" cm="1">
        <f t="array" ref="AV27">SUMPRODUCT($J$30:$J$332,AV30:AV332,--(AV30:AV332&lt;&gt;""))</f>
        <v>#VALUE!</v>
      </c>
    </row>
    <row r="28" spans="3:5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U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:AR28" si="11">SUM(AQ30:AQ332)</f>
        <v>7</v>
      </c>
      <c r="AR28" s="75">
        <f t="shared" si="11"/>
        <v>2</v>
      </c>
      <c r="AS28" s="75">
        <f t="shared" ref="AS28:AT28" si="12">SUM(AS30:AS332)</f>
        <v>3</v>
      </c>
      <c r="AT28" s="75">
        <f t="shared" si="12"/>
        <v>12</v>
      </c>
      <c r="AU28" s="75">
        <f t="shared" si="1"/>
        <v>0</v>
      </c>
      <c r="AV28" s="75" t="e">
        <f t="shared" ref="AV28" si="13">SUM(AV30:AV332)</f>
        <v>#VALUE!</v>
      </c>
      <c r="AW28" s="74"/>
      <c r="AX28" s="74"/>
    </row>
    <row r="29" spans="3:5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9">
        <v>46307</v>
      </c>
      <c r="AS29" s="79">
        <v>46309</v>
      </c>
      <c r="AT29" s="79">
        <v>46311</v>
      </c>
      <c r="AU29" s="78" t="s">
        <v>34</v>
      </c>
      <c r="AV29" s="77" t="s">
        <v>35</v>
      </c>
      <c r="AW29" s="77" t="s">
        <v>36</v>
      </c>
      <c r="AX29" s="77" t="s">
        <v>37</v>
      </c>
      <c r="AY29" s="80" t="s">
        <v>38</v>
      </c>
      <c r="AZ29" s="80" t="s">
        <v>39</v>
      </c>
      <c r="BA29" s="80" t="s">
        <v>40</v>
      </c>
      <c r="BB29" s="80" t="s">
        <v>41</v>
      </c>
      <c r="BC29" s="80" t="s">
        <v>42</v>
      </c>
      <c r="BD29" s="80" t="s">
        <v>43</v>
      </c>
      <c r="BE29" s="81" t="s">
        <v>44</v>
      </c>
      <c r="BF29" s="80"/>
      <c r="BG29" s="80"/>
    </row>
    <row r="30" spans="3:59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4">MIN(SUM(N30:AU30),I30)</f>
        <v>4</v>
      </c>
      <c r="M30" s="26">
        <f t="shared" ref="M30:M269" si="15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26"/>
      <c r="AT30" s="26"/>
      <c r="AU30" s="26"/>
      <c r="AV30" s="67" t="e">
        <f>SUMIFS([1]Up!$J:$J,[1]Up!$D:$D,D30)</f>
        <v>#VALUE!</v>
      </c>
      <c r="AW30" s="82"/>
      <c r="AX30" s="82" t="str">
        <f t="shared" ref="AX30:AX269" si="16">IFERROR(IF(C30="Plate",LEFT(E30,FIND("*",E30,1)-1),""),IF(C30="Plate",LEFT(E30,FIND("x",E30,1)-1),""))</f>
        <v>PL10</v>
      </c>
      <c r="AY30" s="53" t="s">
        <v>2251</v>
      </c>
      <c r="AZ30" s="53" t="s">
        <v>148</v>
      </c>
      <c r="BA30" s="53"/>
      <c r="BB30" s="53"/>
      <c r="BC30" s="53" t="s">
        <v>57</v>
      </c>
      <c r="BD30" s="53">
        <v>12</v>
      </c>
      <c r="BE30" s="83"/>
      <c r="BF30" s="53"/>
      <c r="BG30" s="53"/>
    </row>
    <row r="31" spans="3:59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4"/>
        <v>2</v>
      </c>
      <c r="M31" s="26">
        <f t="shared" si="15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26"/>
      <c r="AT31" s="26"/>
      <c r="AU31" s="26"/>
      <c r="AV31" s="67" t="e">
        <f>SUMIFS([1]Up!$J:$J,[1]Up!$D:$D,D31)</f>
        <v>#VALUE!</v>
      </c>
      <c r="AW31" s="82" t="s">
        <v>2387</v>
      </c>
      <c r="AX31" s="82" t="e">
        <f t="shared" si="16"/>
        <v>#VALUE!</v>
      </c>
      <c r="AY31" s="53" t="str">
        <f t="shared" ref="AY31:AY269" si="17">IF(ROUND(SUM(N31:AU31)-I31,0)&gt;0,"Thừa "&amp;SUM(N31:AU31)-I31,"")</f>
        <v/>
      </c>
      <c r="AZ31" s="53" t="s">
        <v>154</v>
      </c>
      <c r="BA31" s="53"/>
      <c r="BB31" s="53"/>
      <c r="BC31" s="53" t="s">
        <v>57</v>
      </c>
      <c r="BD31" s="53">
        <v>6</v>
      </c>
      <c r="BE31" s="83"/>
      <c r="BF31" s="53"/>
      <c r="BG31" s="53"/>
    </row>
    <row r="32" spans="3:59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4"/>
        <v>2</v>
      </c>
      <c r="M32" s="26">
        <f t="shared" si="15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26"/>
      <c r="AT32" s="26"/>
      <c r="AU32" s="26"/>
      <c r="AV32" s="67" t="e">
        <f>SUMIFS([1]Up!$J:$J,[1]Up!$D:$D,D32)</f>
        <v>#VALUE!</v>
      </c>
      <c r="AW32" s="82"/>
      <c r="AX32" s="82" t="str">
        <f t="shared" si="16"/>
        <v>PL10</v>
      </c>
      <c r="AY32" s="53" t="str">
        <f t="shared" si="17"/>
        <v/>
      </c>
      <c r="AZ32" s="53" t="s">
        <v>154</v>
      </c>
      <c r="BA32" s="84" t="s">
        <v>210</v>
      </c>
      <c r="BB32" s="53"/>
      <c r="BC32" s="53" t="s">
        <v>211</v>
      </c>
      <c r="BD32" s="53">
        <v>2</v>
      </c>
      <c r="BE32" s="83">
        <v>46201</v>
      </c>
      <c r="BF32" s="53"/>
      <c r="BG32" s="53"/>
    </row>
    <row r="33" spans="3:59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4"/>
        <v>0</v>
      </c>
      <c r="M33" s="26">
        <f t="shared" si="15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67" t="e">
        <f>SUMIFS([1]Up!$J:$J,[1]Up!$D:$D,D33)</f>
        <v>#VALUE!</v>
      </c>
      <c r="AW33" s="82"/>
      <c r="AX33" s="82" t="str">
        <f t="shared" si="16"/>
        <v>PL10</v>
      </c>
      <c r="AY33" s="53" t="str">
        <f t="shared" si="17"/>
        <v/>
      </c>
      <c r="AZ33" s="53" t="s">
        <v>154</v>
      </c>
      <c r="BA33" s="84" t="s">
        <v>210</v>
      </c>
      <c r="BB33" s="53"/>
      <c r="BC33" s="53" t="s">
        <v>211</v>
      </c>
      <c r="BD33" s="53">
        <v>4</v>
      </c>
      <c r="BE33" s="83">
        <v>46201</v>
      </c>
      <c r="BF33" s="53"/>
      <c r="BG33" s="53"/>
    </row>
    <row r="34" spans="3:59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4"/>
        <v>2</v>
      </c>
      <c r="M34" s="26">
        <f t="shared" si="15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26"/>
      <c r="AT34" s="26"/>
      <c r="AU34" s="26"/>
      <c r="AV34" s="67" t="e">
        <f>SUMIFS([1]Up!$J:$J,[1]Up!$D:$D,D34)</f>
        <v>#VALUE!</v>
      </c>
      <c r="AW34" s="82" t="s">
        <v>2389</v>
      </c>
      <c r="AX34" s="82" t="e">
        <f t="shared" si="16"/>
        <v>#VALUE!</v>
      </c>
      <c r="AY34" s="53" t="str">
        <f t="shared" si="17"/>
        <v>Thừa 1</v>
      </c>
      <c r="AZ34" s="53" t="s">
        <v>154</v>
      </c>
      <c r="BA34" s="53"/>
      <c r="BB34" s="53"/>
      <c r="BC34" s="53" t="s">
        <v>57</v>
      </c>
      <c r="BD34" s="53">
        <v>6</v>
      </c>
      <c r="BE34" s="83"/>
      <c r="BF34" s="53"/>
      <c r="BG34" s="53"/>
    </row>
    <row r="35" spans="3:59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4"/>
        <v>2</v>
      </c>
      <c r="M35" s="26">
        <f t="shared" si="15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26"/>
      <c r="AT35" s="26"/>
      <c r="AU35" s="26"/>
      <c r="AV35" s="67" t="e">
        <f>SUMIFS([1]Up!$J:$J,[1]Up!$D:$D,D35)</f>
        <v>#VALUE!</v>
      </c>
      <c r="AW35" s="82"/>
      <c r="AX35" s="82" t="str">
        <f t="shared" si="16"/>
        <v>PL10</v>
      </c>
      <c r="AY35" s="53" t="str">
        <f t="shared" si="17"/>
        <v/>
      </c>
      <c r="AZ35" s="53" t="s">
        <v>148</v>
      </c>
      <c r="BA35" s="84" t="s">
        <v>210</v>
      </c>
      <c r="BB35" s="53"/>
      <c r="BC35" s="53" t="s">
        <v>211</v>
      </c>
      <c r="BD35" s="53">
        <v>2</v>
      </c>
      <c r="BE35" s="83">
        <v>46201</v>
      </c>
      <c r="BF35" s="53"/>
      <c r="BG35" s="53"/>
    </row>
    <row r="36" spans="3:59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4"/>
        <v>0</v>
      </c>
      <c r="M36" s="26">
        <f t="shared" si="15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67" t="e">
        <f>SUMIFS([1]Up!$J:$J,[1]Up!$D:$D,D36)</f>
        <v>#VALUE!</v>
      </c>
      <c r="AW36" s="82"/>
      <c r="AX36" s="82" t="str">
        <f t="shared" si="16"/>
        <v>PL10</v>
      </c>
      <c r="AY36" s="53" t="str">
        <f t="shared" si="17"/>
        <v/>
      </c>
      <c r="AZ36" s="53" t="s">
        <v>154</v>
      </c>
      <c r="BA36" s="84" t="s">
        <v>210</v>
      </c>
      <c r="BB36" s="53"/>
      <c r="BC36" s="53" t="s">
        <v>211</v>
      </c>
      <c r="BD36" s="53">
        <v>4</v>
      </c>
      <c r="BE36" s="83">
        <v>46201</v>
      </c>
      <c r="BF36" s="53"/>
      <c r="BG36" s="53"/>
    </row>
    <row r="37" spans="3:59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4"/>
        <v>0</v>
      </c>
      <c r="M37" s="26">
        <f t="shared" si="15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67" t="e">
        <f>SUMIFS([1]Up!$J:$J,[1]Up!$D:$D,D37)</f>
        <v>#VALUE!</v>
      </c>
      <c r="AW37" s="82"/>
      <c r="AX37" s="82" t="str">
        <f t="shared" si="16"/>
        <v>PL10</v>
      </c>
      <c r="AY37" s="53" t="str">
        <f t="shared" si="17"/>
        <v/>
      </c>
      <c r="AZ37" s="53" t="s">
        <v>154</v>
      </c>
      <c r="BA37" s="84" t="s">
        <v>210</v>
      </c>
      <c r="BB37" s="53"/>
      <c r="BC37" s="53" t="s">
        <v>211</v>
      </c>
      <c r="BD37" s="53">
        <v>4</v>
      </c>
      <c r="BE37" s="83">
        <v>46201</v>
      </c>
      <c r="BF37" s="53"/>
      <c r="BG37" s="53"/>
    </row>
    <row r="38" spans="3:59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4"/>
        <v>0</v>
      </c>
      <c r="M38" s="26">
        <f t="shared" si="15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67" t="e">
        <f>SUMIFS([1]Up!$J:$J,[1]Up!$D:$D,D38)</f>
        <v>#VALUE!</v>
      </c>
      <c r="AW38" s="82"/>
      <c r="AX38" s="82" t="str">
        <f t="shared" si="16"/>
        <v>PL10</v>
      </c>
      <c r="AY38" s="53" t="str">
        <f t="shared" si="17"/>
        <v/>
      </c>
      <c r="AZ38" s="53" t="s">
        <v>154</v>
      </c>
      <c r="BA38" s="84" t="s">
        <v>210</v>
      </c>
      <c r="BB38" s="53"/>
      <c r="BC38" s="53" t="s">
        <v>211</v>
      </c>
      <c r="BD38" s="53">
        <v>4</v>
      </c>
      <c r="BE38" s="83">
        <v>46201</v>
      </c>
      <c r="BF38" s="53"/>
      <c r="BG38" s="53"/>
    </row>
    <row r="39" spans="3:59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4"/>
        <v>0</v>
      </c>
      <c r="M39" s="26">
        <f t="shared" si="15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67" t="e">
        <f>SUMIFS([1]Up!$J:$J,[1]Up!$D:$D,D39)</f>
        <v>#VALUE!</v>
      </c>
      <c r="AW39" s="82"/>
      <c r="AX39" s="82" t="str">
        <f t="shared" si="16"/>
        <v>PL10</v>
      </c>
      <c r="AY39" s="53" t="str">
        <f t="shared" si="17"/>
        <v/>
      </c>
      <c r="AZ39" s="53" t="s">
        <v>154</v>
      </c>
      <c r="BA39" s="84" t="s">
        <v>210</v>
      </c>
      <c r="BB39" s="53"/>
      <c r="BC39" s="53" t="s">
        <v>211</v>
      </c>
      <c r="BD39" s="53">
        <v>4</v>
      </c>
      <c r="BE39" s="83">
        <v>46201</v>
      </c>
      <c r="BF39" s="53"/>
      <c r="BG39" s="53"/>
    </row>
    <row r="40" spans="3:59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4"/>
        <v>0</v>
      </c>
      <c r="M40" s="26">
        <f t="shared" si="15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67" t="e">
        <f>SUMIFS([1]Up!$J:$J,[1]Up!$D:$D,D40)</f>
        <v>#VALUE!</v>
      </c>
      <c r="AW40" s="82"/>
      <c r="AX40" s="82" t="str">
        <f t="shared" si="16"/>
        <v>PL10</v>
      </c>
      <c r="AY40" s="53" t="str">
        <f t="shared" si="17"/>
        <v/>
      </c>
      <c r="AZ40" s="53" t="s">
        <v>154</v>
      </c>
      <c r="BA40" s="84" t="s">
        <v>210</v>
      </c>
      <c r="BB40" s="53"/>
      <c r="BC40" s="53" t="s">
        <v>211</v>
      </c>
      <c r="BD40" s="53">
        <v>4</v>
      </c>
      <c r="BE40" s="83">
        <v>46201</v>
      </c>
      <c r="BF40" s="53"/>
      <c r="BG40" s="53"/>
    </row>
    <row r="41" spans="3:59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4"/>
        <v>0</v>
      </c>
      <c r="M41" s="26">
        <f t="shared" si="15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67" t="e">
        <f>SUMIFS([1]Up!$J:$J,[1]Up!$D:$D,D41)</f>
        <v>#VALUE!</v>
      </c>
      <c r="AW41" s="82"/>
      <c r="AX41" s="82" t="str">
        <f t="shared" si="16"/>
        <v>PL10</v>
      </c>
      <c r="AY41" s="53" t="str">
        <f t="shared" si="17"/>
        <v/>
      </c>
      <c r="AZ41" s="53" t="s">
        <v>154</v>
      </c>
      <c r="BA41" s="84" t="s">
        <v>210</v>
      </c>
      <c r="BB41" s="53"/>
      <c r="BC41" s="53" t="s">
        <v>211</v>
      </c>
      <c r="BD41" s="53">
        <v>4</v>
      </c>
      <c r="BE41" s="83">
        <v>46201</v>
      </c>
      <c r="BF41" s="53"/>
      <c r="BG41" s="53"/>
    </row>
    <row r="42" spans="3:59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4"/>
        <v>3</v>
      </c>
      <c r="M42" s="26">
        <f t="shared" si="15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>
        <v>3</v>
      </c>
      <c r="AT42" s="26"/>
      <c r="AU42" s="26"/>
      <c r="AV42" s="67" t="e">
        <f>SUMIFS([1]Up!$J:$J,[1]Up!$D:$D,D42)</f>
        <v>#VALUE!</v>
      </c>
      <c r="AW42" s="82"/>
      <c r="AX42" s="82" t="str">
        <f t="shared" si="16"/>
        <v>PL10</v>
      </c>
      <c r="AY42" s="53" t="str">
        <f t="shared" si="17"/>
        <v/>
      </c>
      <c r="AZ42" s="53" t="s">
        <v>154</v>
      </c>
      <c r="BA42" s="84" t="s">
        <v>210</v>
      </c>
      <c r="BB42" s="53"/>
      <c r="BC42" s="53" t="s">
        <v>211</v>
      </c>
      <c r="BD42" s="53">
        <v>4</v>
      </c>
      <c r="BE42" s="83">
        <v>46201</v>
      </c>
      <c r="BF42" s="53"/>
      <c r="BG42" s="53"/>
    </row>
    <row r="43" spans="3:59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4"/>
        <v>0</v>
      </c>
      <c r="M43" s="26">
        <f t="shared" si="15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67" t="e">
        <f>SUMIFS([1]Up!$J:$J,[1]Up!$D:$D,D43)</f>
        <v>#VALUE!</v>
      </c>
      <c r="AW43" s="82"/>
      <c r="AX43" s="82" t="str">
        <f t="shared" si="16"/>
        <v>PL10</v>
      </c>
      <c r="AY43" s="53" t="str">
        <f t="shared" si="17"/>
        <v/>
      </c>
      <c r="AZ43" s="53" t="s">
        <v>154</v>
      </c>
      <c r="BA43" s="84" t="s">
        <v>210</v>
      </c>
      <c r="BB43" s="53"/>
      <c r="BC43" s="53" t="s">
        <v>211</v>
      </c>
      <c r="BD43" s="53">
        <v>4</v>
      </c>
      <c r="BE43" s="83">
        <v>46201</v>
      </c>
      <c r="BF43" s="53"/>
      <c r="BG43" s="53"/>
    </row>
    <row r="44" spans="3:59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4"/>
        <v>0</v>
      </c>
      <c r="M44" s="26">
        <f t="shared" si="15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67" t="e">
        <f>SUMIFS([1]Up!$J:$J,[1]Up!$D:$D,D44)</f>
        <v>#VALUE!</v>
      </c>
      <c r="AW44" s="82"/>
      <c r="AX44" s="82" t="str">
        <f t="shared" si="16"/>
        <v>PL10</v>
      </c>
      <c r="AY44" s="53" t="str">
        <f t="shared" si="17"/>
        <v/>
      </c>
      <c r="AZ44" s="53" t="s">
        <v>154</v>
      </c>
      <c r="BA44" s="84" t="s">
        <v>210</v>
      </c>
      <c r="BB44" s="53"/>
      <c r="BC44" s="53" t="s">
        <v>211</v>
      </c>
      <c r="BD44" s="53">
        <v>4</v>
      </c>
      <c r="BE44" s="83">
        <v>46201</v>
      </c>
      <c r="BF44" s="53"/>
      <c r="BG44" s="53"/>
    </row>
    <row r="45" spans="3:59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4"/>
        <v>0</v>
      </c>
      <c r="M45" s="26">
        <f t="shared" si="15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67" t="e">
        <f>SUMIFS([1]Up!$J:$J,[1]Up!$D:$D,D45)</f>
        <v>#VALUE!</v>
      </c>
      <c r="AW45" s="82"/>
      <c r="AX45" s="82" t="str">
        <f t="shared" si="16"/>
        <v>PL10</v>
      </c>
      <c r="AY45" s="53" t="str">
        <f t="shared" si="17"/>
        <v/>
      </c>
      <c r="AZ45" s="53" t="s">
        <v>154</v>
      </c>
      <c r="BA45" s="84" t="s">
        <v>210</v>
      </c>
      <c r="BB45" s="53"/>
      <c r="BC45" s="53" t="s">
        <v>211</v>
      </c>
      <c r="BD45" s="53">
        <v>4</v>
      </c>
      <c r="BE45" s="83">
        <v>46201</v>
      </c>
      <c r="BF45" s="53"/>
      <c r="BG45" s="53"/>
    </row>
    <row r="46" spans="3:59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4"/>
        <v>1</v>
      </c>
      <c r="M46" s="26">
        <f t="shared" si="15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67" t="e">
        <f>SUMIFS([1]Up!$J:$J,[1]Up!$D:$D,D46)</f>
        <v>#VALUE!</v>
      </c>
      <c r="AW46" s="82"/>
      <c r="AX46" s="82" t="str">
        <f t="shared" si="16"/>
        <v>PL20</v>
      </c>
      <c r="AY46" s="53" t="str">
        <f t="shared" si="17"/>
        <v/>
      </c>
      <c r="AZ46" s="53" t="s">
        <v>148</v>
      </c>
      <c r="BA46" s="84" t="s">
        <v>319</v>
      </c>
      <c r="BB46" s="53"/>
      <c r="BC46" s="53" t="s">
        <v>320</v>
      </c>
      <c r="BD46" s="53">
        <v>1</v>
      </c>
      <c r="BE46" s="83">
        <v>46202</v>
      </c>
      <c r="BF46" s="53"/>
      <c r="BG46" s="53"/>
    </row>
    <row r="47" spans="3:59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4"/>
        <v>2</v>
      </c>
      <c r="M47" s="26">
        <f t="shared" si="15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67" t="e">
        <f>SUMIFS([1]Up!$J:$J,[1]Up!$D:$D,D47)</f>
        <v>#VALUE!</v>
      </c>
      <c r="AW47" s="82"/>
      <c r="AX47" s="82" t="str">
        <f t="shared" si="16"/>
        <v>PL20</v>
      </c>
      <c r="AY47" s="53" t="str">
        <f t="shared" si="17"/>
        <v/>
      </c>
      <c r="AZ47" s="53" t="s">
        <v>148</v>
      </c>
      <c r="BA47" s="84" t="s">
        <v>319</v>
      </c>
      <c r="BB47" s="53"/>
      <c r="BC47" s="53" t="s">
        <v>320</v>
      </c>
      <c r="BD47" s="53">
        <v>2</v>
      </c>
      <c r="BE47" s="83">
        <v>46202</v>
      </c>
      <c r="BF47" s="53"/>
      <c r="BG47" s="53"/>
    </row>
    <row r="48" spans="3:59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4"/>
        <v>1</v>
      </c>
      <c r="M48" s="26">
        <f t="shared" si="15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67" t="e">
        <f>SUMIFS([1]Up!$J:$J,[1]Up!$D:$D,D48)</f>
        <v>#VALUE!</v>
      </c>
      <c r="AW48" s="82"/>
      <c r="AX48" s="82" t="str">
        <f t="shared" si="16"/>
        <v>PL20</v>
      </c>
      <c r="AY48" s="53" t="str">
        <f t="shared" si="17"/>
        <v/>
      </c>
      <c r="AZ48" s="53" t="s">
        <v>148</v>
      </c>
      <c r="BA48" s="84" t="s">
        <v>319</v>
      </c>
      <c r="BB48" s="53"/>
      <c r="BC48" s="53" t="s">
        <v>320</v>
      </c>
      <c r="BD48" s="53">
        <v>1</v>
      </c>
      <c r="BE48" s="83">
        <v>46202</v>
      </c>
      <c r="BF48" s="53"/>
      <c r="BG48" s="53"/>
    </row>
    <row r="49" spans="3:59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4"/>
        <v>1</v>
      </c>
      <c r="M49" s="26">
        <f t="shared" si="15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67" t="e">
        <f>SUMIFS([1]Up!$J:$J,[1]Up!$D:$D,D49)</f>
        <v>#VALUE!</v>
      </c>
      <c r="AW49" s="82"/>
      <c r="AX49" s="82" t="str">
        <f t="shared" si="16"/>
        <v>PL20</v>
      </c>
      <c r="AY49" s="53" t="str">
        <f t="shared" si="17"/>
        <v/>
      </c>
      <c r="AZ49" s="53" t="s">
        <v>148</v>
      </c>
      <c r="BA49" s="84" t="s">
        <v>319</v>
      </c>
      <c r="BB49" s="53"/>
      <c r="BC49" s="53" t="s">
        <v>320</v>
      </c>
      <c r="BD49" s="53">
        <v>1</v>
      </c>
      <c r="BE49" s="83">
        <v>46202</v>
      </c>
      <c r="BF49" s="53"/>
      <c r="BG49" s="53"/>
    </row>
    <row r="50" spans="3:59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4"/>
        <v>2</v>
      </c>
      <c r="M50" s="26">
        <f t="shared" si="15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67" t="e">
        <f>SUMIFS([1]Up!$J:$J,[1]Up!$D:$D,D50)</f>
        <v>#VALUE!</v>
      </c>
      <c r="AW50" s="82"/>
      <c r="AX50" s="82" t="str">
        <f t="shared" si="16"/>
        <v>PL20</v>
      </c>
      <c r="AY50" s="53" t="str">
        <f t="shared" si="17"/>
        <v/>
      </c>
      <c r="AZ50" s="53" t="s">
        <v>148</v>
      </c>
      <c r="BA50" s="84" t="s">
        <v>319</v>
      </c>
      <c r="BB50" s="53"/>
      <c r="BC50" s="53" t="s">
        <v>320</v>
      </c>
      <c r="BD50" s="53">
        <v>2</v>
      </c>
      <c r="BE50" s="83">
        <v>46202</v>
      </c>
      <c r="BF50" s="53"/>
      <c r="BG50" s="53"/>
    </row>
    <row r="51" spans="3:59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4"/>
        <v>2</v>
      </c>
      <c r="M51" s="26">
        <f t="shared" si="15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67" t="e">
        <f>SUMIFS([1]Up!$J:$J,[1]Up!$D:$D,D51)</f>
        <v>#VALUE!</v>
      </c>
      <c r="AW51" s="82"/>
      <c r="AX51" s="82" t="str">
        <f t="shared" si="16"/>
        <v>PL25</v>
      </c>
      <c r="AY51" s="53" t="str">
        <f t="shared" si="17"/>
        <v/>
      </c>
      <c r="AZ51" s="53" t="s">
        <v>148</v>
      </c>
      <c r="BA51" s="53" t="s">
        <v>803</v>
      </c>
      <c r="BB51" s="53"/>
      <c r="BC51" s="53" t="s">
        <v>804</v>
      </c>
      <c r="BD51" s="53">
        <v>2</v>
      </c>
      <c r="BE51" s="83">
        <v>46196</v>
      </c>
      <c r="BF51" s="53"/>
      <c r="BG51" s="53"/>
    </row>
    <row r="52" spans="3:59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4"/>
        <v>27</v>
      </c>
      <c r="M52" s="26">
        <f t="shared" si="15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26"/>
      <c r="AT52" s="26"/>
      <c r="AU52" s="26"/>
      <c r="AV52" s="67" t="e">
        <f>SUMIFS([1]Up!$J:$J,[1]Up!$D:$D,D52)</f>
        <v>#VALUE!</v>
      </c>
      <c r="AW52" s="82"/>
      <c r="AX52" s="82" t="str">
        <f t="shared" si="16"/>
        <v>PL15</v>
      </c>
      <c r="AY52" s="53" t="str">
        <f t="shared" si="17"/>
        <v/>
      </c>
      <c r="AZ52" s="53" t="s">
        <v>148</v>
      </c>
      <c r="BA52" s="84" t="s">
        <v>200</v>
      </c>
      <c r="BB52" s="53"/>
      <c r="BC52" s="53" t="s">
        <v>201</v>
      </c>
      <c r="BD52" s="53">
        <v>16</v>
      </c>
      <c r="BE52" s="83">
        <v>46201</v>
      </c>
      <c r="BF52" s="53"/>
      <c r="BG52" s="53"/>
    </row>
    <row r="53" spans="3:59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4"/>
        <v>18</v>
      </c>
      <c r="M53" s="26">
        <f t="shared" si="15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26"/>
      <c r="AT53" s="26"/>
      <c r="AU53" s="26"/>
      <c r="AV53" s="67" t="e">
        <f>SUMIFS([1]Up!$J:$J,[1]Up!$D:$D,D53)</f>
        <v>#VALUE!</v>
      </c>
      <c r="AW53" s="82"/>
      <c r="AX53" s="82" t="str">
        <f t="shared" si="16"/>
        <v>PL15</v>
      </c>
      <c r="AY53" s="53" t="str">
        <f t="shared" si="17"/>
        <v/>
      </c>
      <c r="AZ53" s="53" t="s">
        <v>148</v>
      </c>
      <c r="BA53" s="84" t="s">
        <v>200</v>
      </c>
      <c r="BB53" s="53"/>
      <c r="BC53" s="53" t="s">
        <v>201</v>
      </c>
      <c r="BD53" s="53">
        <v>16</v>
      </c>
      <c r="BE53" s="83">
        <v>46201</v>
      </c>
      <c r="BF53" s="53"/>
      <c r="BG53" s="53"/>
    </row>
    <row r="54" spans="3:59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4"/>
        <v>16</v>
      </c>
      <c r="M54" s="26">
        <f t="shared" si="15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67" t="e">
        <f>SUMIFS([1]Up!$J:$J,[1]Up!$D:$D,D54)</f>
        <v>#VALUE!</v>
      </c>
      <c r="AW54" s="82"/>
      <c r="AX54" s="82" t="str">
        <f t="shared" si="16"/>
        <v>PL15</v>
      </c>
      <c r="AY54" s="53" t="str">
        <f t="shared" si="17"/>
        <v/>
      </c>
      <c r="AZ54" s="53" t="s">
        <v>148</v>
      </c>
      <c r="BA54" s="84" t="s">
        <v>200</v>
      </c>
      <c r="BB54" s="53"/>
      <c r="BC54" s="53" t="s">
        <v>201</v>
      </c>
      <c r="BD54" s="53">
        <v>16</v>
      </c>
      <c r="BE54" s="83">
        <v>46201</v>
      </c>
      <c r="BF54" s="53"/>
      <c r="BG54" s="53"/>
    </row>
    <row r="55" spans="3:59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4"/>
        <v>15</v>
      </c>
      <c r="M55" s="26">
        <f t="shared" si="15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67" t="e">
        <f>SUMIFS([1]Up!$J:$J,[1]Up!$D:$D,D55)</f>
        <v>#VALUE!</v>
      </c>
      <c r="AW55" s="82"/>
      <c r="AX55" s="82" t="str">
        <f t="shared" si="16"/>
        <v>PL15</v>
      </c>
      <c r="AY55" s="53" t="str">
        <f t="shared" si="17"/>
        <v/>
      </c>
      <c r="AZ55" s="53" t="s">
        <v>148</v>
      </c>
      <c r="BA55" s="84" t="s">
        <v>200</v>
      </c>
      <c r="BB55" s="53"/>
      <c r="BC55" s="53" t="s">
        <v>201</v>
      </c>
      <c r="BD55" s="53">
        <v>16</v>
      </c>
      <c r="BE55" s="83">
        <v>46201</v>
      </c>
      <c r="BF55" s="53"/>
      <c r="BG55" s="53"/>
    </row>
    <row r="56" spans="3:59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4"/>
        <v>0</v>
      </c>
      <c r="M56" s="26">
        <f t="shared" si="15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67" t="e">
        <f>SUMIFS([1]Up!$J:$J,[1]Up!$D:$D,D56)</f>
        <v>#VALUE!</v>
      </c>
      <c r="AW56" s="82"/>
      <c r="AX56" s="82" t="str">
        <f t="shared" si="16"/>
        <v>PL15</v>
      </c>
      <c r="AY56" s="53" t="str">
        <f t="shared" si="17"/>
        <v/>
      </c>
      <c r="AZ56" s="53" t="s">
        <v>148</v>
      </c>
      <c r="BA56" s="53"/>
      <c r="BB56" s="53"/>
      <c r="BC56" s="53"/>
      <c r="BD56" s="53"/>
      <c r="BE56" s="83"/>
      <c r="BF56" s="53"/>
      <c r="BG56" s="53"/>
    </row>
    <row r="57" spans="3:59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4"/>
        <v>0</v>
      </c>
      <c r="M57" s="26">
        <f t="shared" si="15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67" t="e">
        <f>SUMIFS([1]Up!$J:$J,[1]Up!$D:$D,D57)</f>
        <v>#VALUE!</v>
      </c>
      <c r="AW57" s="82"/>
      <c r="AX57" s="82" t="str">
        <f t="shared" si="16"/>
        <v>PL15</v>
      </c>
      <c r="AY57" s="53" t="str">
        <f t="shared" si="17"/>
        <v/>
      </c>
      <c r="AZ57" s="53" t="s">
        <v>148</v>
      </c>
      <c r="BA57" s="53"/>
      <c r="BB57" s="53"/>
      <c r="BC57" s="53"/>
      <c r="BD57" s="53"/>
      <c r="BE57" s="83"/>
      <c r="BF57" s="53"/>
      <c r="BG57" s="53"/>
    </row>
    <row r="58" spans="3:59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4"/>
        <v>0</v>
      </c>
      <c r="M58" s="26">
        <f t="shared" si="15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67" t="e">
        <f>SUMIFS([1]Up!$J:$J,[1]Up!$D:$D,D58)</f>
        <v>#VALUE!</v>
      </c>
      <c r="AW58" s="82"/>
      <c r="AX58" s="82" t="str">
        <f t="shared" si="16"/>
        <v>PL25</v>
      </c>
      <c r="AY58" s="53" t="str">
        <f t="shared" si="17"/>
        <v/>
      </c>
      <c r="AZ58" s="53" t="s">
        <v>148</v>
      </c>
      <c r="BA58" s="53" t="s">
        <v>803</v>
      </c>
      <c r="BB58" s="53"/>
      <c r="BC58" s="53" t="s">
        <v>804</v>
      </c>
      <c r="BD58" s="53">
        <v>1</v>
      </c>
      <c r="BE58" s="83">
        <v>46196</v>
      </c>
      <c r="BF58" s="53"/>
      <c r="BG58" s="53"/>
    </row>
    <row r="59" spans="3:59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4"/>
        <v>0</v>
      </c>
      <c r="M59" s="26">
        <f t="shared" si="15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67" t="e">
        <f>SUMIFS([1]Up!$J:$J,[1]Up!$D:$D,D59)</f>
        <v>#VALUE!</v>
      </c>
      <c r="AW59" s="82"/>
      <c r="AX59" s="82" t="str">
        <f t="shared" si="16"/>
        <v>PL25</v>
      </c>
      <c r="AY59" s="53" t="str">
        <f t="shared" si="17"/>
        <v/>
      </c>
      <c r="AZ59" s="53" t="s">
        <v>148</v>
      </c>
      <c r="BA59" s="53" t="s">
        <v>803</v>
      </c>
      <c r="BB59" s="53"/>
      <c r="BC59" s="53" t="s">
        <v>804</v>
      </c>
      <c r="BD59" s="53">
        <v>2</v>
      </c>
      <c r="BE59" s="83">
        <v>46196</v>
      </c>
      <c r="BF59" s="53"/>
      <c r="BG59" s="53"/>
    </row>
    <row r="60" spans="3:59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4"/>
        <v>0</v>
      </c>
      <c r="M60" s="26">
        <f t="shared" si="15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67" t="e">
        <f>SUMIFS([1]Up!$J:$J,[1]Up!$D:$D,D60)</f>
        <v>#VALUE!</v>
      </c>
      <c r="AW60" s="82"/>
      <c r="AX60" s="82" t="str">
        <f t="shared" si="16"/>
        <v>PL20</v>
      </c>
      <c r="AY60" s="53" t="str">
        <f t="shared" si="17"/>
        <v/>
      </c>
      <c r="AZ60" s="53" t="s">
        <v>148</v>
      </c>
      <c r="BA60" s="84" t="s">
        <v>319</v>
      </c>
      <c r="BB60" s="53"/>
      <c r="BC60" s="53" t="s">
        <v>320</v>
      </c>
      <c r="BD60" s="53">
        <v>1</v>
      </c>
      <c r="BE60" s="83">
        <v>46202</v>
      </c>
      <c r="BF60" s="53"/>
      <c r="BG60" s="53"/>
    </row>
    <row r="61" spans="3:59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4"/>
        <v>0</v>
      </c>
      <c r="M61" s="26">
        <f t="shared" si="15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67" t="e">
        <f>SUMIFS([1]Up!$J:$J,[1]Up!$D:$D,D61)</f>
        <v>#VALUE!</v>
      </c>
      <c r="AW61" s="82"/>
      <c r="AX61" s="82" t="str">
        <f t="shared" si="16"/>
        <v>PL20</v>
      </c>
      <c r="AY61" s="53" t="str">
        <f t="shared" si="17"/>
        <v/>
      </c>
      <c r="AZ61" s="53" t="s">
        <v>148</v>
      </c>
      <c r="BA61" s="84" t="s">
        <v>319</v>
      </c>
      <c r="BB61" s="53"/>
      <c r="BC61" s="53" t="s">
        <v>320</v>
      </c>
      <c r="BD61" s="53">
        <v>2</v>
      </c>
      <c r="BE61" s="83">
        <v>46202</v>
      </c>
      <c r="BF61" s="53"/>
      <c r="BG61" s="53"/>
    </row>
    <row r="62" spans="3:59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4"/>
        <v>0</v>
      </c>
      <c r="M62" s="26">
        <f t="shared" si="15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67" t="e">
        <f>SUMIFS([1]Up!$J:$J,[1]Up!$D:$D,D62)</f>
        <v>#VALUE!</v>
      </c>
      <c r="AW62" s="82"/>
      <c r="AX62" s="82" t="str">
        <f t="shared" si="16"/>
        <v>PL20</v>
      </c>
      <c r="AY62" s="53" t="str">
        <f t="shared" si="17"/>
        <v/>
      </c>
      <c r="AZ62" s="53" t="s">
        <v>148</v>
      </c>
      <c r="BA62" s="53"/>
      <c r="BB62" s="53"/>
      <c r="BC62" s="53" t="s">
        <v>57</v>
      </c>
      <c r="BD62" s="53">
        <v>2</v>
      </c>
      <c r="BE62" s="83"/>
      <c r="BF62" s="53"/>
      <c r="BG62" s="53"/>
    </row>
    <row r="63" spans="3:59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4"/>
        <v>0</v>
      </c>
      <c r="M63" s="26">
        <f t="shared" si="15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67" t="e">
        <f>SUMIFS([1]Up!$J:$J,[1]Up!$D:$D,D63)</f>
        <v>#VALUE!</v>
      </c>
      <c r="AW63" s="82"/>
      <c r="AX63" s="82" t="str">
        <f t="shared" si="16"/>
        <v>PL20</v>
      </c>
      <c r="AY63" s="53" t="str">
        <f t="shared" si="17"/>
        <v/>
      </c>
      <c r="AZ63" s="53" t="s">
        <v>148</v>
      </c>
      <c r="BA63" s="84" t="s">
        <v>319</v>
      </c>
      <c r="BB63" s="53"/>
      <c r="BC63" s="53" t="s">
        <v>320</v>
      </c>
      <c r="BD63" s="53">
        <v>2</v>
      </c>
      <c r="BE63" s="83">
        <v>46202</v>
      </c>
      <c r="BF63" s="53"/>
      <c r="BG63" s="53"/>
    </row>
    <row r="64" spans="3:59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4"/>
        <v>2</v>
      </c>
      <c r="M64" s="26">
        <f t="shared" si="15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67" t="e">
        <f>SUMIFS([1]Up!$J:$J,[1]Up!$D:$D,D64)</f>
        <v>#VALUE!</v>
      </c>
      <c r="AW64" s="82" t="s">
        <v>2232</v>
      </c>
      <c r="AX64" s="82" t="str">
        <f t="shared" si="16"/>
        <v>PL20</v>
      </c>
      <c r="AY64" s="53" t="str">
        <f t="shared" si="17"/>
        <v/>
      </c>
      <c r="AZ64" s="53" t="s">
        <v>148</v>
      </c>
      <c r="BA64" s="53"/>
      <c r="BB64" s="53"/>
      <c r="BC64" s="53" t="s">
        <v>57</v>
      </c>
      <c r="BD64" s="53">
        <v>2</v>
      </c>
      <c r="BE64" s="83"/>
      <c r="BF64" s="53"/>
      <c r="BG64" s="53"/>
    </row>
    <row r="65" spans="3:59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4"/>
        <v>0</v>
      </c>
      <c r="M65" s="26">
        <f t="shared" si="15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67" t="e">
        <f>SUMIFS([1]Up!$J:$J,[1]Up!$D:$D,D65)</f>
        <v>#VALUE!</v>
      </c>
      <c r="AW65" s="82"/>
      <c r="AX65" s="82" t="str">
        <f t="shared" si="16"/>
        <v>PL20</v>
      </c>
      <c r="AY65" s="53" t="str">
        <f t="shared" si="17"/>
        <v/>
      </c>
      <c r="AZ65" s="53" t="s">
        <v>148</v>
      </c>
      <c r="BA65" s="84" t="s">
        <v>319</v>
      </c>
      <c r="BB65" s="53"/>
      <c r="BC65" s="53" t="s">
        <v>320</v>
      </c>
      <c r="BD65" s="53">
        <v>2</v>
      </c>
      <c r="BE65" s="83">
        <v>46202</v>
      </c>
      <c r="BF65" s="53"/>
      <c r="BG65" s="53"/>
    </row>
    <row r="66" spans="3:59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4"/>
        <v>2</v>
      </c>
      <c r="M66" s="26">
        <f t="shared" si="15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67" t="e">
        <f>SUMIFS([1]Up!$J:$J,[1]Up!$D:$D,D66)</f>
        <v>#VALUE!</v>
      </c>
      <c r="AW66" s="82" t="s">
        <v>2233</v>
      </c>
      <c r="AX66" s="82" t="str">
        <f t="shared" si="16"/>
        <v>PL20</v>
      </c>
      <c r="AY66" s="53" t="str">
        <f t="shared" si="17"/>
        <v>Thừa 2</v>
      </c>
      <c r="AZ66" s="53" t="s">
        <v>148</v>
      </c>
      <c r="BA66" s="53"/>
      <c r="BB66" s="53"/>
      <c r="BC66" s="53" t="s">
        <v>57</v>
      </c>
      <c r="BD66" s="53">
        <v>2</v>
      </c>
      <c r="BE66" s="83"/>
      <c r="BF66" s="53"/>
      <c r="BG66" s="53"/>
    </row>
    <row r="67" spans="3:59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4"/>
        <v>0</v>
      </c>
      <c r="M67" s="26">
        <f t="shared" si="15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67" t="e">
        <f>SUMIFS([1]Up!$J:$J,[1]Up!$D:$D,D67)</f>
        <v>#VALUE!</v>
      </c>
      <c r="AW67" s="82"/>
      <c r="AX67" s="82" t="str">
        <f t="shared" si="16"/>
        <v>PL20</v>
      </c>
      <c r="AY67" s="53" t="str">
        <f t="shared" si="17"/>
        <v/>
      </c>
      <c r="AZ67" s="53" t="s">
        <v>148</v>
      </c>
      <c r="BA67" s="84" t="s">
        <v>319</v>
      </c>
      <c r="BB67" s="53"/>
      <c r="BC67" s="53" t="s">
        <v>320</v>
      </c>
      <c r="BD67" s="53">
        <v>2</v>
      </c>
      <c r="BE67" s="83">
        <v>46202</v>
      </c>
      <c r="BF67" s="53"/>
      <c r="BG67" s="53"/>
    </row>
    <row r="68" spans="3:59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4"/>
        <v>2</v>
      </c>
      <c r="M68" s="26">
        <f t="shared" si="15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67" t="e">
        <f>SUMIFS([1]Up!$J:$J,[1]Up!$D:$D,D68)</f>
        <v>#VALUE!</v>
      </c>
      <c r="AW68" s="82" t="s">
        <v>2075</v>
      </c>
      <c r="AX68" s="82" t="str">
        <f t="shared" si="16"/>
        <v>PL15</v>
      </c>
      <c r="AY68" s="53" t="str">
        <f t="shared" si="17"/>
        <v>Thừa 2</v>
      </c>
      <c r="AZ68" s="53" t="s">
        <v>148</v>
      </c>
      <c r="BA68" s="84" t="s">
        <v>200</v>
      </c>
      <c r="BB68" s="53"/>
      <c r="BC68" s="53" t="s">
        <v>201</v>
      </c>
      <c r="BD68" s="53">
        <v>2</v>
      </c>
      <c r="BE68" s="83">
        <v>46201</v>
      </c>
      <c r="BF68" s="53"/>
      <c r="BG68" s="53"/>
    </row>
    <row r="69" spans="3:59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4"/>
        <v>12</v>
      </c>
      <c r="M69" s="26">
        <f t="shared" si="15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67" t="e">
        <f>SUMIFS([1]Up!$J:$J,[1]Up!$D:$D,D69)</f>
        <v>#VALUE!</v>
      </c>
      <c r="AW69" s="82" t="s">
        <v>2079</v>
      </c>
      <c r="AX69" s="82" t="str">
        <f t="shared" si="16"/>
        <v>PL15</v>
      </c>
      <c r="AY69" s="53" t="str">
        <f t="shared" si="17"/>
        <v>Thừa 12</v>
      </c>
      <c r="AZ69" s="53" t="s">
        <v>148</v>
      </c>
      <c r="BA69" s="84" t="s">
        <v>200</v>
      </c>
      <c r="BB69" s="53"/>
      <c r="BC69" s="53" t="s">
        <v>201</v>
      </c>
      <c r="BD69" s="53">
        <v>12</v>
      </c>
      <c r="BE69" s="83">
        <v>46201</v>
      </c>
      <c r="BF69" s="53"/>
      <c r="BG69" s="53"/>
    </row>
    <row r="70" spans="3:59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4"/>
        <v>4</v>
      </c>
      <c r="M70" s="26">
        <f t="shared" si="15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67" t="e">
        <f>SUMIFS([1]Up!$J:$J,[1]Up!$D:$D,D70)</f>
        <v>#VALUE!</v>
      </c>
      <c r="AW70" s="82" t="s">
        <v>2078</v>
      </c>
      <c r="AX70" s="82" t="str">
        <f t="shared" si="16"/>
        <v>PL15</v>
      </c>
      <c r="AY70" s="53" t="str">
        <f t="shared" si="17"/>
        <v>Thừa 4</v>
      </c>
      <c r="AZ70" s="53" t="s">
        <v>148</v>
      </c>
      <c r="BA70" s="84" t="s">
        <v>200</v>
      </c>
      <c r="BB70" s="53"/>
      <c r="BC70" s="53" t="s">
        <v>201</v>
      </c>
      <c r="BD70" s="53">
        <v>4</v>
      </c>
      <c r="BE70" s="83">
        <v>46201</v>
      </c>
      <c r="BF70" s="53"/>
      <c r="BG70" s="53"/>
    </row>
    <row r="71" spans="3:59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4"/>
        <v>4</v>
      </c>
      <c r="M71" s="26">
        <f t="shared" si="15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26"/>
      <c r="AT71" s="26"/>
      <c r="AU71" s="26"/>
      <c r="AV71" s="67" t="e">
        <f>SUMIFS([1]Up!$J:$J,[1]Up!$D:$D,D71)</f>
        <v>#VALUE!</v>
      </c>
      <c r="AW71" s="82" t="s">
        <v>2388</v>
      </c>
      <c r="AX71" s="82" t="e">
        <f t="shared" si="16"/>
        <v>#VALUE!</v>
      </c>
      <c r="AY71" s="53" t="str">
        <f t="shared" si="17"/>
        <v>Thừa 16</v>
      </c>
      <c r="AZ71" s="53" t="s">
        <v>154</v>
      </c>
      <c r="BA71" s="53"/>
      <c r="BB71" s="53"/>
      <c r="BC71" s="53" t="s">
        <v>57</v>
      </c>
      <c r="BD71" s="53">
        <v>4</v>
      </c>
      <c r="BE71" s="83"/>
      <c r="BF71" s="53"/>
      <c r="BG71" s="53"/>
    </row>
    <row r="72" spans="3:59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4"/>
        <v>4</v>
      </c>
      <c r="M72" s="26">
        <f t="shared" si="15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67" t="e">
        <f>SUMIFS([1]Up!$J:$J,[1]Up!$D:$D,D72)</f>
        <v>#VALUE!</v>
      </c>
      <c r="AW72" s="82"/>
      <c r="AX72" s="82" t="str">
        <f t="shared" si="16"/>
        <v>PL10</v>
      </c>
      <c r="AY72" s="53" t="str">
        <f t="shared" si="17"/>
        <v/>
      </c>
      <c r="AZ72" s="53" t="s">
        <v>148</v>
      </c>
      <c r="BA72" s="84" t="s">
        <v>210</v>
      </c>
      <c r="BB72" s="53"/>
      <c r="BC72" s="53" t="s">
        <v>211</v>
      </c>
      <c r="BD72" s="53">
        <v>4</v>
      </c>
      <c r="BE72" s="83">
        <v>46201</v>
      </c>
      <c r="BF72" s="53"/>
      <c r="BG72" s="53"/>
    </row>
    <row r="73" spans="3:59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4"/>
        <v>1</v>
      </c>
      <c r="M73" s="26">
        <f t="shared" si="15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67" t="e">
        <f>SUMIFS([1]Up!$J:$J,[1]Up!$D:$D,D73)</f>
        <v>#VALUE!</v>
      </c>
      <c r="AW73" s="82" t="s">
        <v>2077</v>
      </c>
      <c r="AX73" s="82" t="str">
        <f t="shared" si="16"/>
        <v>PL15</v>
      </c>
      <c r="AY73" s="53" t="str">
        <f t="shared" si="17"/>
        <v>Thừa 2</v>
      </c>
      <c r="AZ73" s="53" t="s">
        <v>148</v>
      </c>
      <c r="BA73" s="53"/>
      <c r="BB73" s="53"/>
      <c r="BC73" s="53" t="s">
        <v>57</v>
      </c>
      <c r="BD73" s="53">
        <v>1</v>
      </c>
      <c r="BE73" s="83"/>
      <c r="BF73" s="53"/>
      <c r="BG73" s="53"/>
    </row>
    <row r="74" spans="3:59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4"/>
        <v>1</v>
      </c>
      <c r="M74" s="26">
        <f t="shared" si="15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26"/>
      <c r="AT74" s="26"/>
      <c r="AU74" s="26"/>
      <c r="AV74" s="67" t="e">
        <f>SUMIFS([1]Up!$J:$J,[1]Up!$D:$D,D74)</f>
        <v>#VALUE!</v>
      </c>
      <c r="AW74" s="82" t="s">
        <v>2386</v>
      </c>
      <c r="AX74" s="82" t="e">
        <f t="shared" si="16"/>
        <v>#VALUE!</v>
      </c>
      <c r="AY74" s="53" t="str">
        <f t="shared" si="17"/>
        <v>Thừa 4</v>
      </c>
      <c r="AZ74" s="53" t="s">
        <v>154</v>
      </c>
      <c r="BA74" s="53"/>
      <c r="BB74" s="53"/>
      <c r="BC74" s="53" t="s">
        <v>57</v>
      </c>
      <c r="BD74" s="53">
        <v>1</v>
      </c>
      <c r="BE74" s="83"/>
      <c r="BF74" s="53"/>
      <c r="BG74" s="53"/>
    </row>
    <row r="75" spans="3:59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4"/>
        <v>0</v>
      </c>
      <c r="M75" s="26">
        <f t="shared" si="15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67" t="e">
        <f>SUMIFS([1]Up!$J:$J,[1]Up!$D:$D,D75)</f>
        <v>#VALUE!</v>
      </c>
      <c r="AW75" s="82"/>
      <c r="AX75" s="82" t="e">
        <f t="shared" si="16"/>
        <v>#VALUE!</v>
      </c>
      <c r="AY75" s="53" t="str">
        <f t="shared" si="17"/>
        <v/>
      </c>
      <c r="AZ75" s="53" t="s">
        <v>154</v>
      </c>
      <c r="BA75" s="53"/>
      <c r="BB75" s="53"/>
      <c r="BC75" s="53" t="s">
        <v>57</v>
      </c>
      <c r="BD75" s="53">
        <v>1</v>
      </c>
      <c r="BE75" s="83"/>
      <c r="BF75" s="53"/>
      <c r="BG75" s="53"/>
    </row>
    <row r="76" spans="3:59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4"/>
        <v>1</v>
      </c>
      <c r="M76" s="26">
        <f t="shared" si="15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26"/>
      <c r="AT76" s="26"/>
      <c r="AU76" s="26"/>
      <c r="AV76" s="67" t="e">
        <f>SUMIFS([1]Up!$J:$J,[1]Up!$D:$D,D76)</f>
        <v>#VALUE!</v>
      </c>
      <c r="AW76" s="82" t="s">
        <v>2256</v>
      </c>
      <c r="AX76" s="82" t="e">
        <f t="shared" si="16"/>
        <v>#VALUE!</v>
      </c>
      <c r="AY76" s="53" t="str">
        <f t="shared" si="17"/>
        <v>Thừa 5</v>
      </c>
      <c r="AZ76" s="53" t="s">
        <v>154</v>
      </c>
      <c r="BA76" s="53"/>
      <c r="BB76" s="53"/>
      <c r="BC76" s="53" t="s">
        <v>57</v>
      </c>
      <c r="BD76" s="53">
        <v>1</v>
      </c>
      <c r="BE76" s="83"/>
      <c r="BF76" s="53"/>
      <c r="BG76" s="53"/>
    </row>
    <row r="77" spans="3:59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4"/>
        <v>2</v>
      </c>
      <c r="M77" s="26">
        <f t="shared" si="15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67" t="e">
        <f>SUMIFS([1]Up!$J:$J,[1]Up!$D:$D,D77)</f>
        <v>#VALUE!</v>
      </c>
      <c r="AW77" s="82"/>
      <c r="AX77" s="82" t="str">
        <f t="shared" si="16"/>
        <v>PL12</v>
      </c>
      <c r="AY77" s="53" t="str">
        <f t="shared" si="17"/>
        <v/>
      </c>
      <c r="AZ77" s="53" t="s">
        <v>148</v>
      </c>
      <c r="BA77" s="84" t="s">
        <v>304</v>
      </c>
      <c r="BB77" s="53"/>
      <c r="BC77" s="53" t="s">
        <v>305</v>
      </c>
      <c r="BD77" s="53">
        <v>2</v>
      </c>
      <c r="BE77" s="83">
        <v>46196</v>
      </c>
      <c r="BF77" s="53"/>
      <c r="BG77" s="53"/>
    </row>
    <row r="78" spans="3:59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4"/>
        <v>2</v>
      </c>
      <c r="M78" s="26">
        <f t="shared" si="15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67" t="e">
        <f>SUMIFS([1]Up!$J:$J,[1]Up!$D:$D,D78)</f>
        <v>#VALUE!</v>
      </c>
      <c r="AW78" s="82"/>
      <c r="AX78" s="82" t="str">
        <f t="shared" si="16"/>
        <v>PL15</v>
      </c>
      <c r="AY78" s="53" t="str">
        <f t="shared" si="17"/>
        <v/>
      </c>
      <c r="AZ78" s="53" t="s">
        <v>148</v>
      </c>
      <c r="BA78" s="84" t="s">
        <v>200</v>
      </c>
      <c r="BB78" s="53"/>
      <c r="BC78" s="53" t="s">
        <v>201</v>
      </c>
      <c r="BD78" s="53">
        <v>2</v>
      </c>
      <c r="BE78" s="83">
        <v>46201</v>
      </c>
      <c r="BF78" s="53"/>
      <c r="BG78" s="53"/>
    </row>
    <row r="79" spans="3:59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4"/>
        <v>1</v>
      </c>
      <c r="M79" s="26">
        <f t="shared" si="15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67" t="e">
        <f>SUMIFS([1]Up!$J:$J,[1]Up!$D:$D,D79)</f>
        <v>#VALUE!</v>
      </c>
      <c r="AW79" s="82" t="s">
        <v>2070</v>
      </c>
      <c r="AX79" s="82" t="str">
        <f t="shared" si="16"/>
        <v>PL15</v>
      </c>
      <c r="AY79" s="53" t="str">
        <f t="shared" si="17"/>
        <v>Thừa 4</v>
      </c>
      <c r="AZ79" s="53" t="s">
        <v>148</v>
      </c>
      <c r="BA79" s="53"/>
      <c r="BB79" s="53"/>
      <c r="BC79" s="53" t="s">
        <v>57</v>
      </c>
      <c r="BD79" s="53">
        <v>1</v>
      </c>
      <c r="BE79" s="83"/>
      <c r="BF79" s="53"/>
      <c r="BG79" s="53"/>
    </row>
    <row r="80" spans="3:59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4"/>
        <v>2</v>
      </c>
      <c r="M80" s="26">
        <f t="shared" si="15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67" t="e">
        <f>SUMIFS([1]Up!$J:$J,[1]Up!$D:$D,D80)</f>
        <v>#VALUE!</v>
      </c>
      <c r="AW80" s="82"/>
      <c r="AX80" s="82" t="str">
        <f t="shared" si="16"/>
        <v>PL15</v>
      </c>
      <c r="AY80" s="53" t="str">
        <f t="shared" si="17"/>
        <v/>
      </c>
      <c r="AZ80" s="53" t="s">
        <v>148</v>
      </c>
      <c r="BA80" s="84" t="s">
        <v>200</v>
      </c>
      <c r="BB80" s="53"/>
      <c r="BC80" s="53" t="s">
        <v>201</v>
      </c>
      <c r="BD80" s="53">
        <v>2</v>
      </c>
      <c r="BE80" s="83">
        <v>46201</v>
      </c>
      <c r="BF80" s="53"/>
      <c r="BG80" s="53"/>
    </row>
    <row r="81" spans="3:59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4"/>
        <v>1</v>
      </c>
      <c r="M81" s="26">
        <f t="shared" si="15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67" t="e">
        <f>SUMIFS([1]Up!$J:$J,[1]Up!$D:$D,D81)</f>
        <v>#VALUE!</v>
      </c>
      <c r="AW81" s="82" t="s">
        <v>847</v>
      </c>
      <c r="AX81" s="82" t="str">
        <f t="shared" si="16"/>
        <v>PL20</v>
      </c>
      <c r="AY81" s="53" t="str">
        <f t="shared" si="17"/>
        <v>Thừa 1</v>
      </c>
      <c r="AZ81" s="53" t="s">
        <v>148</v>
      </c>
      <c r="BA81" s="53"/>
      <c r="BB81" s="53"/>
      <c r="BC81" s="53" t="s">
        <v>57</v>
      </c>
      <c r="BD81" s="53">
        <v>1</v>
      </c>
      <c r="BE81" s="83"/>
      <c r="BF81" s="53"/>
      <c r="BG81" s="53"/>
    </row>
    <row r="82" spans="3:59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4"/>
        <v>1</v>
      </c>
      <c r="M82" s="26">
        <f t="shared" si="15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67" t="e">
        <f>SUMIFS([1]Up!$J:$J,[1]Up!$D:$D,D82)</f>
        <v>#VALUE!</v>
      </c>
      <c r="AW82" s="82"/>
      <c r="AX82" s="82" t="str">
        <f t="shared" si="16"/>
        <v>PL20</v>
      </c>
      <c r="AY82" s="53" t="str">
        <f t="shared" si="17"/>
        <v/>
      </c>
      <c r="AZ82" s="53" t="s">
        <v>148</v>
      </c>
      <c r="BA82" s="84" t="s">
        <v>319</v>
      </c>
      <c r="BB82" s="53"/>
      <c r="BC82" s="53" t="s">
        <v>320</v>
      </c>
      <c r="BD82" s="53">
        <v>2</v>
      </c>
      <c r="BE82" s="83">
        <v>46202</v>
      </c>
      <c r="BF82" s="53"/>
      <c r="BG82" s="53"/>
    </row>
    <row r="83" spans="3:59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4"/>
        <v>0</v>
      </c>
      <c r="M83" s="26">
        <f t="shared" si="15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67" t="e">
        <f>SUMIFS([1]Up!$J:$J,[1]Up!$D:$D,D83)</f>
        <v>#VALUE!</v>
      </c>
      <c r="AW83" s="82"/>
      <c r="AX83" s="82" t="str">
        <f t="shared" si="16"/>
        <v>PL12</v>
      </c>
      <c r="AY83" s="53" t="str">
        <f t="shared" si="17"/>
        <v/>
      </c>
      <c r="AZ83" s="53" t="s">
        <v>154</v>
      </c>
      <c r="BA83" s="84" t="s">
        <v>304</v>
      </c>
      <c r="BB83" s="53"/>
      <c r="BC83" s="53" t="s">
        <v>305</v>
      </c>
      <c r="BD83" s="53">
        <v>1</v>
      </c>
      <c r="BE83" s="83">
        <v>46196</v>
      </c>
      <c r="BF83" s="53"/>
      <c r="BG83" s="53"/>
    </row>
    <row r="84" spans="3:59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4"/>
        <v>0</v>
      </c>
      <c r="M84" s="26">
        <f t="shared" si="15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67" t="e">
        <f>SUMIFS([1]Up!$J:$J,[1]Up!$D:$D,D84)</f>
        <v>#VALUE!</v>
      </c>
      <c r="AW84" s="82"/>
      <c r="AX84" s="82" t="str">
        <f t="shared" si="16"/>
        <v>PL12</v>
      </c>
      <c r="AY84" s="53" t="str">
        <f t="shared" si="17"/>
        <v/>
      </c>
      <c r="AZ84" s="53" t="s">
        <v>154</v>
      </c>
      <c r="BA84" s="84" t="s">
        <v>304</v>
      </c>
      <c r="BB84" s="53"/>
      <c r="BC84" s="53" t="s">
        <v>305</v>
      </c>
      <c r="BD84" s="53">
        <v>1</v>
      </c>
      <c r="BE84" s="83">
        <v>46196</v>
      </c>
      <c r="BF84" s="53"/>
      <c r="BG84" s="53"/>
    </row>
    <row r="85" spans="3:59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4"/>
        <v>1</v>
      </c>
      <c r="M85" s="26">
        <f t="shared" si="15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67" t="e">
        <f>SUMIFS([1]Up!$J:$J,[1]Up!$D:$D,D85)</f>
        <v>#VALUE!</v>
      </c>
      <c r="AW85" s="82"/>
      <c r="AX85" s="82" t="str">
        <f t="shared" si="16"/>
        <v>PL15</v>
      </c>
      <c r="AY85" s="53" t="str">
        <f t="shared" si="17"/>
        <v/>
      </c>
      <c r="AZ85" s="53" t="s">
        <v>148</v>
      </c>
      <c r="BA85" s="84" t="s">
        <v>200</v>
      </c>
      <c r="BB85" s="53"/>
      <c r="BC85" s="53" t="s">
        <v>201</v>
      </c>
      <c r="BD85" s="53">
        <v>1</v>
      </c>
      <c r="BE85" s="83">
        <v>46201</v>
      </c>
      <c r="BF85" s="53"/>
      <c r="BG85" s="53"/>
    </row>
    <row r="86" spans="3:59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4"/>
        <v>1</v>
      </c>
      <c r="M86" s="26">
        <f t="shared" si="15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26"/>
      <c r="AT86" s="26"/>
      <c r="AU86" s="26"/>
      <c r="AV86" s="67" t="e">
        <f>SUMIFS([1]Up!$J:$J,[1]Up!$D:$D,D86)</f>
        <v>#VALUE!</v>
      </c>
      <c r="AW86" s="82" t="s">
        <v>2255</v>
      </c>
      <c r="AX86" s="82" t="e">
        <f t="shared" si="16"/>
        <v>#VALUE!</v>
      </c>
      <c r="AY86" s="53" t="str">
        <f t="shared" si="17"/>
        <v/>
      </c>
      <c r="AZ86" s="53" t="s">
        <v>154</v>
      </c>
      <c r="BA86" s="53"/>
      <c r="BB86" s="53"/>
      <c r="BC86" s="53" t="s">
        <v>57</v>
      </c>
      <c r="BD86" s="53">
        <v>1</v>
      </c>
      <c r="BE86" s="83"/>
      <c r="BF86" s="53"/>
      <c r="BG86" s="53"/>
    </row>
    <row r="87" spans="3:59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4"/>
        <v>1</v>
      </c>
      <c r="M87" s="26">
        <f t="shared" si="15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67" t="e">
        <f>SUMIFS([1]Up!$J:$J,[1]Up!$D:$D,D87)</f>
        <v>#VALUE!</v>
      </c>
      <c r="AW87" s="82"/>
      <c r="AX87" s="82" t="str">
        <f t="shared" si="16"/>
        <v>PL10</v>
      </c>
      <c r="AY87" s="53" t="str">
        <f t="shared" si="17"/>
        <v/>
      </c>
      <c r="AZ87" s="53" t="s">
        <v>148</v>
      </c>
      <c r="BA87" s="84" t="s">
        <v>210</v>
      </c>
      <c r="BB87" s="53"/>
      <c r="BC87" s="53" t="s">
        <v>211</v>
      </c>
      <c r="BD87" s="53">
        <v>1</v>
      </c>
      <c r="BE87" s="83">
        <v>46201</v>
      </c>
      <c r="BF87" s="53"/>
      <c r="BG87" s="53"/>
    </row>
    <row r="88" spans="3:59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4"/>
        <v>1</v>
      </c>
      <c r="M88" s="26">
        <f t="shared" si="15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67" t="e">
        <f>SUMIFS([1]Up!$J:$J,[1]Up!$D:$D,D88)</f>
        <v>#VALUE!</v>
      </c>
      <c r="AW88" s="82"/>
      <c r="AX88" s="82" t="str">
        <f t="shared" si="16"/>
        <v>PL10</v>
      </c>
      <c r="AY88" s="53" t="str">
        <f t="shared" si="17"/>
        <v/>
      </c>
      <c r="AZ88" s="53" t="s">
        <v>148</v>
      </c>
      <c r="BA88" s="84" t="s">
        <v>210</v>
      </c>
      <c r="BB88" s="53"/>
      <c r="BC88" s="53" t="s">
        <v>211</v>
      </c>
      <c r="BD88" s="53">
        <v>1</v>
      </c>
      <c r="BE88" s="83">
        <v>46201</v>
      </c>
      <c r="BF88" s="53"/>
      <c r="BG88" s="53"/>
    </row>
    <row r="89" spans="3:59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4"/>
        <v>1</v>
      </c>
      <c r="M89" s="26">
        <f t="shared" si="15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67" t="e">
        <f>SUMIFS([1]Up!$J:$J,[1]Up!$D:$D,D89)</f>
        <v>#VALUE!</v>
      </c>
      <c r="AW89" s="82"/>
      <c r="AX89" s="82" t="str">
        <f t="shared" si="16"/>
        <v>PL10</v>
      </c>
      <c r="AY89" s="53" t="str">
        <f t="shared" si="17"/>
        <v/>
      </c>
      <c r="AZ89" s="53" t="s">
        <v>148</v>
      </c>
      <c r="BA89" s="84" t="s">
        <v>210</v>
      </c>
      <c r="BB89" s="53"/>
      <c r="BC89" s="53" t="s">
        <v>211</v>
      </c>
      <c r="BD89" s="53">
        <v>1</v>
      </c>
      <c r="BE89" s="83">
        <v>46201</v>
      </c>
      <c r="BF89" s="53"/>
      <c r="BG89" s="53"/>
    </row>
    <row r="90" spans="3:59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4"/>
        <v>1</v>
      </c>
      <c r="M90" s="26">
        <f t="shared" si="15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67" t="e">
        <f>SUMIFS([1]Up!$J:$J,[1]Up!$D:$D,D90)</f>
        <v>#VALUE!</v>
      </c>
      <c r="AW90" s="82"/>
      <c r="AX90" s="82" t="str">
        <f t="shared" si="16"/>
        <v>PL10</v>
      </c>
      <c r="AY90" s="53" t="str">
        <f t="shared" si="17"/>
        <v/>
      </c>
      <c r="AZ90" s="53" t="s">
        <v>148</v>
      </c>
      <c r="BA90" s="84" t="s">
        <v>210</v>
      </c>
      <c r="BB90" s="53"/>
      <c r="BC90" s="53" t="s">
        <v>211</v>
      </c>
      <c r="BD90" s="53">
        <v>1</v>
      </c>
      <c r="BE90" s="83">
        <v>46201</v>
      </c>
      <c r="BF90" s="53"/>
      <c r="BG90" s="53"/>
    </row>
    <row r="91" spans="3:59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4"/>
        <v>1</v>
      </c>
      <c r="M91" s="26">
        <f t="shared" si="15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67" t="e">
        <f>SUMIFS([1]Up!$J:$J,[1]Up!$D:$D,D91)</f>
        <v>#VALUE!</v>
      </c>
      <c r="AW91" s="82"/>
      <c r="AX91" s="82" t="str">
        <f t="shared" si="16"/>
        <v>PL10</v>
      </c>
      <c r="AY91" s="53" t="str">
        <f t="shared" si="17"/>
        <v/>
      </c>
      <c r="AZ91" s="53" t="s">
        <v>148</v>
      </c>
      <c r="BA91" s="84" t="s">
        <v>210</v>
      </c>
      <c r="BB91" s="53"/>
      <c r="BC91" s="53" t="s">
        <v>211</v>
      </c>
      <c r="BD91" s="53">
        <v>1</v>
      </c>
      <c r="BE91" s="83">
        <v>46201</v>
      </c>
      <c r="BF91" s="53"/>
      <c r="BG91" s="53"/>
    </row>
    <row r="92" spans="3:59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4"/>
        <v>1</v>
      </c>
      <c r="M92" s="26">
        <f t="shared" si="15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67" t="e">
        <f>SUMIFS([1]Up!$J:$J,[1]Up!$D:$D,D92)</f>
        <v>#VALUE!</v>
      </c>
      <c r="AW92" s="82"/>
      <c r="AX92" s="82" t="str">
        <f t="shared" si="16"/>
        <v>PL15</v>
      </c>
      <c r="AY92" s="53" t="str">
        <f t="shared" si="17"/>
        <v/>
      </c>
      <c r="AZ92" s="53" t="s">
        <v>148</v>
      </c>
      <c r="BA92" s="84" t="s">
        <v>200</v>
      </c>
      <c r="BB92" s="53"/>
      <c r="BC92" s="53" t="s">
        <v>201</v>
      </c>
      <c r="BD92" s="53">
        <v>1</v>
      </c>
      <c r="BE92" s="83">
        <v>46201</v>
      </c>
      <c r="BF92" s="53"/>
      <c r="BG92" s="53"/>
    </row>
    <row r="93" spans="3:59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4"/>
        <v>1</v>
      </c>
      <c r="M93" s="26">
        <f t="shared" si="15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67" t="e">
        <f>SUMIFS([1]Up!$J:$J,[1]Up!$D:$D,D93)</f>
        <v>#VALUE!</v>
      </c>
      <c r="AW93" s="82"/>
      <c r="AX93" s="82" t="str">
        <f t="shared" si="16"/>
        <v>PL20</v>
      </c>
      <c r="AY93" s="53" t="str">
        <f t="shared" si="17"/>
        <v/>
      </c>
      <c r="AZ93" s="53" t="s">
        <v>148</v>
      </c>
      <c r="BA93" s="84" t="s">
        <v>319</v>
      </c>
      <c r="BB93" s="53"/>
      <c r="BC93" s="53" t="s">
        <v>320</v>
      </c>
      <c r="BD93" s="53">
        <v>1</v>
      </c>
      <c r="BE93" s="83">
        <v>46202</v>
      </c>
      <c r="BF93" s="53"/>
      <c r="BG93" s="53"/>
    </row>
    <row r="94" spans="3:59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4"/>
        <v>1</v>
      </c>
      <c r="M94" s="26">
        <f t="shared" si="15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67" t="e">
        <f>SUMIFS([1]Up!$J:$J,[1]Up!$D:$D,D94)</f>
        <v>#VALUE!</v>
      </c>
      <c r="AW94" s="82"/>
      <c r="AX94" s="82" t="str">
        <f t="shared" si="16"/>
        <v>PL20</v>
      </c>
      <c r="AY94" s="53" t="str">
        <f t="shared" si="17"/>
        <v/>
      </c>
      <c r="AZ94" s="53" t="s">
        <v>148</v>
      </c>
      <c r="BA94" s="84" t="s">
        <v>319</v>
      </c>
      <c r="BB94" s="53"/>
      <c r="BC94" s="53" t="s">
        <v>320</v>
      </c>
      <c r="BD94" s="53">
        <v>1</v>
      </c>
      <c r="BE94" s="83">
        <v>46202</v>
      </c>
      <c r="BF94" s="53"/>
      <c r="BG94" s="53"/>
    </row>
    <row r="95" spans="3:59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4"/>
        <v>1</v>
      </c>
      <c r="M95" s="26">
        <f t="shared" si="15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67" t="e">
        <f>SUMIFS([1]Up!$J:$J,[1]Up!$D:$D,D95)</f>
        <v>#VALUE!</v>
      </c>
      <c r="AW95" s="82"/>
      <c r="AX95" s="82" t="str">
        <f t="shared" si="16"/>
        <v>PL15</v>
      </c>
      <c r="AY95" s="53" t="str">
        <f t="shared" si="17"/>
        <v/>
      </c>
      <c r="AZ95" s="53" t="s">
        <v>148</v>
      </c>
      <c r="BA95" s="84" t="s">
        <v>200</v>
      </c>
      <c r="BB95" s="53"/>
      <c r="BC95" s="53" t="s">
        <v>201</v>
      </c>
      <c r="BD95" s="53">
        <v>1</v>
      </c>
      <c r="BE95" s="83">
        <v>46201</v>
      </c>
      <c r="BF95" s="53"/>
      <c r="BG95" s="53"/>
    </row>
    <row r="96" spans="3:59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4"/>
        <v>1</v>
      </c>
      <c r="M96" s="26">
        <f t="shared" si="15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67" t="e">
        <f>SUMIFS([1]Up!$J:$J,[1]Up!$D:$D,D96)</f>
        <v>#VALUE!</v>
      </c>
      <c r="AW96" s="82"/>
      <c r="AX96" s="82" t="str">
        <f t="shared" si="16"/>
        <v>PL10</v>
      </c>
      <c r="AY96" s="53" t="str">
        <f t="shared" si="17"/>
        <v/>
      </c>
      <c r="AZ96" s="53" t="s">
        <v>148</v>
      </c>
      <c r="BA96" s="84" t="s">
        <v>210</v>
      </c>
      <c r="BB96" s="53"/>
      <c r="BC96" s="53" t="s">
        <v>211</v>
      </c>
      <c r="BD96" s="53">
        <v>1</v>
      </c>
      <c r="BE96" s="83">
        <v>46201</v>
      </c>
      <c r="BF96" s="53"/>
      <c r="BG96" s="53"/>
    </row>
    <row r="97" spans="3:59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4"/>
        <v>1</v>
      </c>
      <c r="M97" s="26">
        <f t="shared" si="15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67" t="e">
        <f>SUMIFS([1]Up!$J:$J,[1]Up!$D:$D,D97)</f>
        <v>#VALUE!</v>
      </c>
      <c r="AW97" s="82"/>
      <c r="AX97" s="82" t="str">
        <f t="shared" si="16"/>
        <v>PL10</v>
      </c>
      <c r="AY97" s="53" t="str">
        <f t="shared" si="17"/>
        <v/>
      </c>
      <c r="AZ97" s="53" t="s">
        <v>148</v>
      </c>
      <c r="BA97" s="84" t="s">
        <v>210</v>
      </c>
      <c r="BB97" s="53"/>
      <c r="BC97" s="53" t="s">
        <v>211</v>
      </c>
      <c r="BD97" s="53">
        <v>1</v>
      </c>
      <c r="BE97" s="83">
        <v>46201</v>
      </c>
      <c r="BF97" s="53"/>
      <c r="BG97" s="53"/>
    </row>
    <row r="98" spans="3:59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4"/>
        <v>1</v>
      </c>
      <c r="M98" s="26">
        <f t="shared" si="15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67" t="e">
        <f>SUMIFS([1]Up!$J:$J,[1]Up!$D:$D,D98)</f>
        <v>#VALUE!</v>
      </c>
      <c r="AW98" s="82"/>
      <c r="AX98" s="82" t="str">
        <f t="shared" si="16"/>
        <v>PL10</v>
      </c>
      <c r="AY98" s="53" t="str">
        <f t="shared" si="17"/>
        <v/>
      </c>
      <c r="AZ98" s="53" t="s">
        <v>148</v>
      </c>
      <c r="BA98" s="84" t="s">
        <v>210</v>
      </c>
      <c r="BB98" s="53"/>
      <c r="BC98" s="53" t="s">
        <v>211</v>
      </c>
      <c r="BD98" s="53">
        <v>1</v>
      </c>
      <c r="BE98" s="83">
        <v>46201</v>
      </c>
      <c r="BF98" s="53"/>
      <c r="BG98" s="53"/>
    </row>
    <row r="99" spans="3:59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4"/>
        <v>1</v>
      </c>
      <c r="M99" s="26">
        <f t="shared" si="15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67" t="e">
        <f>SUMIFS([1]Up!$J:$J,[1]Up!$D:$D,D99)</f>
        <v>#VALUE!</v>
      </c>
      <c r="AW99" s="82"/>
      <c r="AX99" s="82" t="str">
        <f t="shared" si="16"/>
        <v>PL10</v>
      </c>
      <c r="AY99" s="53" t="str">
        <f t="shared" si="17"/>
        <v/>
      </c>
      <c r="AZ99" s="53" t="s">
        <v>148</v>
      </c>
      <c r="BA99" s="84" t="s">
        <v>210</v>
      </c>
      <c r="BB99" s="53"/>
      <c r="BC99" s="53" t="s">
        <v>211</v>
      </c>
      <c r="BD99" s="53">
        <v>1</v>
      </c>
      <c r="BE99" s="83">
        <v>46201</v>
      </c>
      <c r="BF99" s="53"/>
      <c r="BG99" s="53"/>
    </row>
    <row r="100" spans="3:59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4"/>
        <v>1</v>
      </c>
      <c r="M100" s="26">
        <f t="shared" si="15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67" t="e">
        <f>SUMIFS([1]Up!$J:$J,[1]Up!$D:$D,D100)</f>
        <v>#VALUE!</v>
      </c>
      <c r="AW100" s="82"/>
      <c r="AX100" s="82" t="str">
        <f t="shared" si="16"/>
        <v>PL10</v>
      </c>
      <c r="AY100" s="53" t="str">
        <f t="shared" si="17"/>
        <v/>
      </c>
      <c r="AZ100" s="53" t="s">
        <v>148</v>
      </c>
      <c r="BA100" s="84" t="s">
        <v>210</v>
      </c>
      <c r="BB100" s="53"/>
      <c r="BC100" s="53" t="s">
        <v>211</v>
      </c>
      <c r="BD100" s="53">
        <v>1</v>
      </c>
      <c r="BE100" s="83">
        <v>46201</v>
      </c>
      <c r="BF100" s="53"/>
      <c r="BG100" s="53"/>
    </row>
    <row r="101" spans="3:59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4"/>
        <v>0</v>
      </c>
      <c r="M101" s="26">
        <f t="shared" si="15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67" t="e">
        <f>SUMIFS([1]Up!$J:$J,[1]Up!$D:$D,D101)</f>
        <v>#VALUE!</v>
      </c>
      <c r="AW101" s="82"/>
      <c r="AX101" s="82" t="e">
        <f t="shared" si="16"/>
        <v>#VALUE!</v>
      </c>
      <c r="AY101" s="53" t="str">
        <f t="shared" si="17"/>
        <v/>
      </c>
      <c r="AZ101" s="53" t="s">
        <v>154</v>
      </c>
      <c r="BA101" s="53"/>
      <c r="BB101" s="53"/>
      <c r="BC101" s="53" t="s">
        <v>57</v>
      </c>
      <c r="BD101" s="53">
        <v>1</v>
      </c>
      <c r="BE101" s="83"/>
      <c r="BF101" s="53"/>
      <c r="BG101" s="53"/>
    </row>
    <row r="102" spans="3:59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4"/>
        <v>1</v>
      </c>
      <c r="M102" s="26">
        <f t="shared" si="15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67" t="e">
        <f>SUMIFS([1]Up!$J:$J,[1]Up!$D:$D,D102)</f>
        <v>#VALUE!</v>
      </c>
      <c r="AW102" s="82"/>
      <c r="AX102" s="82" t="str">
        <f t="shared" si="16"/>
        <v>PL15</v>
      </c>
      <c r="AY102" s="53" t="str">
        <f t="shared" si="17"/>
        <v/>
      </c>
      <c r="AZ102" s="53" t="s">
        <v>148</v>
      </c>
      <c r="BA102" s="84" t="s">
        <v>200</v>
      </c>
      <c r="BB102" s="53"/>
      <c r="BC102" s="53" t="s">
        <v>201</v>
      </c>
      <c r="BD102" s="53">
        <v>1</v>
      </c>
      <c r="BE102" s="83">
        <v>46201</v>
      </c>
      <c r="BF102" s="53"/>
      <c r="BG102" s="53"/>
    </row>
    <row r="103" spans="3:59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4"/>
        <v>1</v>
      </c>
      <c r="M103" s="26">
        <f t="shared" si="15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67" t="e">
        <f>SUMIFS([1]Up!$J:$J,[1]Up!$D:$D,D103)</f>
        <v>#VALUE!</v>
      </c>
      <c r="AW103" s="82"/>
      <c r="AX103" s="82" t="str">
        <f t="shared" si="16"/>
        <v>PL20</v>
      </c>
      <c r="AY103" s="53" t="str">
        <f t="shared" si="17"/>
        <v/>
      </c>
      <c r="AZ103" s="53" t="s">
        <v>148</v>
      </c>
      <c r="BA103" s="84" t="s">
        <v>319</v>
      </c>
      <c r="BB103" s="53"/>
      <c r="BC103" s="53" t="s">
        <v>320</v>
      </c>
      <c r="BD103" s="53">
        <v>1</v>
      </c>
      <c r="BE103" s="83">
        <v>46202</v>
      </c>
      <c r="BF103" s="53"/>
      <c r="BG103" s="53"/>
    </row>
    <row r="104" spans="3:59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4"/>
        <v>1</v>
      </c>
      <c r="M104" s="26">
        <f t="shared" si="15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67" t="e">
        <f>SUMIFS([1]Up!$J:$J,[1]Up!$D:$D,D104)</f>
        <v>#VALUE!</v>
      </c>
      <c r="AW104" s="82"/>
      <c r="AX104" s="82" t="str">
        <f t="shared" si="16"/>
        <v>PL20</v>
      </c>
      <c r="AY104" s="53" t="str">
        <f t="shared" si="17"/>
        <v/>
      </c>
      <c r="AZ104" s="53" t="s">
        <v>148</v>
      </c>
      <c r="BA104" s="84" t="s">
        <v>319</v>
      </c>
      <c r="BB104" s="53"/>
      <c r="BC104" s="53" t="s">
        <v>320</v>
      </c>
      <c r="BD104" s="53">
        <v>1</v>
      </c>
      <c r="BE104" s="83">
        <v>46202</v>
      </c>
      <c r="BF104" s="53"/>
      <c r="BG104" s="53"/>
    </row>
    <row r="105" spans="3:59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4"/>
        <v>1</v>
      </c>
      <c r="M105" s="26">
        <f t="shared" si="15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67" t="e">
        <f>SUMIFS([1]Up!$J:$J,[1]Up!$D:$D,D105)</f>
        <v>#VALUE!</v>
      </c>
      <c r="AW105" s="82" t="s">
        <v>2071</v>
      </c>
      <c r="AX105" s="82" t="str">
        <f t="shared" si="16"/>
        <v>PL15</v>
      </c>
      <c r="AY105" s="53" t="str">
        <f t="shared" si="17"/>
        <v>Thừa 2</v>
      </c>
      <c r="AZ105" s="53" t="s">
        <v>148</v>
      </c>
      <c r="BA105" s="53"/>
      <c r="BB105" s="53"/>
      <c r="BC105" s="53" t="s">
        <v>57</v>
      </c>
      <c r="BD105" s="53">
        <v>1</v>
      </c>
      <c r="BE105" s="83"/>
      <c r="BF105" s="53"/>
      <c r="BG105" s="53"/>
    </row>
    <row r="106" spans="3:59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4"/>
        <v>1</v>
      </c>
      <c r="M106" s="26">
        <f t="shared" si="15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26"/>
      <c r="AT106" s="26"/>
      <c r="AU106" s="26"/>
      <c r="AV106" s="67" t="e">
        <f>SUMIFS([1]Up!$J:$J,[1]Up!$D:$D,D106)</f>
        <v>#VALUE!</v>
      </c>
      <c r="AW106" s="82" t="s">
        <v>2244</v>
      </c>
      <c r="AX106" s="82" t="e">
        <f t="shared" si="16"/>
        <v>#VALUE!</v>
      </c>
      <c r="AY106" s="53" t="str">
        <f t="shared" si="17"/>
        <v>Thừa 2</v>
      </c>
      <c r="AZ106" s="53" t="s">
        <v>154</v>
      </c>
      <c r="BA106" s="53"/>
      <c r="BB106" s="53"/>
      <c r="BC106" s="53" t="s">
        <v>57</v>
      </c>
      <c r="BD106" s="53">
        <v>1</v>
      </c>
      <c r="BE106" s="83"/>
      <c r="BF106" s="53"/>
      <c r="BG106" s="53"/>
    </row>
    <row r="107" spans="3:59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4"/>
        <v>1</v>
      </c>
      <c r="M107" s="26">
        <f t="shared" si="15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67" t="e">
        <f>SUMIFS([1]Up!$J:$J,[1]Up!$D:$D,D107)</f>
        <v>#VALUE!</v>
      </c>
      <c r="AW107" s="82" t="s">
        <v>2077</v>
      </c>
      <c r="AX107" s="82" t="str">
        <f t="shared" si="16"/>
        <v>PL15</v>
      </c>
      <c r="AY107" s="53" t="str">
        <f t="shared" si="17"/>
        <v>Thừa 2</v>
      </c>
      <c r="AZ107" s="53" t="s">
        <v>148</v>
      </c>
      <c r="BA107" s="53"/>
      <c r="BB107" s="53"/>
      <c r="BC107" s="53" t="s">
        <v>57</v>
      </c>
      <c r="BD107" s="53">
        <v>1</v>
      </c>
      <c r="BE107" s="83"/>
      <c r="BF107" s="53"/>
      <c r="BG107" s="53"/>
    </row>
    <row r="108" spans="3:59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4"/>
        <v>2</v>
      </c>
      <c r="M108" s="26">
        <f t="shared" si="15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67" t="e">
        <f>SUMIFS([1]Up!$J:$J,[1]Up!$D:$D,D108)</f>
        <v>#VALUE!</v>
      </c>
      <c r="AW108" s="82"/>
      <c r="AX108" s="82" t="str">
        <f t="shared" si="16"/>
        <v>PL20</v>
      </c>
      <c r="AY108" s="53" t="str">
        <f t="shared" si="17"/>
        <v/>
      </c>
      <c r="AZ108" s="53" t="s">
        <v>148</v>
      </c>
      <c r="BA108" s="84" t="s">
        <v>319</v>
      </c>
      <c r="BB108" s="53"/>
      <c r="BC108" s="53" t="s">
        <v>320</v>
      </c>
      <c r="BD108" s="53">
        <v>2</v>
      </c>
      <c r="BE108" s="83">
        <v>46202</v>
      </c>
      <c r="BF108" s="53"/>
      <c r="BG108" s="53"/>
    </row>
    <row r="109" spans="3:59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4"/>
        <v>4</v>
      </c>
      <c r="M109" s="26">
        <f t="shared" si="15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67" t="e">
        <f>SUMIFS([1]Up!$J:$J,[1]Up!$D:$D,D109)</f>
        <v>#VALUE!</v>
      </c>
      <c r="AW109" s="82"/>
      <c r="AX109" s="82" t="str">
        <f t="shared" si="16"/>
        <v>PL3</v>
      </c>
      <c r="AY109" s="53" t="str">
        <f t="shared" si="17"/>
        <v/>
      </c>
      <c r="AZ109" s="53" t="s">
        <v>148</v>
      </c>
      <c r="BA109" s="84" t="s">
        <v>682</v>
      </c>
      <c r="BB109" s="53"/>
      <c r="BC109" s="53" t="s">
        <v>683</v>
      </c>
      <c r="BD109" s="53">
        <v>4</v>
      </c>
      <c r="BE109" s="83">
        <v>46196</v>
      </c>
      <c r="BF109" s="53"/>
      <c r="BG109" s="53"/>
    </row>
    <row r="110" spans="3:59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4"/>
        <v>2</v>
      </c>
      <c r="M110" s="26">
        <f t="shared" si="15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67" t="e">
        <f>SUMIFS([1]Up!$J:$J,[1]Up!$D:$D,D110)</f>
        <v>#VALUE!</v>
      </c>
      <c r="AW110" s="82"/>
      <c r="AX110" s="82" t="str">
        <f t="shared" si="16"/>
        <v>PL20</v>
      </c>
      <c r="AY110" s="53" t="str">
        <f t="shared" si="17"/>
        <v/>
      </c>
      <c r="AZ110" s="53" t="s">
        <v>148</v>
      </c>
      <c r="BA110" s="84" t="s">
        <v>319</v>
      </c>
      <c r="BB110" s="53"/>
      <c r="BC110" s="53" t="s">
        <v>320</v>
      </c>
      <c r="BD110" s="53">
        <v>2</v>
      </c>
      <c r="BE110" s="83">
        <v>46202</v>
      </c>
      <c r="BF110" s="53"/>
      <c r="BG110" s="53"/>
    </row>
    <row r="111" spans="3:59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4"/>
        <v>4</v>
      </c>
      <c r="M111" s="26">
        <f t="shared" si="15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67" t="e">
        <f>SUMIFS([1]Up!$J:$J,[1]Up!$D:$D,D111)</f>
        <v>#VALUE!</v>
      </c>
      <c r="AW111" s="82"/>
      <c r="AX111" s="82" t="str">
        <f t="shared" si="16"/>
        <v>PL20</v>
      </c>
      <c r="AY111" s="53" t="str">
        <f t="shared" si="17"/>
        <v/>
      </c>
      <c r="AZ111" s="53" t="s">
        <v>148</v>
      </c>
      <c r="BA111" s="84" t="s">
        <v>319</v>
      </c>
      <c r="BB111" s="53"/>
      <c r="BC111" s="53" t="s">
        <v>320</v>
      </c>
      <c r="BD111" s="53">
        <v>4</v>
      </c>
      <c r="BE111" s="83">
        <v>46202</v>
      </c>
      <c r="BF111" s="53"/>
      <c r="BG111" s="53"/>
    </row>
    <row r="112" spans="3:59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4"/>
        <v>1</v>
      </c>
      <c r="M112" s="26">
        <f t="shared" si="15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67" t="e">
        <f>SUMIFS([1]Up!$J:$J,[1]Up!$D:$D,D112)</f>
        <v>#VALUE!</v>
      </c>
      <c r="AW112" s="82"/>
      <c r="AX112" s="82" t="str">
        <f t="shared" si="16"/>
        <v>PL30</v>
      </c>
      <c r="AY112" s="53" t="str">
        <f t="shared" si="17"/>
        <v/>
      </c>
      <c r="AZ112" s="53" t="s">
        <v>148</v>
      </c>
      <c r="BA112" s="84" t="s">
        <v>688</v>
      </c>
      <c r="BB112" s="53"/>
      <c r="BC112" s="53" t="s">
        <v>689</v>
      </c>
      <c r="BD112" s="53">
        <v>1</v>
      </c>
      <c r="BE112" s="83">
        <v>46196</v>
      </c>
      <c r="BF112" s="53"/>
      <c r="BG112" s="53"/>
    </row>
    <row r="113" spans="3:59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4"/>
        <v>2</v>
      </c>
      <c r="M113" s="26">
        <f t="shared" si="15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67" t="e">
        <f>SUMIFS([1]Up!$J:$J,[1]Up!$D:$D,D113)</f>
        <v>#VALUE!</v>
      </c>
      <c r="AW113" s="82"/>
      <c r="AX113" s="82" t="str">
        <f t="shared" si="16"/>
        <v>PL20</v>
      </c>
      <c r="AY113" s="53" t="str">
        <f t="shared" si="17"/>
        <v/>
      </c>
      <c r="AZ113" s="53" t="s">
        <v>148</v>
      </c>
      <c r="BA113" s="84" t="s">
        <v>319</v>
      </c>
      <c r="BB113" s="53"/>
      <c r="BC113" s="53" t="s">
        <v>320</v>
      </c>
      <c r="BD113" s="53">
        <v>2</v>
      </c>
      <c r="BE113" s="83">
        <v>46202</v>
      </c>
      <c r="BF113" s="53"/>
      <c r="BG113" s="53"/>
    </row>
    <row r="114" spans="3:59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4"/>
        <v>2</v>
      </c>
      <c r="M114" s="26">
        <f t="shared" si="15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67" t="e">
        <f>SUMIFS([1]Up!$J:$J,[1]Up!$D:$D,D114)</f>
        <v>#VALUE!</v>
      </c>
      <c r="AW114" s="82"/>
      <c r="AX114" s="82" t="str">
        <f t="shared" si="16"/>
        <v>PL20</v>
      </c>
      <c r="AY114" s="53" t="str">
        <f t="shared" si="17"/>
        <v/>
      </c>
      <c r="AZ114" s="53" t="s">
        <v>148</v>
      </c>
      <c r="BA114" s="84" t="s">
        <v>319</v>
      </c>
      <c r="BB114" s="53"/>
      <c r="BC114" s="53" t="s">
        <v>320</v>
      </c>
      <c r="BD114" s="53">
        <v>2</v>
      </c>
      <c r="BE114" s="83">
        <v>46202</v>
      </c>
      <c r="BF114" s="53"/>
      <c r="BG114" s="53"/>
    </row>
    <row r="115" spans="3:59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4"/>
        <v>2</v>
      </c>
      <c r="M115" s="26">
        <f t="shared" si="15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67" t="e">
        <f>SUMIFS([1]Up!$J:$J,[1]Up!$D:$D,D115)</f>
        <v>#VALUE!</v>
      </c>
      <c r="AW115" s="82"/>
      <c r="AX115" s="82" t="str">
        <f t="shared" si="16"/>
        <v>PL20</v>
      </c>
      <c r="AY115" s="53" t="str">
        <f t="shared" si="17"/>
        <v/>
      </c>
      <c r="AZ115" s="53" t="s">
        <v>148</v>
      </c>
      <c r="BA115" s="84" t="s">
        <v>319</v>
      </c>
      <c r="BB115" s="53"/>
      <c r="BC115" s="53" t="s">
        <v>320</v>
      </c>
      <c r="BD115" s="53">
        <v>2</v>
      </c>
      <c r="BE115" s="83">
        <v>46202</v>
      </c>
      <c r="BF115" s="53"/>
      <c r="BG115" s="53"/>
    </row>
    <row r="116" spans="3:59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4"/>
        <v>2</v>
      </c>
      <c r="M116" s="26">
        <f t="shared" si="15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67" t="e">
        <f>SUMIFS([1]Up!$J:$J,[1]Up!$D:$D,D116)</f>
        <v>#VALUE!</v>
      </c>
      <c r="AW116" s="82"/>
      <c r="AX116" s="82" t="str">
        <f t="shared" si="16"/>
        <v>PL20</v>
      </c>
      <c r="AY116" s="53" t="str">
        <f t="shared" si="17"/>
        <v/>
      </c>
      <c r="AZ116" s="53" t="s">
        <v>148</v>
      </c>
      <c r="BA116" s="84" t="s">
        <v>319</v>
      </c>
      <c r="BB116" s="53"/>
      <c r="BC116" s="53" t="s">
        <v>320</v>
      </c>
      <c r="BD116" s="53">
        <v>2</v>
      </c>
      <c r="BE116" s="83">
        <v>46202</v>
      </c>
      <c r="BF116" s="53"/>
      <c r="BG116" s="53"/>
    </row>
    <row r="117" spans="3:59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4"/>
        <v>2</v>
      </c>
      <c r="M117" s="26">
        <f t="shared" si="15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67" t="e">
        <f>SUMIFS([1]Up!$J:$J,[1]Up!$D:$D,D117)</f>
        <v>#VALUE!</v>
      </c>
      <c r="AW117" s="82"/>
      <c r="AX117" s="82" t="str">
        <f t="shared" si="16"/>
        <v>PL20</v>
      </c>
      <c r="AY117" s="53" t="str">
        <f t="shared" si="17"/>
        <v/>
      </c>
      <c r="AZ117" s="53" t="s">
        <v>148</v>
      </c>
      <c r="BA117" s="84" t="s">
        <v>319</v>
      </c>
      <c r="BB117" s="53"/>
      <c r="BC117" s="53" t="s">
        <v>320</v>
      </c>
      <c r="BD117" s="53">
        <v>2</v>
      </c>
      <c r="BE117" s="83">
        <v>46202</v>
      </c>
      <c r="BF117" s="53"/>
      <c r="BG117" s="53"/>
    </row>
    <row r="118" spans="3:59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4"/>
        <v>2</v>
      </c>
      <c r="M118" s="26">
        <f t="shared" si="15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67" t="e">
        <f>SUMIFS([1]Up!$J:$J,[1]Up!$D:$D,D118)</f>
        <v>#VALUE!</v>
      </c>
      <c r="AW118" s="82"/>
      <c r="AX118" s="82" t="str">
        <f t="shared" si="16"/>
        <v>PL20</v>
      </c>
      <c r="AY118" s="53" t="str">
        <f t="shared" si="17"/>
        <v/>
      </c>
      <c r="AZ118" s="53" t="s">
        <v>148</v>
      </c>
      <c r="BA118" s="84" t="s">
        <v>319</v>
      </c>
      <c r="BB118" s="53"/>
      <c r="BC118" s="53" t="s">
        <v>320</v>
      </c>
      <c r="BD118" s="53">
        <v>2</v>
      </c>
      <c r="BE118" s="83">
        <v>46202</v>
      </c>
      <c r="BF118" s="53"/>
      <c r="BG118" s="53"/>
    </row>
    <row r="119" spans="3:59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4"/>
        <v>2</v>
      </c>
      <c r="M119" s="26">
        <f t="shared" si="15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67" t="e">
        <f>SUMIFS([1]Up!$J:$J,[1]Up!$D:$D,D119)</f>
        <v>#VALUE!</v>
      </c>
      <c r="AW119" s="82"/>
      <c r="AX119" s="82" t="str">
        <f t="shared" si="16"/>
        <v>PL20</v>
      </c>
      <c r="AY119" s="53" t="str">
        <f t="shared" si="17"/>
        <v/>
      </c>
      <c r="AZ119" s="53" t="s">
        <v>148</v>
      </c>
      <c r="BA119" s="84" t="s">
        <v>319</v>
      </c>
      <c r="BB119" s="53"/>
      <c r="BC119" s="53" t="s">
        <v>320</v>
      </c>
      <c r="BD119" s="53">
        <v>2</v>
      </c>
      <c r="BE119" s="83">
        <v>46202</v>
      </c>
      <c r="BF119" s="53"/>
      <c r="BG119" s="53"/>
    </row>
    <row r="120" spans="3:59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4"/>
        <v>2</v>
      </c>
      <c r="M120" s="26">
        <f t="shared" si="15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67" t="e">
        <f>SUMIFS([1]Up!$J:$J,[1]Up!$D:$D,D120)</f>
        <v>#VALUE!</v>
      </c>
      <c r="AW120" s="82"/>
      <c r="AX120" s="82" t="str">
        <f t="shared" si="16"/>
        <v>PL20</v>
      </c>
      <c r="AY120" s="53" t="str">
        <f t="shared" si="17"/>
        <v/>
      </c>
      <c r="AZ120" s="53" t="s">
        <v>148</v>
      </c>
      <c r="BA120" s="84" t="s">
        <v>319</v>
      </c>
      <c r="BB120" s="53"/>
      <c r="BC120" s="53" t="s">
        <v>320</v>
      </c>
      <c r="BD120" s="53">
        <v>2</v>
      </c>
      <c r="BE120" s="83">
        <v>46202</v>
      </c>
      <c r="BF120" s="53"/>
      <c r="BG120" s="53"/>
    </row>
    <row r="121" spans="3:59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4"/>
        <v>1</v>
      </c>
      <c r="M121" s="26">
        <f t="shared" si="1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67" t="e">
        <f>SUMIFS([1]Up!$J:$J,[1]Up!$D:$D,D121)</f>
        <v>#VALUE!</v>
      </c>
      <c r="AW121" s="82"/>
      <c r="AX121" s="82" t="str">
        <f t="shared" si="16"/>
        <v>PL5</v>
      </c>
      <c r="AY121" s="53" t="str">
        <f t="shared" si="17"/>
        <v/>
      </c>
      <c r="AZ121" s="53" t="s">
        <v>148</v>
      </c>
      <c r="BA121" s="53" t="s">
        <v>704</v>
      </c>
      <c r="BB121" s="53"/>
      <c r="BC121" s="53" t="s">
        <v>705</v>
      </c>
      <c r="BD121" s="53">
        <v>1</v>
      </c>
      <c r="BE121" s="83">
        <v>46196</v>
      </c>
      <c r="BF121" s="53"/>
      <c r="BG121" s="53"/>
    </row>
    <row r="122" spans="3:59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4"/>
        <v>1</v>
      </c>
      <c r="M122" s="26">
        <f t="shared" si="15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67" t="e">
        <f>SUMIFS([1]Up!$J:$J,[1]Up!$D:$D,D122)</f>
        <v>#VALUE!</v>
      </c>
      <c r="AW122" s="82"/>
      <c r="AX122" s="82" t="str">
        <f t="shared" si="16"/>
        <v>PL20</v>
      </c>
      <c r="AY122" s="53" t="str">
        <f t="shared" si="17"/>
        <v/>
      </c>
      <c r="AZ122" s="53" t="s">
        <v>148</v>
      </c>
      <c r="BA122" s="84" t="s">
        <v>319</v>
      </c>
      <c r="BB122" s="53"/>
      <c r="BC122" s="53" t="s">
        <v>320</v>
      </c>
      <c r="BD122" s="53">
        <v>1</v>
      </c>
      <c r="BE122" s="83">
        <v>46202</v>
      </c>
      <c r="BF122" s="53"/>
      <c r="BG122" s="53"/>
    </row>
    <row r="123" spans="3:59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4"/>
        <v>1</v>
      </c>
      <c r="M123" s="26">
        <f t="shared" si="15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67" t="e">
        <f>SUMIFS([1]Up!$J:$J,[1]Up!$D:$D,D123)</f>
        <v>#VALUE!</v>
      </c>
      <c r="AW123" s="82"/>
      <c r="AX123" s="82" t="str">
        <f t="shared" si="16"/>
        <v>PL20</v>
      </c>
      <c r="AY123" s="53" t="str">
        <f t="shared" si="17"/>
        <v/>
      </c>
      <c r="AZ123" s="53" t="s">
        <v>148</v>
      </c>
      <c r="BA123" s="84" t="s">
        <v>319</v>
      </c>
      <c r="BB123" s="53"/>
      <c r="BC123" s="53" t="s">
        <v>320</v>
      </c>
      <c r="BD123" s="53">
        <v>1</v>
      </c>
      <c r="BE123" s="83">
        <v>46202</v>
      </c>
      <c r="BF123" s="53"/>
      <c r="BG123" s="53"/>
    </row>
    <row r="124" spans="3:59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4"/>
        <v>2</v>
      </c>
      <c r="M124" s="26">
        <f t="shared" si="15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67" t="e">
        <f>SUMIFS([1]Up!$J:$J,[1]Up!$D:$D,D124)</f>
        <v>#VALUE!</v>
      </c>
      <c r="AW124" s="82"/>
      <c r="AX124" s="82" t="str">
        <f t="shared" si="16"/>
        <v>PL20</v>
      </c>
      <c r="AY124" s="53" t="str">
        <f t="shared" si="17"/>
        <v/>
      </c>
      <c r="AZ124" s="53" t="s">
        <v>148</v>
      </c>
      <c r="BA124" s="84" t="s">
        <v>319</v>
      </c>
      <c r="BB124" s="53"/>
      <c r="BC124" s="53" t="s">
        <v>320</v>
      </c>
      <c r="BD124" s="53">
        <v>2</v>
      </c>
      <c r="BE124" s="83">
        <v>46202</v>
      </c>
      <c r="BF124" s="53"/>
      <c r="BG124" s="53"/>
    </row>
    <row r="125" spans="3:59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4"/>
        <v>2</v>
      </c>
      <c r="M125" s="26">
        <f t="shared" si="15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67" t="e">
        <f>SUMIFS([1]Up!$J:$J,[1]Up!$D:$D,D125)</f>
        <v>#VALUE!</v>
      </c>
      <c r="AW125" s="82"/>
      <c r="AX125" s="82" t="str">
        <f t="shared" si="16"/>
        <v>PL20</v>
      </c>
      <c r="AY125" s="53" t="str">
        <f t="shared" si="17"/>
        <v/>
      </c>
      <c r="AZ125" s="53" t="s">
        <v>148</v>
      </c>
      <c r="BA125" s="84" t="s">
        <v>319</v>
      </c>
      <c r="BB125" s="53"/>
      <c r="BC125" s="53" t="s">
        <v>320</v>
      </c>
      <c r="BD125" s="53">
        <v>2</v>
      </c>
      <c r="BE125" s="83">
        <v>46202</v>
      </c>
      <c r="BF125" s="53"/>
      <c r="BG125" s="53"/>
    </row>
    <row r="126" spans="3:59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4"/>
        <v>2</v>
      </c>
      <c r="M126" s="26">
        <f t="shared" si="15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67" t="e">
        <f>SUMIFS([1]Up!$J:$J,[1]Up!$D:$D,D126)</f>
        <v>#VALUE!</v>
      </c>
      <c r="AW126" s="82"/>
      <c r="AX126" s="82" t="str">
        <f t="shared" si="16"/>
        <v>PL20</v>
      </c>
      <c r="AY126" s="53" t="str">
        <f t="shared" si="17"/>
        <v/>
      </c>
      <c r="AZ126" s="53" t="s">
        <v>148</v>
      </c>
      <c r="BA126" s="84" t="s">
        <v>319</v>
      </c>
      <c r="BB126" s="53"/>
      <c r="BC126" s="53" t="s">
        <v>320</v>
      </c>
      <c r="BD126" s="53">
        <v>2</v>
      </c>
      <c r="BE126" s="83">
        <v>46202</v>
      </c>
      <c r="BF126" s="53"/>
      <c r="BG126" s="53"/>
    </row>
    <row r="127" spans="3:59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4"/>
        <v>2</v>
      </c>
      <c r="M127" s="26">
        <f t="shared" si="15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67" t="e">
        <f>SUMIFS([1]Up!$J:$J,[1]Up!$D:$D,D127)</f>
        <v>#VALUE!</v>
      </c>
      <c r="AW127" s="82"/>
      <c r="AX127" s="82" t="str">
        <f t="shared" si="16"/>
        <v>PL20</v>
      </c>
      <c r="AY127" s="53" t="str">
        <f t="shared" si="17"/>
        <v/>
      </c>
      <c r="AZ127" s="53" t="s">
        <v>148</v>
      </c>
      <c r="BA127" s="84" t="s">
        <v>319</v>
      </c>
      <c r="BB127" s="53"/>
      <c r="BC127" s="53" t="s">
        <v>320</v>
      </c>
      <c r="BD127" s="53">
        <v>2</v>
      </c>
      <c r="BE127" s="83">
        <v>46202</v>
      </c>
      <c r="BF127" s="53"/>
      <c r="BG127" s="53"/>
    </row>
    <row r="128" spans="3:59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4"/>
        <v>6</v>
      </c>
      <c r="M128" s="26">
        <f t="shared" si="15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67" t="e">
        <f>SUMIFS([1]Up!$J:$J,[1]Up!$D:$D,D128)</f>
        <v>#VALUE!</v>
      </c>
      <c r="AW128" s="82"/>
      <c r="AX128" s="82" t="str">
        <f t="shared" si="16"/>
        <v>PL15</v>
      </c>
      <c r="AY128" s="53" t="str">
        <f t="shared" si="17"/>
        <v/>
      </c>
      <c r="AZ128" s="53" t="s">
        <v>148</v>
      </c>
      <c r="BA128" s="84" t="s">
        <v>200</v>
      </c>
      <c r="BB128" s="53"/>
      <c r="BC128" s="53" t="s">
        <v>201</v>
      </c>
      <c r="BD128" s="53">
        <v>6</v>
      </c>
      <c r="BE128" s="83">
        <v>46201</v>
      </c>
      <c r="BF128" s="53"/>
      <c r="BG128" s="53"/>
    </row>
    <row r="129" spans="3:59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4"/>
        <v>12</v>
      </c>
      <c r="M129" s="26">
        <f t="shared" si="15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67" t="e">
        <f>SUMIFS([1]Up!$J:$J,[1]Up!$D:$D,D129)</f>
        <v>#VALUE!</v>
      </c>
      <c r="AW129" s="82"/>
      <c r="AX129" s="82" t="str">
        <f t="shared" si="16"/>
        <v>PL15</v>
      </c>
      <c r="AY129" s="53" t="str">
        <f t="shared" si="17"/>
        <v/>
      </c>
      <c r="AZ129" s="53" t="s">
        <v>148</v>
      </c>
      <c r="BA129" s="84" t="s">
        <v>200</v>
      </c>
      <c r="BB129" s="53"/>
      <c r="BC129" s="53" t="s">
        <v>201</v>
      </c>
      <c r="BD129" s="53">
        <v>12</v>
      </c>
      <c r="BE129" s="83">
        <v>46201</v>
      </c>
      <c r="BF129" s="53"/>
      <c r="BG129" s="53"/>
    </row>
    <row r="130" spans="3:59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4"/>
        <v>6</v>
      </c>
      <c r="M130" s="26">
        <f t="shared" si="15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67" t="e">
        <f>SUMIFS([1]Up!$J:$J,[1]Up!$D:$D,D130)</f>
        <v>#VALUE!</v>
      </c>
      <c r="AW130" s="82" t="s">
        <v>2234</v>
      </c>
      <c r="AX130" s="82" t="e">
        <f t="shared" si="16"/>
        <v>#VALUE!</v>
      </c>
      <c r="AY130" s="53" t="str">
        <f t="shared" si="17"/>
        <v>Thừa 18</v>
      </c>
      <c r="AZ130" s="53" t="s">
        <v>154</v>
      </c>
      <c r="BA130" s="53"/>
      <c r="BB130" s="53"/>
      <c r="BC130" s="53" t="s">
        <v>57</v>
      </c>
      <c r="BD130" s="53">
        <v>6</v>
      </c>
      <c r="BE130" s="83"/>
      <c r="BF130" s="53"/>
      <c r="BG130" s="53"/>
    </row>
    <row r="131" spans="3:59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4"/>
        <v>0</v>
      </c>
      <c r="M131" s="26">
        <f t="shared" si="15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67" t="e">
        <f>SUMIFS([1]Up!$J:$J,[1]Up!$D:$D,D131)</f>
        <v>#VALUE!</v>
      </c>
      <c r="AW131" s="82"/>
      <c r="AX131" s="82" t="str">
        <f t="shared" si="16"/>
        <v>PL10</v>
      </c>
      <c r="AY131" s="53" t="str">
        <f t="shared" si="17"/>
        <v/>
      </c>
      <c r="AZ131" s="53" t="s">
        <v>148</v>
      </c>
      <c r="BA131" s="84" t="s">
        <v>210</v>
      </c>
      <c r="BB131" s="53"/>
      <c r="BC131" s="53" t="s">
        <v>211</v>
      </c>
      <c r="BD131" s="53">
        <v>6</v>
      </c>
      <c r="BE131" s="83">
        <v>46201</v>
      </c>
      <c r="BF131" s="53"/>
      <c r="BG131" s="53"/>
    </row>
    <row r="132" spans="3:59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4"/>
        <v>1</v>
      </c>
      <c r="M132" s="26">
        <f t="shared" si="15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67" t="e">
        <f>SUMIFS([1]Up!$J:$J,[1]Up!$D:$D,D132)</f>
        <v>#VALUE!</v>
      </c>
      <c r="AW132" s="82"/>
      <c r="AX132" s="82" t="str">
        <f t="shared" si="16"/>
        <v>PL10</v>
      </c>
      <c r="AY132" s="53" t="str">
        <f t="shared" si="17"/>
        <v/>
      </c>
      <c r="AZ132" s="53" t="s">
        <v>148</v>
      </c>
      <c r="BA132" s="84" t="s">
        <v>210</v>
      </c>
      <c r="BB132" s="53"/>
      <c r="BC132" s="53" t="s">
        <v>211</v>
      </c>
      <c r="BD132" s="53">
        <v>1</v>
      </c>
      <c r="BE132" s="83">
        <v>46201</v>
      </c>
      <c r="BF132" s="53"/>
      <c r="BG132" s="53"/>
    </row>
    <row r="133" spans="3:59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4"/>
        <v>1</v>
      </c>
      <c r="M133" s="26">
        <f t="shared" si="15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67" t="e">
        <f>SUMIFS([1]Up!$J:$J,[1]Up!$D:$D,D133)</f>
        <v>#VALUE!</v>
      </c>
      <c r="AW133" s="82"/>
      <c r="AX133" s="82" t="str">
        <f t="shared" si="16"/>
        <v>PL15</v>
      </c>
      <c r="AY133" s="53" t="str">
        <f t="shared" si="17"/>
        <v/>
      </c>
      <c r="AZ133" s="53" t="s">
        <v>148</v>
      </c>
      <c r="BA133" s="84" t="s">
        <v>200</v>
      </c>
      <c r="BB133" s="53"/>
      <c r="BC133" s="53" t="s">
        <v>201</v>
      </c>
      <c r="BD133" s="53">
        <v>1</v>
      </c>
      <c r="BE133" s="83">
        <v>46201</v>
      </c>
      <c r="BF133" s="53"/>
      <c r="BG133" s="53"/>
    </row>
    <row r="134" spans="3:59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4"/>
        <v>1</v>
      </c>
      <c r="M134" s="26">
        <f t="shared" si="15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67" t="e">
        <f>SUMIFS([1]Up!$J:$J,[1]Up!$D:$D,D134)</f>
        <v>#VALUE!</v>
      </c>
      <c r="AW134" s="82"/>
      <c r="AX134" s="82" t="str">
        <f t="shared" si="16"/>
        <v>PL20</v>
      </c>
      <c r="AY134" s="53" t="str">
        <f t="shared" si="17"/>
        <v/>
      </c>
      <c r="AZ134" s="53" t="s">
        <v>148</v>
      </c>
      <c r="BA134" s="84" t="s">
        <v>319</v>
      </c>
      <c r="BB134" s="53"/>
      <c r="BC134" s="53" t="s">
        <v>320</v>
      </c>
      <c r="BD134" s="53">
        <v>1</v>
      </c>
      <c r="BE134" s="83">
        <v>46202</v>
      </c>
      <c r="BF134" s="53"/>
      <c r="BG134" s="53"/>
    </row>
    <row r="135" spans="3:59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4"/>
        <v>1</v>
      </c>
      <c r="M135" s="26">
        <f t="shared" si="1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67" t="e">
        <f>SUMIFS([1]Up!$J:$J,[1]Up!$D:$D,D135)</f>
        <v>#VALUE!</v>
      </c>
      <c r="AW135" s="82"/>
      <c r="AX135" s="82" t="str">
        <f t="shared" si="16"/>
        <v>PL15</v>
      </c>
      <c r="AY135" s="53" t="str">
        <f t="shared" si="17"/>
        <v/>
      </c>
      <c r="AZ135" s="53" t="s">
        <v>148</v>
      </c>
      <c r="BA135" s="84" t="s">
        <v>200</v>
      </c>
      <c r="BB135" s="53"/>
      <c r="BC135" s="53" t="s">
        <v>201</v>
      </c>
      <c r="BD135" s="53">
        <v>1</v>
      </c>
      <c r="BE135" s="83">
        <v>46201</v>
      </c>
      <c r="BF135" s="53"/>
      <c r="BG135" s="53"/>
    </row>
    <row r="136" spans="3:59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4"/>
        <v>1</v>
      </c>
      <c r="M136" s="26">
        <f t="shared" si="1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67" t="e">
        <f>SUMIFS([1]Up!$J:$J,[1]Up!$D:$D,D136)</f>
        <v>#VALUE!</v>
      </c>
      <c r="AW136" s="82" t="s">
        <v>2071</v>
      </c>
      <c r="AX136" s="82" t="e">
        <f t="shared" si="16"/>
        <v>#VALUE!</v>
      </c>
      <c r="AY136" s="53" t="str">
        <f t="shared" si="17"/>
        <v>Thừa 2</v>
      </c>
      <c r="AZ136" s="53" t="s">
        <v>154</v>
      </c>
      <c r="BA136" s="53"/>
      <c r="BB136" s="53"/>
      <c r="BC136" s="53" t="s">
        <v>57</v>
      </c>
      <c r="BD136" s="53">
        <v>1</v>
      </c>
      <c r="BE136" s="83"/>
      <c r="BF136" s="53"/>
      <c r="BG136" s="53"/>
    </row>
    <row r="137" spans="3:59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4"/>
        <v>1</v>
      </c>
      <c r="M137" s="26">
        <f t="shared" si="15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67" t="e">
        <f>SUMIFS([1]Up!$J:$J,[1]Up!$D:$D,D137)</f>
        <v>#VALUE!</v>
      </c>
      <c r="AW137" s="82"/>
      <c r="AX137" s="82" t="str">
        <f t="shared" si="16"/>
        <v>PL15</v>
      </c>
      <c r="AY137" s="53" t="str">
        <f t="shared" si="17"/>
        <v/>
      </c>
      <c r="AZ137" s="53" t="s">
        <v>148</v>
      </c>
      <c r="BA137" s="84" t="s">
        <v>200</v>
      </c>
      <c r="BB137" s="53"/>
      <c r="BC137" s="53" t="s">
        <v>201</v>
      </c>
      <c r="BD137" s="53">
        <v>1</v>
      </c>
      <c r="BE137" s="83">
        <v>46201</v>
      </c>
      <c r="BF137" s="53"/>
      <c r="BG137" s="53"/>
    </row>
    <row r="138" spans="3:59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4"/>
        <v>1</v>
      </c>
      <c r="M138" s="26">
        <f t="shared" si="15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67" t="e">
        <f>SUMIFS([1]Up!$J:$J,[1]Up!$D:$D,D138)</f>
        <v>#VALUE!</v>
      </c>
      <c r="AW138" s="82"/>
      <c r="AX138" s="82" t="str">
        <f t="shared" si="16"/>
        <v>PL20</v>
      </c>
      <c r="AY138" s="53" t="str">
        <f t="shared" si="17"/>
        <v/>
      </c>
      <c r="AZ138" s="53" t="s">
        <v>148</v>
      </c>
      <c r="BA138" s="84" t="s">
        <v>319</v>
      </c>
      <c r="BB138" s="53"/>
      <c r="BC138" s="53" t="s">
        <v>320</v>
      </c>
      <c r="BD138" s="53">
        <v>1</v>
      </c>
      <c r="BE138" s="83">
        <v>46202</v>
      </c>
      <c r="BF138" s="53"/>
      <c r="BG138" s="53"/>
    </row>
    <row r="139" spans="3:59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4"/>
        <v>0</v>
      </c>
      <c r="M139" s="26">
        <f t="shared" si="15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67" t="e">
        <f>SUMIFS([1]Up!$J:$J,[1]Up!$D:$D,D139)</f>
        <v>#VALUE!</v>
      </c>
      <c r="AW139" s="82"/>
      <c r="AX139" s="82" t="str">
        <f t="shared" si="16"/>
        <v>PL10</v>
      </c>
      <c r="AY139" s="53" t="str">
        <f t="shared" si="17"/>
        <v/>
      </c>
      <c r="AZ139" s="53" t="s">
        <v>148</v>
      </c>
      <c r="BA139" s="84" t="s">
        <v>210</v>
      </c>
      <c r="BB139" s="53"/>
      <c r="BC139" s="53" t="s">
        <v>211</v>
      </c>
      <c r="BD139" s="53">
        <v>1</v>
      </c>
      <c r="BE139" s="83">
        <v>46201</v>
      </c>
      <c r="BF139" s="53"/>
      <c r="BG139" s="53"/>
    </row>
    <row r="140" spans="3:59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4"/>
        <v>1</v>
      </c>
      <c r="M140" s="26">
        <f t="shared" si="1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67" t="e">
        <f>SUMIFS([1]Up!$J:$J,[1]Up!$D:$D,D140)</f>
        <v>#VALUE!</v>
      </c>
      <c r="AW140" s="82"/>
      <c r="AX140" s="82" t="str">
        <f t="shared" si="16"/>
        <v>PL15</v>
      </c>
      <c r="AY140" s="53" t="str">
        <f t="shared" si="17"/>
        <v/>
      </c>
      <c r="AZ140" s="53" t="s">
        <v>148</v>
      </c>
      <c r="BA140" s="84" t="s">
        <v>200</v>
      </c>
      <c r="BB140" s="53"/>
      <c r="BC140" s="53" t="s">
        <v>201</v>
      </c>
      <c r="BD140" s="53">
        <v>1</v>
      </c>
      <c r="BE140" s="83">
        <v>46201</v>
      </c>
      <c r="BF140" s="53"/>
      <c r="BG140" s="53"/>
    </row>
    <row r="141" spans="3:59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4"/>
        <v>1</v>
      </c>
      <c r="M141" s="26">
        <f t="shared" si="1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67" t="e">
        <f>SUMIFS([1]Up!$J:$J,[1]Up!$D:$D,D141)</f>
        <v>#VALUE!</v>
      </c>
      <c r="AW141" s="82" t="s">
        <v>2244</v>
      </c>
      <c r="AX141" s="82" t="e">
        <f t="shared" si="16"/>
        <v>#VALUE!</v>
      </c>
      <c r="AY141" s="53" t="str">
        <f t="shared" si="17"/>
        <v>Thừa 2</v>
      </c>
      <c r="AZ141" s="53" t="s">
        <v>154</v>
      </c>
      <c r="BA141" s="53"/>
      <c r="BB141" s="53"/>
      <c r="BC141" s="53" t="s">
        <v>57</v>
      </c>
      <c r="BD141" s="53">
        <v>1</v>
      </c>
      <c r="BE141" s="83"/>
      <c r="BF141" s="53"/>
      <c r="BG141" s="53"/>
    </row>
    <row r="142" spans="3:59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4"/>
        <v>1</v>
      </c>
      <c r="M142" s="26">
        <f t="shared" si="15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67" t="e">
        <f>SUMIFS([1]Up!$J:$J,[1]Up!$D:$D,D142)</f>
        <v>#VALUE!</v>
      </c>
      <c r="AW142" s="82"/>
      <c r="AX142" s="82" t="str">
        <f t="shared" si="16"/>
        <v>PL15</v>
      </c>
      <c r="AY142" s="53" t="str">
        <f t="shared" si="17"/>
        <v/>
      </c>
      <c r="AZ142" s="53" t="s">
        <v>148</v>
      </c>
      <c r="BA142" s="84" t="s">
        <v>200</v>
      </c>
      <c r="BB142" s="53"/>
      <c r="BC142" s="53" t="s">
        <v>201</v>
      </c>
      <c r="BD142" s="53">
        <v>1</v>
      </c>
      <c r="BE142" s="83">
        <v>46201</v>
      </c>
      <c r="BF142" s="53"/>
      <c r="BG142" s="53"/>
    </row>
    <row r="143" spans="3:59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4"/>
        <v>1</v>
      </c>
      <c r="M143" s="26">
        <f t="shared" si="15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67" t="e">
        <f>SUMIFS([1]Up!$J:$J,[1]Up!$D:$D,D143)</f>
        <v>#VALUE!</v>
      </c>
      <c r="AW143" s="82"/>
      <c r="AX143" s="82" t="str">
        <f t="shared" si="16"/>
        <v>PL20</v>
      </c>
      <c r="AY143" s="53" t="str">
        <f t="shared" si="17"/>
        <v/>
      </c>
      <c r="AZ143" s="53" t="s">
        <v>148</v>
      </c>
      <c r="BA143" s="84" t="s">
        <v>319</v>
      </c>
      <c r="BB143" s="53"/>
      <c r="BC143" s="53" t="s">
        <v>320</v>
      </c>
      <c r="BD143" s="53">
        <v>1</v>
      </c>
      <c r="BE143" s="83">
        <v>46202</v>
      </c>
      <c r="BF143" s="53"/>
      <c r="BG143" s="53"/>
    </row>
    <row r="144" spans="3:59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4"/>
        <v>1</v>
      </c>
      <c r="M144" s="26">
        <f t="shared" si="15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67" t="e">
        <f>SUMIFS([1]Up!$J:$J,[1]Up!$D:$D,D144)</f>
        <v>#VALUE!</v>
      </c>
      <c r="AW144" s="82"/>
      <c r="AX144" s="82" t="str">
        <f t="shared" si="16"/>
        <v>PL10</v>
      </c>
      <c r="AY144" s="53" t="str">
        <f t="shared" si="17"/>
        <v/>
      </c>
      <c r="AZ144" s="53" t="s">
        <v>148</v>
      </c>
      <c r="BA144" s="84" t="s">
        <v>210</v>
      </c>
      <c r="BB144" s="53"/>
      <c r="BC144" s="53" t="s">
        <v>211</v>
      </c>
      <c r="BD144" s="53">
        <v>1</v>
      </c>
      <c r="BE144" s="83">
        <v>46201</v>
      </c>
      <c r="BF144" s="53"/>
      <c r="BG144" s="53"/>
    </row>
    <row r="145" spans="3:59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4"/>
        <v>1</v>
      </c>
      <c r="M145" s="26">
        <f t="shared" si="15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67" t="e">
        <f>SUMIFS([1]Up!$J:$J,[1]Up!$D:$D,D145)</f>
        <v>#VALUE!</v>
      </c>
      <c r="AW145" s="82"/>
      <c r="AX145" s="82" t="str">
        <f t="shared" si="16"/>
        <v>PL15</v>
      </c>
      <c r="AY145" s="53" t="str">
        <f t="shared" si="17"/>
        <v/>
      </c>
      <c r="AZ145" s="53" t="s">
        <v>148</v>
      </c>
      <c r="BA145" s="84" t="s">
        <v>200</v>
      </c>
      <c r="BB145" s="53"/>
      <c r="BC145" s="53" t="s">
        <v>201</v>
      </c>
      <c r="BD145" s="53">
        <v>1</v>
      </c>
      <c r="BE145" s="83">
        <v>46201</v>
      </c>
      <c r="BF145" s="53"/>
      <c r="BG145" s="53"/>
    </row>
    <row r="146" spans="3:59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4"/>
        <v>1</v>
      </c>
      <c r="M146" s="26">
        <f t="shared" si="1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67" t="e">
        <f>SUMIFS([1]Up!$J:$J,[1]Up!$D:$D,D146)</f>
        <v>#VALUE!</v>
      </c>
      <c r="AW146" s="82" t="s">
        <v>2077</v>
      </c>
      <c r="AX146" s="82" t="e">
        <f t="shared" si="16"/>
        <v>#VALUE!</v>
      </c>
      <c r="AY146" s="53" t="str">
        <f t="shared" si="17"/>
        <v>Thừa 2</v>
      </c>
      <c r="AZ146" s="53" t="s">
        <v>154</v>
      </c>
      <c r="BA146" s="53"/>
      <c r="BB146" s="53"/>
      <c r="BC146" s="53" t="s">
        <v>57</v>
      </c>
      <c r="BD146" s="53">
        <v>1</v>
      </c>
      <c r="BE146" s="83"/>
      <c r="BF146" s="53"/>
      <c r="BG146" s="53"/>
    </row>
    <row r="147" spans="3:59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4"/>
        <v>1</v>
      </c>
      <c r="M147" s="26">
        <f t="shared" si="15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67" t="e">
        <f>SUMIFS([1]Up!$J:$J,[1]Up!$D:$D,D147)</f>
        <v>#VALUE!</v>
      </c>
      <c r="AW147" s="82"/>
      <c r="AX147" s="82" t="str">
        <f t="shared" si="16"/>
        <v>PL15</v>
      </c>
      <c r="AY147" s="53" t="str">
        <f t="shared" si="17"/>
        <v/>
      </c>
      <c r="AZ147" s="53" t="s">
        <v>148</v>
      </c>
      <c r="BA147" s="84" t="s">
        <v>200</v>
      </c>
      <c r="BB147" s="53"/>
      <c r="BC147" s="53" t="s">
        <v>201</v>
      </c>
      <c r="BD147" s="53">
        <v>1</v>
      </c>
      <c r="BE147" s="83">
        <v>46201</v>
      </c>
      <c r="BF147" s="53"/>
      <c r="BG147" s="53"/>
    </row>
    <row r="148" spans="3:59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4"/>
        <v>1</v>
      </c>
      <c r="M148" s="26">
        <f t="shared" si="15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67" t="e">
        <f>SUMIFS([1]Up!$J:$J,[1]Up!$D:$D,D148)</f>
        <v>#VALUE!</v>
      </c>
      <c r="AW148" s="82"/>
      <c r="AX148" s="82" t="str">
        <f t="shared" si="16"/>
        <v>PL20</v>
      </c>
      <c r="AY148" s="53" t="str">
        <f t="shared" si="17"/>
        <v/>
      </c>
      <c r="AZ148" s="53" t="s">
        <v>148</v>
      </c>
      <c r="BA148" s="84" t="s">
        <v>319</v>
      </c>
      <c r="BB148" s="53"/>
      <c r="BC148" s="53" t="s">
        <v>320</v>
      </c>
      <c r="BD148" s="53">
        <v>1</v>
      </c>
      <c r="BE148" s="83">
        <v>46202</v>
      </c>
      <c r="BF148" s="53"/>
      <c r="BG148" s="53"/>
    </row>
    <row r="149" spans="3:59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4"/>
        <v>1</v>
      </c>
      <c r="M149" s="26">
        <f t="shared" si="15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>
        <v>1</v>
      </c>
      <c r="AS149" s="26"/>
      <c r="AT149" s="26"/>
      <c r="AU149" s="26"/>
      <c r="AV149" s="67" t="e">
        <f>SUMIFS([1]Up!$J:$J,[1]Up!$D:$D,D149)</f>
        <v>#VALUE!</v>
      </c>
      <c r="AW149" s="82"/>
      <c r="AX149" s="82" t="str">
        <f t="shared" si="16"/>
        <v>PL10</v>
      </c>
      <c r="AY149" s="53" t="str">
        <f t="shared" si="17"/>
        <v/>
      </c>
      <c r="AZ149" s="53" t="s">
        <v>148</v>
      </c>
      <c r="BA149" s="53"/>
      <c r="BB149" s="53"/>
      <c r="BC149" s="53"/>
      <c r="BD149" s="53"/>
      <c r="BE149" s="83"/>
      <c r="BF149" s="53"/>
      <c r="BG149" s="53"/>
    </row>
    <row r="150" spans="3:59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4"/>
        <v>1</v>
      </c>
      <c r="M150" s="26">
        <f t="shared" si="15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67" t="e">
        <f>SUMIFS([1]Up!$J:$J,[1]Up!$D:$D,D150)</f>
        <v>#VALUE!</v>
      </c>
      <c r="AW150" s="82"/>
      <c r="AX150" s="82" t="str">
        <f t="shared" si="16"/>
        <v>PL15</v>
      </c>
      <c r="AY150" s="53" t="str">
        <f t="shared" si="17"/>
        <v/>
      </c>
      <c r="AZ150" s="53" t="s">
        <v>148</v>
      </c>
      <c r="BA150" s="84" t="s">
        <v>200</v>
      </c>
      <c r="BB150" s="53"/>
      <c r="BC150" s="53" t="s">
        <v>201</v>
      </c>
      <c r="BD150" s="53">
        <v>1</v>
      </c>
      <c r="BE150" s="83">
        <v>46201</v>
      </c>
      <c r="BF150" s="53"/>
      <c r="BG150" s="53"/>
    </row>
    <row r="151" spans="3:59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4"/>
        <v>1</v>
      </c>
      <c r="M151" s="26">
        <f t="shared" si="15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26"/>
      <c r="AT151" s="26"/>
      <c r="AU151" s="26"/>
      <c r="AV151" s="67" t="e">
        <f>SUMIFS([1]Up!$J:$J,[1]Up!$D:$D,D151)</f>
        <v>#VALUE!</v>
      </c>
      <c r="AW151" s="82" t="s">
        <v>2382</v>
      </c>
      <c r="AX151" s="82" t="e">
        <f t="shared" si="16"/>
        <v>#VALUE!</v>
      </c>
      <c r="AY151" s="53" t="str">
        <f t="shared" si="17"/>
        <v>Thừa 2</v>
      </c>
      <c r="AZ151" s="53" t="s">
        <v>154</v>
      </c>
      <c r="BA151" s="53"/>
      <c r="BB151" s="53"/>
      <c r="BC151" s="53" t="s">
        <v>57</v>
      </c>
      <c r="BD151" s="53">
        <v>1</v>
      </c>
      <c r="BE151" s="83"/>
      <c r="BF151" s="53"/>
      <c r="BG151" s="53"/>
    </row>
    <row r="152" spans="3:59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4"/>
        <v>1</v>
      </c>
      <c r="M152" s="26">
        <f t="shared" si="15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67" t="e">
        <f>SUMIFS([1]Up!$J:$J,[1]Up!$D:$D,D152)</f>
        <v>#VALUE!</v>
      </c>
      <c r="AW152" s="82"/>
      <c r="AX152" s="82" t="str">
        <f t="shared" si="16"/>
        <v>PL15</v>
      </c>
      <c r="AY152" s="53" t="str">
        <f t="shared" si="17"/>
        <v/>
      </c>
      <c r="AZ152" s="53" t="s">
        <v>148</v>
      </c>
      <c r="BA152" s="84" t="s">
        <v>200</v>
      </c>
      <c r="BB152" s="53"/>
      <c r="BC152" s="53" t="s">
        <v>201</v>
      </c>
      <c r="BD152" s="53">
        <v>1</v>
      </c>
      <c r="BE152" s="83">
        <v>46201</v>
      </c>
      <c r="BF152" s="53"/>
      <c r="BG152" s="53"/>
    </row>
    <row r="153" spans="3:59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4"/>
        <v>1</v>
      </c>
      <c r="M153" s="26">
        <f t="shared" si="15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67" t="e">
        <f>SUMIFS([1]Up!$J:$J,[1]Up!$D:$D,D153)</f>
        <v>#VALUE!</v>
      </c>
      <c r="AW153" s="82"/>
      <c r="AX153" s="82" t="str">
        <f t="shared" si="16"/>
        <v>PL20</v>
      </c>
      <c r="AY153" s="53" t="str">
        <f t="shared" si="17"/>
        <v/>
      </c>
      <c r="AZ153" s="53" t="s">
        <v>148</v>
      </c>
      <c r="BA153" s="84" t="s">
        <v>319</v>
      </c>
      <c r="BB153" s="53"/>
      <c r="BC153" s="53" t="s">
        <v>320</v>
      </c>
      <c r="BD153" s="53">
        <v>1</v>
      </c>
      <c r="BE153" s="83">
        <v>46202</v>
      </c>
      <c r="BF153" s="53"/>
      <c r="BG153" s="53"/>
    </row>
    <row r="154" spans="3:59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4"/>
        <v>1</v>
      </c>
      <c r="M154" s="26">
        <f t="shared" si="15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67" t="e">
        <f>SUMIFS([1]Up!$J:$J,[1]Up!$D:$D,D154)</f>
        <v>#VALUE!</v>
      </c>
      <c r="AW154" s="82"/>
      <c r="AX154" s="82" t="str">
        <f t="shared" si="16"/>
        <v>PL10</v>
      </c>
      <c r="AY154" s="53" t="str">
        <f t="shared" si="17"/>
        <v/>
      </c>
      <c r="AZ154" s="53" t="s">
        <v>148</v>
      </c>
      <c r="BA154" s="84" t="s">
        <v>210</v>
      </c>
      <c r="BB154" s="53"/>
      <c r="BC154" s="53" t="s">
        <v>211</v>
      </c>
      <c r="BD154" s="53">
        <v>1</v>
      </c>
      <c r="BE154" s="83">
        <v>46201</v>
      </c>
      <c r="BF154" s="53"/>
      <c r="BG154" s="53"/>
    </row>
    <row r="155" spans="3:59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4"/>
        <v>1</v>
      </c>
      <c r="M155" s="26">
        <f t="shared" si="15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67" t="e">
        <f>SUMIFS([1]Up!$J:$J,[1]Up!$D:$D,D155)</f>
        <v>#VALUE!</v>
      </c>
      <c r="AW155" s="82"/>
      <c r="AX155" s="82" t="str">
        <f t="shared" si="16"/>
        <v>PL15</v>
      </c>
      <c r="AY155" s="53" t="str">
        <f t="shared" si="17"/>
        <v/>
      </c>
      <c r="AZ155" s="53" t="s">
        <v>148</v>
      </c>
      <c r="BA155" s="84" t="s">
        <v>200</v>
      </c>
      <c r="BB155" s="53"/>
      <c r="BC155" s="53" t="s">
        <v>201</v>
      </c>
      <c r="BD155" s="53">
        <v>1</v>
      </c>
      <c r="BE155" s="83">
        <v>46201</v>
      </c>
      <c r="BF155" s="53"/>
      <c r="BG155" s="53"/>
    </row>
    <row r="156" spans="3:59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4"/>
        <v>1</v>
      </c>
      <c r="M156" s="26">
        <f t="shared" si="15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67" t="e">
        <f>SUMIFS([1]Up!$J:$J,[1]Up!$D:$D,D156)</f>
        <v>#VALUE!</v>
      </c>
      <c r="AW156" s="82" t="s">
        <v>2085</v>
      </c>
      <c r="AX156" s="82" t="e">
        <f t="shared" si="16"/>
        <v>#VALUE!</v>
      </c>
      <c r="AY156" s="53" t="str">
        <f t="shared" si="17"/>
        <v>Thừa 2</v>
      </c>
      <c r="AZ156" s="53" t="s">
        <v>154</v>
      </c>
      <c r="BA156" s="53"/>
      <c r="BB156" s="53"/>
      <c r="BC156" s="53" t="s">
        <v>57</v>
      </c>
      <c r="BD156" s="53">
        <v>1</v>
      </c>
      <c r="BE156" s="83"/>
      <c r="BF156" s="53"/>
      <c r="BG156" s="53"/>
    </row>
    <row r="157" spans="3:59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4"/>
        <v>1</v>
      </c>
      <c r="M157" s="26">
        <f t="shared" si="15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67" t="e">
        <f>SUMIFS([1]Up!$J:$J,[1]Up!$D:$D,D157)</f>
        <v>#VALUE!</v>
      </c>
      <c r="AW157" s="82"/>
      <c r="AX157" s="82" t="str">
        <f t="shared" si="16"/>
        <v>PL15</v>
      </c>
      <c r="AY157" s="53" t="str">
        <f t="shared" si="17"/>
        <v/>
      </c>
      <c r="AZ157" s="53" t="s">
        <v>148</v>
      </c>
      <c r="BA157" s="84" t="s">
        <v>200</v>
      </c>
      <c r="BB157" s="53"/>
      <c r="BC157" s="53" t="s">
        <v>201</v>
      </c>
      <c r="BD157" s="53">
        <v>1</v>
      </c>
      <c r="BE157" s="83">
        <v>46201</v>
      </c>
      <c r="BF157" s="53"/>
      <c r="BG157" s="53"/>
    </row>
    <row r="158" spans="3:59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4"/>
        <v>1</v>
      </c>
      <c r="M158" s="26">
        <f t="shared" si="15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67" t="e">
        <f>SUMIFS([1]Up!$J:$J,[1]Up!$D:$D,D158)</f>
        <v>#VALUE!</v>
      </c>
      <c r="AW158" s="82"/>
      <c r="AX158" s="82" t="str">
        <f t="shared" si="16"/>
        <v>PL20</v>
      </c>
      <c r="AY158" s="53" t="str">
        <f t="shared" si="17"/>
        <v/>
      </c>
      <c r="AZ158" s="53" t="s">
        <v>148</v>
      </c>
      <c r="BA158" s="84" t="s">
        <v>319</v>
      </c>
      <c r="BB158" s="53"/>
      <c r="BC158" s="53" t="s">
        <v>320</v>
      </c>
      <c r="BD158" s="53">
        <v>1</v>
      </c>
      <c r="BE158" s="83">
        <v>46202</v>
      </c>
      <c r="BF158" s="53"/>
      <c r="BG158" s="53"/>
    </row>
    <row r="159" spans="3:59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4"/>
        <v>1</v>
      </c>
      <c r="M159" s="26">
        <f t="shared" si="15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67" t="e">
        <f>SUMIFS([1]Up!$J:$J,[1]Up!$D:$D,D159)</f>
        <v>#VALUE!</v>
      </c>
      <c r="AW159" s="82"/>
      <c r="AX159" s="82" t="str">
        <f t="shared" si="16"/>
        <v>PL10</v>
      </c>
      <c r="AY159" s="53" t="str">
        <f t="shared" si="17"/>
        <v/>
      </c>
      <c r="AZ159" s="53" t="s">
        <v>148</v>
      </c>
      <c r="BA159" s="84" t="s">
        <v>210</v>
      </c>
      <c r="BB159" s="53"/>
      <c r="BC159" s="53" t="s">
        <v>211</v>
      </c>
      <c r="BD159" s="53">
        <v>1</v>
      </c>
      <c r="BE159" s="83">
        <v>46201</v>
      </c>
      <c r="BF159" s="53"/>
      <c r="BG159" s="53"/>
    </row>
    <row r="160" spans="3:59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4"/>
        <v>1</v>
      </c>
      <c r="M160" s="26">
        <f t="shared" si="15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67" t="e">
        <f>SUMIFS([1]Up!$J:$J,[1]Up!$D:$D,D160)</f>
        <v>#VALUE!</v>
      </c>
      <c r="AW160" s="82"/>
      <c r="AX160" s="82" t="str">
        <f t="shared" si="16"/>
        <v>PL15</v>
      </c>
      <c r="AY160" s="53" t="str">
        <f t="shared" si="17"/>
        <v/>
      </c>
      <c r="AZ160" s="53" t="s">
        <v>148</v>
      </c>
      <c r="BA160" s="84" t="s">
        <v>200</v>
      </c>
      <c r="BB160" s="53"/>
      <c r="BC160" s="53" t="s">
        <v>201</v>
      </c>
      <c r="BD160" s="53">
        <v>1</v>
      </c>
      <c r="BE160" s="83">
        <v>46201</v>
      </c>
      <c r="BF160" s="53"/>
      <c r="BG160" s="53"/>
    </row>
    <row r="161" spans="3:59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4"/>
        <v>1</v>
      </c>
      <c r="M161" s="26">
        <f t="shared" si="15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67" t="e">
        <f>SUMIFS([1]Up!$J:$J,[1]Up!$D:$D,D161)</f>
        <v>#VALUE!</v>
      </c>
      <c r="AW161" s="82" t="s">
        <v>2071</v>
      </c>
      <c r="AX161" s="82" t="e">
        <f t="shared" si="16"/>
        <v>#VALUE!</v>
      </c>
      <c r="AY161" s="53" t="str">
        <f t="shared" si="17"/>
        <v>Thừa 2</v>
      </c>
      <c r="AZ161" s="53" t="s">
        <v>154</v>
      </c>
      <c r="BA161" s="53"/>
      <c r="BB161" s="53"/>
      <c r="BC161" s="53" t="s">
        <v>57</v>
      </c>
      <c r="BD161" s="53">
        <v>1</v>
      </c>
      <c r="BE161" s="83"/>
      <c r="BF161" s="53"/>
      <c r="BG161" s="53"/>
    </row>
    <row r="162" spans="3:59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4"/>
        <v>1</v>
      </c>
      <c r="M162" s="26">
        <f t="shared" si="1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67" t="e">
        <f>SUMIFS([1]Up!$J:$J,[1]Up!$D:$D,D162)</f>
        <v>#VALUE!</v>
      </c>
      <c r="AW162" s="82"/>
      <c r="AX162" s="82" t="str">
        <f t="shared" si="16"/>
        <v>PL15</v>
      </c>
      <c r="AY162" s="53" t="str">
        <f t="shared" si="17"/>
        <v/>
      </c>
      <c r="AZ162" s="53" t="s">
        <v>148</v>
      </c>
      <c r="BA162" s="84" t="s">
        <v>200</v>
      </c>
      <c r="BB162" s="53"/>
      <c r="BC162" s="53" t="s">
        <v>201</v>
      </c>
      <c r="BD162" s="53">
        <v>1</v>
      </c>
      <c r="BE162" s="83">
        <v>46201</v>
      </c>
      <c r="BF162" s="53"/>
      <c r="BG162" s="53"/>
    </row>
    <row r="163" spans="3:59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4"/>
        <v>1</v>
      </c>
      <c r="M163" s="26">
        <f t="shared" si="15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67" t="e">
        <f>SUMIFS([1]Up!$J:$J,[1]Up!$D:$D,D163)</f>
        <v>#VALUE!</v>
      </c>
      <c r="AW163" s="82"/>
      <c r="AX163" s="82" t="str">
        <f t="shared" si="16"/>
        <v>PL20</v>
      </c>
      <c r="AY163" s="53" t="str">
        <f t="shared" si="17"/>
        <v/>
      </c>
      <c r="AZ163" s="53" t="s">
        <v>148</v>
      </c>
      <c r="BA163" s="84" t="s">
        <v>319</v>
      </c>
      <c r="BB163" s="53"/>
      <c r="BC163" s="53" t="s">
        <v>320</v>
      </c>
      <c r="BD163" s="53">
        <v>1</v>
      </c>
      <c r="BE163" s="83">
        <v>46202</v>
      </c>
      <c r="BF163" s="53"/>
      <c r="BG163" s="53"/>
    </row>
    <row r="164" spans="3:59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4"/>
        <v>1</v>
      </c>
      <c r="M164" s="26">
        <f t="shared" si="15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>
        <v>1</v>
      </c>
      <c r="AS164" s="26"/>
      <c r="AT164" s="26"/>
      <c r="AU164" s="26"/>
      <c r="AV164" s="67" t="e">
        <f>SUMIFS([1]Up!$J:$J,[1]Up!$D:$D,D164)</f>
        <v>#VALUE!</v>
      </c>
      <c r="AW164" s="82"/>
      <c r="AX164" s="82" t="str">
        <f t="shared" si="16"/>
        <v>PL10</v>
      </c>
      <c r="AY164" s="53" t="str">
        <f t="shared" si="17"/>
        <v/>
      </c>
      <c r="AZ164" s="53" t="s">
        <v>148</v>
      </c>
      <c r="BA164" s="53"/>
      <c r="BB164" s="53"/>
      <c r="BC164" s="53"/>
      <c r="BD164" s="53"/>
      <c r="BE164" s="83"/>
      <c r="BF164" s="53"/>
      <c r="BG164" s="53"/>
    </row>
    <row r="165" spans="3:59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4"/>
        <v>1</v>
      </c>
      <c r="M165" s="26">
        <f t="shared" si="15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67" t="e">
        <f>SUMIFS([1]Up!$J:$J,[1]Up!$D:$D,D165)</f>
        <v>#VALUE!</v>
      </c>
      <c r="AW165" s="82"/>
      <c r="AX165" s="82" t="str">
        <f t="shared" si="16"/>
        <v>PL15</v>
      </c>
      <c r="AY165" s="53" t="str">
        <f t="shared" si="17"/>
        <v/>
      </c>
      <c r="AZ165" s="53" t="s">
        <v>148</v>
      </c>
      <c r="BA165" s="84" t="s">
        <v>200</v>
      </c>
      <c r="BB165" s="53"/>
      <c r="BC165" s="53" t="s">
        <v>201</v>
      </c>
      <c r="BD165" s="53">
        <v>1</v>
      </c>
      <c r="BE165" s="83">
        <v>46201</v>
      </c>
      <c r="BF165" s="53"/>
      <c r="BG165" s="53"/>
    </row>
    <row r="166" spans="3:59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4"/>
        <v>1</v>
      </c>
      <c r="M166" s="26">
        <f t="shared" si="15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67" t="e">
        <f>SUMIFS([1]Up!$J:$J,[1]Up!$D:$D,D166)</f>
        <v>#VALUE!</v>
      </c>
      <c r="AW166" s="82" t="s">
        <v>2077</v>
      </c>
      <c r="AX166" s="82" t="e">
        <f t="shared" si="16"/>
        <v>#VALUE!</v>
      </c>
      <c r="AY166" s="53" t="str">
        <f t="shared" si="17"/>
        <v>Thừa 2</v>
      </c>
      <c r="AZ166" s="53" t="s">
        <v>154</v>
      </c>
      <c r="BA166" s="53"/>
      <c r="BB166" s="53"/>
      <c r="BC166" s="53" t="s">
        <v>57</v>
      </c>
      <c r="BD166" s="53">
        <v>1</v>
      </c>
      <c r="BE166" s="83"/>
      <c r="BF166" s="53"/>
      <c r="BG166" s="53"/>
    </row>
    <row r="167" spans="3:59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4"/>
        <v>1</v>
      </c>
      <c r="M167" s="26">
        <f t="shared" si="1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67" t="e">
        <f>SUMIFS([1]Up!$J:$J,[1]Up!$D:$D,D167)</f>
        <v>#VALUE!</v>
      </c>
      <c r="AW167" s="82"/>
      <c r="AX167" s="82" t="str">
        <f t="shared" si="16"/>
        <v>PL15</v>
      </c>
      <c r="AY167" s="53" t="str">
        <f t="shared" si="17"/>
        <v/>
      </c>
      <c r="AZ167" s="53" t="s">
        <v>148</v>
      </c>
      <c r="BA167" s="84" t="s">
        <v>200</v>
      </c>
      <c r="BB167" s="53"/>
      <c r="BC167" s="53" t="s">
        <v>201</v>
      </c>
      <c r="BD167" s="53">
        <v>1</v>
      </c>
      <c r="BE167" s="83">
        <v>46201</v>
      </c>
      <c r="BF167" s="53"/>
      <c r="BG167" s="53"/>
    </row>
    <row r="168" spans="3:59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4"/>
        <v>1</v>
      </c>
      <c r="M168" s="26">
        <f t="shared" si="15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67" t="e">
        <f>SUMIFS([1]Up!$J:$J,[1]Up!$D:$D,D168)</f>
        <v>#VALUE!</v>
      </c>
      <c r="AW168" s="82"/>
      <c r="AX168" s="82" t="str">
        <f t="shared" si="16"/>
        <v>PL20</v>
      </c>
      <c r="AY168" s="53" t="str">
        <f t="shared" si="17"/>
        <v/>
      </c>
      <c r="AZ168" s="53" t="s">
        <v>148</v>
      </c>
      <c r="BA168" s="84" t="s">
        <v>319</v>
      </c>
      <c r="BB168" s="53"/>
      <c r="BC168" s="53" t="s">
        <v>320</v>
      </c>
      <c r="BD168" s="53">
        <v>1</v>
      </c>
      <c r="BE168" s="83">
        <v>46202</v>
      </c>
      <c r="BF168" s="53"/>
      <c r="BG168" s="53"/>
    </row>
    <row r="169" spans="3:59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4"/>
        <v>0</v>
      </c>
      <c r="M169" s="26">
        <f t="shared" si="15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67" t="e">
        <f>SUMIFS([1]Up!$J:$J,[1]Up!$D:$D,D169)</f>
        <v>#VALUE!</v>
      </c>
      <c r="AW169" s="82"/>
      <c r="AX169" s="82" t="str">
        <f t="shared" si="16"/>
        <v>PL10</v>
      </c>
      <c r="AY169" s="53" t="str">
        <f t="shared" si="17"/>
        <v/>
      </c>
      <c r="AZ169" s="53" t="s">
        <v>148</v>
      </c>
      <c r="BA169" s="84" t="s">
        <v>210</v>
      </c>
      <c r="BB169" s="53"/>
      <c r="BC169" s="53" t="s">
        <v>211</v>
      </c>
      <c r="BD169" s="53">
        <v>1</v>
      </c>
      <c r="BE169" s="83">
        <v>46201</v>
      </c>
      <c r="BF169" s="53"/>
      <c r="BG169" s="53"/>
    </row>
    <row r="170" spans="3:59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4"/>
        <v>1</v>
      </c>
      <c r="M170" s="26">
        <f t="shared" si="15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67" t="e">
        <f>SUMIFS([1]Up!$J:$J,[1]Up!$D:$D,D170)</f>
        <v>#VALUE!</v>
      </c>
      <c r="AW170" s="82"/>
      <c r="AX170" s="82" t="str">
        <f t="shared" si="16"/>
        <v>PL15</v>
      </c>
      <c r="AY170" s="53" t="str">
        <f t="shared" si="17"/>
        <v/>
      </c>
      <c r="AZ170" s="53" t="s">
        <v>148</v>
      </c>
      <c r="BA170" s="84" t="s">
        <v>200</v>
      </c>
      <c r="BB170" s="53"/>
      <c r="BC170" s="53" t="s">
        <v>201</v>
      </c>
      <c r="BD170" s="53">
        <v>1</v>
      </c>
      <c r="BE170" s="83">
        <v>46201</v>
      </c>
      <c r="BF170" s="53"/>
      <c r="BG170" s="53"/>
    </row>
    <row r="171" spans="3:59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4"/>
        <v>1</v>
      </c>
      <c r="M171" s="26">
        <f t="shared" si="15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67" t="e">
        <f>SUMIFS([1]Up!$J:$J,[1]Up!$D:$D,D171)</f>
        <v>#VALUE!</v>
      </c>
      <c r="AW171" s="82" t="s">
        <v>2085</v>
      </c>
      <c r="AX171" s="82" t="e">
        <f t="shared" si="16"/>
        <v>#VALUE!</v>
      </c>
      <c r="AY171" s="53" t="str">
        <f t="shared" si="17"/>
        <v>Thừa 2</v>
      </c>
      <c r="AZ171" s="53" t="s">
        <v>154</v>
      </c>
      <c r="BA171" s="53"/>
      <c r="BB171" s="53"/>
      <c r="BC171" s="53" t="s">
        <v>57</v>
      </c>
      <c r="BD171" s="53">
        <v>1</v>
      </c>
      <c r="BE171" s="83"/>
      <c r="BF171" s="53"/>
      <c r="BG171" s="53"/>
    </row>
    <row r="172" spans="3:59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4"/>
        <v>1</v>
      </c>
      <c r="M172" s="26">
        <f t="shared" si="15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67" t="e">
        <f>SUMIFS([1]Up!$J:$J,[1]Up!$D:$D,D172)</f>
        <v>#VALUE!</v>
      </c>
      <c r="AW172" s="82"/>
      <c r="AX172" s="82" t="str">
        <f t="shared" si="16"/>
        <v>PL20</v>
      </c>
      <c r="AY172" s="53" t="str">
        <f t="shared" si="17"/>
        <v/>
      </c>
      <c r="AZ172" s="53" t="s">
        <v>148</v>
      </c>
      <c r="BA172" s="84" t="s">
        <v>319</v>
      </c>
      <c r="BB172" s="53"/>
      <c r="BC172" s="53" t="s">
        <v>320</v>
      </c>
      <c r="BD172" s="53">
        <v>1</v>
      </c>
      <c r="BE172" s="83">
        <v>46202</v>
      </c>
      <c r="BF172" s="53"/>
      <c r="BG172" s="53"/>
    </row>
    <row r="173" spans="3:59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4"/>
        <v>1</v>
      </c>
      <c r="M173" s="26">
        <f t="shared" si="15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67" t="e">
        <f>SUMIFS([1]Up!$J:$J,[1]Up!$D:$D,D173)</f>
        <v>#VALUE!</v>
      </c>
      <c r="AW173" s="82"/>
      <c r="AX173" s="82" t="str">
        <f t="shared" si="16"/>
        <v>PL10</v>
      </c>
      <c r="AY173" s="53" t="str">
        <f t="shared" si="17"/>
        <v/>
      </c>
      <c r="AZ173" s="53" t="s">
        <v>148</v>
      </c>
      <c r="BA173" s="84" t="s">
        <v>210</v>
      </c>
      <c r="BB173" s="53"/>
      <c r="BC173" s="53" t="s">
        <v>211</v>
      </c>
      <c r="BD173" s="53">
        <v>1</v>
      </c>
      <c r="BE173" s="83">
        <v>46201</v>
      </c>
      <c r="BF173" s="53"/>
      <c r="BG173" s="53"/>
    </row>
    <row r="174" spans="3:59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4"/>
        <v>1</v>
      </c>
      <c r="M174" s="26">
        <f t="shared" si="15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67" t="e">
        <f>SUMIFS([1]Up!$J:$J,[1]Up!$D:$D,D174)</f>
        <v>#VALUE!</v>
      </c>
      <c r="AW174" s="82"/>
      <c r="AX174" s="82" t="str">
        <f t="shared" si="16"/>
        <v>PL15</v>
      </c>
      <c r="AY174" s="53" t="str">
        <f t="shared" si="17"/>
        <v/>
      </c>
      <c r="AZ174" s="53" t="s">
        <v>148</v>
      </c>
      <c r="BA174" s="84" t="s">
        <v>200</v>
      </c>
      <c r="BB174" s="53"/>
      <c r="BC174" s="53" t="s">
        <v>201</v>
      </c>
      <c r="BD174" s="53">
        <v>1</v>
      </c>
      <c r="BE174" s="83">
        <v>46201</v>
      </c>
      <c r="BF174" s="53"/>
      <c r="BG174" s="53"/>
    </row>
    <row r="175" spans="3:59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4"/>
        <v>1</v>
      </c>
      <c r="M175" s="26">
        <f t="shared" si="15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67" t="e">
        <f>SUMIFS([1]Up!$J:$J,[1]Up!$D:$D,D175)</f>
        <v>#VALUE!</v>
      </c>
      <c r="AW175" s="82"/>
      <c r="AX175" s="82" t="str">
        <f t="shared" si="16"/>
        <v>PL15</v>
      </c>
      <c r="AY175" s="53" t="str">
        <f t="shared" si="17"/>
        <v/>
      </c>
      <c r="AZ175" s="53" t="s">
        <v>148</v>
      </c>
      <c r="BA175" s="84" t="s">
        <v>200</v>
      </c>
      <c r="BB175" s="53"/>
      <c r="BC175" s="53" t="s">
        <v>201</v>
      </c>
      <c r="BD175" s="53">
        <v>1</v>
      </c>
      <c r="BE175" s="83">
        <v>46201</v>
      </c>
      <c r="BF175" s="53"/>
      <c r="BG175" s="53"/>
    </row>
    <row r="176" spans="3:59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4"/>
        <v>1</v>
      </c>
      <c r="M176" s="26">
        <f t="shared" si="15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67" t="e">
        <f>SUMIFS([1]Up!$J:$J,[1]Up!$D:$D,D176)</f>
        <v>#VALUE!</v>
      </c>
      <c r="AW176" s="82" t="s">
        <v>2241</v>
      </c>
      <c r="AX176" s="82" t="e">
        <f t="shared" si="16"/>
        <v>#VALUE!</v>
      </c>
      <c r="AY176" s="53" t="str">
        <f t="shared" si="17"/>
        <v>Thừa 1</v>
      </c>
      <c r="AZ176" s="53" t="s">
        <v>154</v>
      </c>
      <c r="BA176" s="53"/>
      <c r="BB176" s="53"/>
      <c r="BC176" s="53" t="s">
        <v>57</v>
      </c>
      <c r="BD176" s="53">
        <v>1</v>
      </c>
      <c r="BE176" s="83"/>
      <c r="BF176" s="53"/>
      <c r="BG176" s="53"/>
    </row>
    <row r="177" spans="3:59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4"/>
        <v>1</v>
      </c>
      <c r="M177" s="26">
        <f t="shared" si="15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67" t="e">
        <f>SUMIFS([1]Up!$J:$J,[1]Up!$D:$D,D177)</f>
        <v>#VALUE!</v>
      </c>
      <c r="AW177" s="82"/>
      <c r="AX177" s="82" t="str">
        <f t="shared" si="16"/>
        <v>PL20</v>
      </c>
      <c r="AY177" s="53" t="str">
        <f t="shared" si="17"/>
        <v/>
      </c>
      <c r="AZ177" s="53" t="s">
        <v>148</v>
      </c>
      <c r="BA177" s="84" t="s">
        <v>319</v>
      </c>
      <c r="BB177" s="53"/>
      <c r="BC177" s="53" t="s">
        <v>320</v>
      </c>
      <c r="BD177" s="53">
        <v>1</v>
      </c>
      <c r="BE177" s="83">
        <v>46202</v>
      </c>
      <c r="BF177" s="53"/>
      <c r="BG177" s="53"/>
    </row>
    <row r="178" spans="3:59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4"/>
        <v>1</v>
      </c>
      <c r="M178" s="26">
        <f t="shared" si="15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67" t="e">
        <f>SUMIFS([1]Up!$J:$J,[1]Up!$D:$D,D178)</f>
        <v>#VALUE!</v>
      </c>
      <c r="AW178" s="82"/>
      <c r="AX178" s="82" t="str">
        <f t="shared" si="16"/>
        <v>PL15</v>
      </c>
      <c r="AY178" s="53" t="str">
        <f t="shared" si="17"/>
        <v/>
      </c>
      <c r="AZ178" s="53" t="s">
        <v>148</v>
      </c>
      <c r="BA178" s="84" t="s">
        <v>200</v>
      </c>
      <c r="BB178" s="53"/>
      <c r="BC178" s="53" t="s">
        <v>201</v>
      </c>
      <c r="BD178" s="53">
        <v>1</v>
      </c>
      <c r="BE178" s="83">
        <v>46201</v>
      </c>
      <c r="BF178" s="53"/>
      <c r="BG178" s="53"/>
    </row>
    <row r="179" spans="3:59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4"/>
        <v>1</v>
      </c>
      <c r="M179" s="26">
        <f t="shared" si="15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67" t="e">
        <f>SUMIFS([1]Up!$J:$J,[1]Up!$D:$D,D179)</f>
        <v>#VALUE!</v>
      </c>
      <c r="AW179" s="82"/>
      <c r="AX179" s="82" t="str">
        <f t="shared" si="16"/>
        <v>PL10</v>
      </c>
      <c r="AY179" s="53" t="str">
        <f t="shared" si="17"/>
        <v/>
      </c>
      <c r="AZ179" s="53" t="s">
        <v>148</v>
      </c>
      <c r="BA179" s="84" t="s">
        <v>210</v>
      </c>
      <c r="BB179" s="53"/>
      <c r="BC179" s="53" t="s">
        <v>211</v>
      </c>
      <c r="BD179" s="53">
        <v>1</v>
      </c>
      <c r="BE179" s="83">
        <v>46201</v>
      </c>
      <c r="BF179" s="53"/>
      <c r="BG179" s="53"/>
    </row>
    <row r="180" spans="3:59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4"/>
        <v>1</v>
      </c>
      <c r="M180" s="26">
        <f t="shared" si="15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67" t="e">
        <f>SUMIFS([1]Up!$J:$J,[1]Up!$D:$D,D180)</f>
        <v>#VALUE!</v>
      </c>
      <c r="AW180" s="82"/>
      <c r="AX180" s="82" t="str">
        <f t="shared" si="16"/>
        <v>PL15</v>
      </c>
      <c r="AY180" s="53" t="str">
        <f t="shared" si="17"/>
        <v/>
      </c>
      <c r="AZ180" s="53" t="s">
        <v>148</v>
      </c>
      <c r="BA180" s="84" t="s">
        <v>200</v>
      </c>
      <c r="BB180" s="53"/>
      <c r="BC180" s="53" t="s">
        <v>201</v>
      </c>
      <c r="BD180" s="53">
        <v>1</v>
      </c>
      <c r="BE180" s="83">
        <v>46201</v>
      </c>
      <c r="BF180" s="53"/>
      <c r="BG180" s="53"/>
    </row>
    <row r="181" spans="3:59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4"/>
        <v>1</v>
      </c>
      <c r="M181" s="26">
        <f t="shared" si="15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67" t="e">
        <f>SUMIFS([1]Up!$J:$J,[1]Up!$D:$D,D181)</f>
        <v>#VALUE!</v>
      </c>
      <c r="AW181" s="82" t="s">
        <v>2243</v>
      </c>
      <c r="AX181" s="82" t="e">
        <f t="shared" si="16"/>
        <v>#VALUE!</v>
      </c>
      <c r="AY181" s="53" t="str">
        <f t="shared" si="17"/>
        <v>Thừa 2</v>
      </c>
      <c r="AZ181" s="53" t="s">
        <v>154</v>
      </c>
      <c r="BA181" s="53"/>
      <c r="BB181" s="53"/>
      <c r="BC181" s="53" t="s">
        <v>57</v>
      </c>
      <c r="BD181" s="53">
        <v>1</v>
      </c>
      <c r="BE181" s="83"/>
      <c r="BF181" s="53"/>
      <c r="BG181" s="53"/>
    </row>
    <row r="182" spans="3:59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4"/>
        <v>1</v>
      </c>
      <c r="M182" s="26">
        <f t="shared" si="15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67" t="e">
        <f>SUMIFS([1]Up!$J:$J,[1]Up!$D:$D,D182)</f>
        <v>#VALUE!</v>
      </c>
      <c r="AW182" s="82"/>
      <c r="AX182" s="82" t="str">
        <f t="shared" si="16"/>
        <v>PL20</v>
      </c>
      <c r="AY182" s="53" t="str">
        <f t="shared" si="17"/>
        <v/>
      </c>
      <c r="AZ182" s="53" t="s">
        <v>148</v>
      </c>
      <c r="BA182" s="84" t="s">
        <v>319</v>
      </c>
      <c r="BB182" s="53"/>
      <c r="BC182" s="53" t="s">
        <v>320</v>
      </c>
      <c r="BD182" s="53">
        <v>1</v>
      </c>
      <c r="BE182" s="83">
        <v>46202</v>
      </c>
      <c r="BF182" s="53"/>
      <c r="BG182" s="53"/>
    </row>
    <row r="183" spans="3:59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4"/>
        <v>1</v>
      </c>
      <c r="M183" s="26">
        <f t="shared" si="15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67" t="e">
        <f>SUMIFS([1]Up!$J:$J,[1]Up!$D:$D,D183)</f>
        <v>#VALUE!</v>
      </c>
      <c r="AW183" s="82"/>
      <c r="AX183" s="82" t="str">
        <f t="shared" si="16"/>
        <v>PL10</v>
      </c>
      <c r="AY183" s="53" t="str">
        <f t="shared" si="17"/>
        <v/>
      </c>
      <c r="AZ183" s="53" t="s">
        <v>148</v>
      </c>
      <c r="BA183" s="84" t="s">
        <v>210</v>
      </c>
      <c r="BB183" s="53"/>
      <c r="BC183" s="53" t="s">
        <v>211</v>
      </c>
      <c r="BD183" s="53">
        <v>1</v>
      </c>
      <c r="BE183" s="83">
        <v>46201</v>
      </c>
      <c r="BF183" s="53"/>
      <c r="BG183" s="53"/>
    </row>
    <row r="184" spans="3:59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4"/>
        <v>1</v>
      </c>
      <c r="M184" s="26">
        <f t="shared" si="15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67" t="e">
        <f>SUMIFS([1]Up!$J:$J,[1]Up!$D:$D,D184)</f>
        <v>#VALUE!</v>
      </c>
      <c r="AW184" s="82"/>
      <c r="AX184" s="82" t="str">
        <f t="shared" si="16"/>
        <v>PL15</v>
      </c>
      <c r="AY184" s="53" t="str">
        <f t="shared" si="17"/>
        <v/>
      </c>
      <c r="AZ184" s="53" t="s">
        <v>148</v>
      </c>
      <c r="BA184" s="84" t="s">
        <v>200</v>
      </c>
      <c r="BB184" s="53"/>
      <c r="BC184" s="53" t="s">
        <v>201</v>
      </c>
      <c r="BD184" s="53">
        <v>1</v>
      </c>
      <c r="BE184" s="83">
        <v>46201</v>
      </c>
      <c r="BF184" s="53"/>
      <c r="BG184" s="53"/>
    </row>
    <row r="185" spans="3:59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4"/>
        <v>1</v>
      </c>
      <c r="M185" s="26">
        <f t="shared" si="15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67" t="e">
        <f>SUMIFS([1]Up!$J:$J,[1]Up!$D:$D,D185)</f>
        <v>#VALUE!</v>
      </c>
      <c r="AW185" s="82"/>
      <c r="AX185" s="82" t="str">
        <f t="shared" si="16"/>
        <v>PL15</v>
      </c>
      <c r="AY185" s="53" t="str">
        <f t="shared" si="17"/>
        <v/>
      </c>
      <c r="AZ185" s="53" t="s">
        <v>148</v>
      </c>
      <c r="BA185" s="84" t="s">
        <v>200</v>
      </c>
      <c r="BB185" s="53"/>
      <c r="BC185" s="53" t="s">
        <v>201</v>
      </c>
      <c r="BD185" s="53">
        <v>1</v>
      </c>
      <c r="BE185" s="83">
        <v>46201</v>
      </c>
      <c r="BF185" s="53"/>
      <c r="BG185" s="53"/>
    </row>
    <row r="186" spans="3:59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4"/>
        <v>1</v>
      </c>
      <c r="M186" s="26">
        <f t="shared" si="15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67" t="e">
        <f>SUMIFS([1]Up!$J:$J,[1]Up!$D:$D,D186)</f>
        <v>#VALUE!</v>
      </c>
      <c r="AW186" s="82" t="s">
        <v>2085</v>
      </c>
      <c r="AX186" s="82" t="e">
        <f t="shared" si="16"/>
        <v>#VALUE!</v>
      </c>
      <c r="AY186" s="53" t="str">
        <f t="shared" si="17"/>
        <v>Thừa 2</v>
      </c>
      <c r="AZ186" s="53" t="s">
        <v>154</v>
      </c>
      <c r="BA186" s="53"/>
      <c r="BB186" s="53"/>
      <c r="BC186" s="53" t="s">
        <v>57</v>
      </c>
      <c r="BD186" s="53">
        <v>1</v>
      </c>
      <c r="BE186" s="83"/>
      <c r="BF186" s="53"/>
      <c r="BG186" s="53"/>
    </row>
    <row r="187" spans="3:59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4"/>
        <v>1</v>
      </c>
      <c r="M187" s="26">
        <f t="shared" si="15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67" t="e">
        <f>SUMIFS([1]Up!$J:$J,[1]Up!$D:$D,D187)</f>
        <v>#VALUE!</v>
      </c>
      <c r="AW187" s="82"/>
      <c r="AX187" s="82" t="str">
        <f t="shared" si="16"/>
        <v>PL20</v>
      </c>
      <c r="AY187" s="53" t="str">
        <f t="shared" si="17"/>
        <v/>
      </c>
      <c r="AZ187" s="53" t="s">
        <v>148</v>
      </c>
      <c r="BA187" s="84" t="s">
        <v>319</v>
      </c>
      <c r="BB187" s="53"/>
      <c r="BC187" s="53" t="s">
        <v>320</v>
      </c>
      <c r="BD187" s="53">
        <v>1</v>
      </c>
      <c r="BE187" s="83">
        <v>46202</v>
      </c>
      <c r="BF187" s="53"/>
      <c r="BG187" s="53"/>
    </row>
    <row r="188" spans="3:59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4"/>
        <v>1</v>
      </c>
      <c r="M188" s="26">
        <f t="shared" si="15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67" t="e">
        <f>SUMIFS([1]Up!$J:$J,[1]Up!$D:$D,D188)</f>
        <v>#VALUE!</v>
      </c>
      <c r="AW188" s="82"/>
      <c r="AX188" s="82" t="str">
        <f t="shared" si="16"/>
        <v>PL15</v>
      </c>
      <c r="AY188" s="53" t="str">
        <f t="shared" si="17"/>
        <v/>
      </c>
      <c r="AZ188" s="53" t="s">
        <v>148</v>
      </c>
      <c r="BA188" s="84" t="s">
        <v>200</v>
      </c>
      <c r="BB188" s="53"/>
      <c r="BC188" s="53" t="s">
        <v>201</v>
      </c>
      <c r="BD188" s="53">
        <v>1</v>
      </c>
      <c r="BE188" s="83">
        <v>46201</v>
      </c>
      <c r="BF188" s="53"/>
      <c r="BG188" s="53"/>
    </row>
    <row r="189" spans="3:59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4"/>
        <v>1</v>
      </c>
      <c r="M189" s="26">
        <f t="shared" si="15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67" t="e">
        <f>SUMIFS([1]Up!$J:$J,[1]Up!$D:$D,D189)</f>
        <v>#VALUE!</v>
      </c>
      <c r="AW189" s="82"/>
      <c r="AX189" s="82" t="str">
        <f t="shared" si="16"/>
        <v>PL10</v>
      </c>
      <c r="AY189" s="53" t="str">
        <f t="shared" si="17"/>
        <v/>
      </c>
      <c r="AZ189" s="53" t="s">
        <v>148</v>
      </c>
      <c r="BA189" s="84" t="s">
        <v>210</v>
      </c>
      <c r="BB189" s="53"/>
      <c r="BC189" s="53" t="s">
        <v>211</v>
      </c>
      <c r="BD189" s="53">
        <v>1</v>
      </c>
      <c r="BE189" s="83">
        <v>46201</v>
      </c>
      <c r="BF189" s="53"/>
      <c r="BG189" s="53"/>
    </row>
    <row r="190" spans="3:59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4"/>
        <v>1</v>
      </c>
      <c r="M190" s="26">
        <f t="shared" si="15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67" t="e">
        <f>SUMIFS([1]Up!$J:$J,[1]Up!$D:$D,D190)</f>
        <v>#VALUE!</v>
      </c>
      <c r="AW190" s="82"/>
      <c r="AX190" s="82" t="str">
        <f t="shared" si="16"/>
        <v>PL15</v>
      </c>
      <c r="AY190" s="53" t="str">
        <f t="shared" si="17"/>
        <v/>
      </c>
      <c r="AZ190" s="53" t="s">
        <v>148</v>
      </c>
      <c r="BA190" s="84" t="s">
        <v>200</v>
      </c>
      <c r="BB190" s="53"/>
      <c r="BC190" s="53" t="s">
        <v>201</v>
      </c>
      <c r="BD190" s="53">
        <v>1</v>
      </c>
      <c r="BE190" s="83">
        <v>46201</v>
      </c>
      <c r="BF190" s="53"/>
      <c r="BG190" s="53"/>
    </row>
    <row r="191" spans="3:59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4"/>
        <v>1</v>
      </c>
      <c r="M191" s="26">
        <f t="shared" si="15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67" t="e">
        <f>SUMIFS([1]Up!$J:$J,[1]Up!$D:$D,D191)</f>
        <v>#VALUE!</v>
      </c>
      <c r="AW191" s="82" t="s">
        <v>2077</v>
      </c>
      <c r="AX191" s="82" t="e">
        <f t="shared" si="16"/>
        <v>#VALUE!</v>
      </c>
      <c r="AY191" s="53" t="str">
        <f t="shared" si="17"/>
        <v>Thừa 2</v>
      </c>
      <c r="AZ191" s="53" t="s">
        <v>154</v>
      </c>
      <c r="BA191" s="53"/>
      <c r="BB191" s="53"/>
      <c r="BC191" s="53" t="s">
        <v>57</v>
      </c>
      <c r="BD191" s="53">
        <v>1</v>
      </c>
      <c r="BE191" s="83"/>
      <c r="BF191" s="53"/>
      <c r="BG191" s="53"/>
    </row>
    <row r="192" spans="3:59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4"/>
        <v>0</v>
      </c>
      <c r="M192" s="26">
        <f t="shared" si="15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67" t="e">
        <f>SUMIFS([1]Up!$J:$J,[1]Up!$D:$D,D192)</f>
        <v>#VALUE!</v>
      </c>
      <c r="AW192" s="82"/>
      <c r="AX192" s="82" t="str">
        <f t="shared" si="16"/>
        <v>PL10</v>
      </c>
      <c r="AY192" s="53" t="str">
        <f t="shared" si="17"/>
        <v/>
      </c>
      <c r="AZ192" s="53" t="s">
        <v>148</v>
      </c>
      <c r="BA192" s="53"/>
      <c r="BB192" s="53"/>
      <c r="BC192" s="53"/>
      <c r="BD192" s="53"/>
      <c r="BE192" s="83"/>
      <c r="BF192" s="53"/>
      <c r="BG192" s="53"/>
    </row>
    <row r="193" spans="3:59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4"/>
        <v>0</v>
      </c>
      <c r="M193" s="26">
        <f t="shared" si="15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67" t="e">
        <f>SUMIFS([1]Up!$J:$J,[1]Up!$D:$D,D193)</f>
        <v>#VALUE!</v>
      </c>
      <c r="AW193" s="82"/>
      <c r="AX193" s="82" t="e">
        <f t="shared" si="16"/>
        <v>#VALUE!</v>
      </c>
      <c r="AY193" s="53" t="str">
        <f t="shared" si="17"/>
        <v/>
      </c>
      <c r="AZ193" s="53" t="s">
        <v>154</v>
      </c>
      <c r="BA193" s="53"/>
      <c r="BB193" s="53"/>
      <c r="BC193" s="53"/>
      <c r="BD193" s="53"/>
      <c r="BE193" s="83"/>
      <c r="BF193" s="53"/>
      <c r="BG193" s="53"/>
    </row>
    <row r="194" spans="3:59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4"/>
        <v>0</v>
      </c>
      <c r="M194" s="26">
        <f t="shared" si="15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67" t="e">
        <f>SUMIFS([1]Up!$J:$J,[1]Up!$D:$D,D194)</f>
        <v>#VALUE!</v>
      </c>
      <c r="AW194" s="82"/>
      <c r="AX194" s="82" t="str">
        <f t="shared" si="16"/>
        <v>PL15</v>
      </c>
      <c r="AY194" s="53" t="str">
        <f t="shared" si="17"/>
        <v/>
      </c>
      <c r="AZ194" s="53" t="s">
        <v>148</v>
      </c>
      <c r="BA194" s="53"/>
      <c r="BB194" s="53"/>
      <c r="BC194" s="53"/>
      <c r="BD194" s="53"/>
      <c r="BE194" s="83"/>
      <c r="BF194" s="53"/>
      <c r="BG194" s="53"/>
    </row>
    <row r="195" spans="3:59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4"/>
        <v>0</v>
      </c>
      <c r="M195" s="26">
        <f t="shared" si="15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67" t="e">
        <f>SUMIFS([1]Up!$J:$J,[1]Up!$D:$D,D195)</f>
        <v>#VALUE!</v>
      </c>
      <c r="AW195" s="82"/>
      <c r="AX195" s="82" t="str">
        <f t="shared" si="16"/>
        <v>PL15</v>
      </c>
      <c r="AY195" s="53" t="str">
        <f t="shared" si="17"/>
        <v/>
      </c>
      <c r="AZ195" s="53" t="s">
        <v>148</v>
      </c>
      <c r="BA195" s="53"/>
      <c r="BB195" s="53"/>
      <c r="BC195" s="53"/>
      <c r="BD195" s="53"/>
      <c r="BE195" s="83"/>
      <c r="BF195" s="53"/>
      <c r="BG195" s="53"/>
    </row>
    <row r="196" spans="3:59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4"/>
        <v>0</v>
      </c>
      <c r="M196" s="26">
        <f t="shared" si="15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67" t="e">
        <f>SUMIFS([1]Up!$J:$J,[1]Up!$D:$D,D196)</f>
        <v>#VALUE!</v>
      </c>
      <c r="AW196" s="82"/>
      <c r="AX196" s="82" t="str">
        <f t="shared" si="16"/>
        <v>PL15</v>
      </c>
      <c r="AY196" s="53" t="str">
        <f t="shared" si="17"/>
        <v/>
      </c>
      <c r="AZ196" s="53" t="s">
        <v>148</v>
      </c>
      <c r="BA196" s="53"/>
      <c r="BB196" s="53"/>
      <c r="BC196" s="53"/>
      <c r="BD196" s="53"/>
      <c r="BE196" s="83"/>
      <c r="BF196" s="53"/>
      <c r="BG196" s="53"/>
    </row>
    <row r="197" spans="3:59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4"/>
        <v>0</v>
      </c>
      <c r="M197" s="26">
        <f t="shared" si="15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67" t="e">
        <f>SUMIFS([1]Up!$J:$J,[1]Up!$D:$D,D197)</f>
        <v>#VALUE!</v>
      </c>
      <c r="AW197" s="82"/>
      <c r="AX197" s="82" t="e">
        <f t="shared" si="16"/>
        <v>#VALUE!</v>
      </c>
      <c r="AY197" s="53" t="str">
        <f t="shared" si="17"/>
        <v/>
      </c>
      <c r="AZ197" s="53" t="s">
        <v>148</v>
      </c>
      <c r="BA197" s="53"/>
      <c r="BB197" s="53"/>
      <c r="BC197" s="53"/>
      <c r="BD197" s="53"/>
      <c r="BE197" s="83"/>
      <c r="BF197" s="53"/>
      <c r="BG197" s="53"/>
    </row>
    <row r="198" spans="3:59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4"/>
        <v>0</v>
      </c>
      <c r="M198" s="26">
        <f t="shared" si="15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67" t="e">
        <f>SUMIFS([1]Up!$J:$J,[1]Up!$D:$D,D198)</f>
        <v>#VALUE!</v>
      </c>
      <c r="AW198" s="82"/>
      <c r="AX198" s="82" t="str">
        <f t="shared" si="16"/>
        <v>PL10</v>
      </c>
      <c r="AY198" s="53" t="str">
        <f t="shared" si="17"/>
        <v/>
      </c>
      <c r="AZ198" s="53" t="s">
        <v>148</v>
      </c>
      <c r="BA198" s="53"/>
      <c r="BB198" s="53"/>
      <c r="BC198" s="53"/>
      <c r="BD198" s="53"/>
      <c r="BE198" s="83"/>
      <c r="BF198" s="53"/>
      <c r="BG198" s="53"/>
    </row>
    <row r="199" spans="3:59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4"/>
        <v>0</v>
      </c>
      <c r="M199" s="26">
        <f t="shared" si="15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67" t="e">
        <f>SUMIFS([1]Up!$J:$J,[1]Up!$D:$D,D199)</f>
        <v>#VALUE!</v>
      </c>
      <c r="AW199" s="82"/>
      <c r="AX199" s="82" t="str">
        <f t="shared" si="16"/>
        <v>PL10</v>
      </c>
      <c r="AY199" s="53" t="str">
        <f t="shared" si="17"/>
        <v/>
      </c>
      <c r="AZ199" s="53" t="s">
        <v>148</v>
      </c>
      <c r="BA199" s="53"/>
      <c r="BB199" s="53"/>
      <c r="BC199" s="53"/>
      <c r="BD199" s="53"/>
      <c r="BE199" s="83"/>
      <c r="BF199" s="53"/>
      <c r="BG199" s="53"/>
    </row>
    <row r="200" spans="3:59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4"/>
        <v>0</v>
      </c>
      <c r="M200" s="26">
        <f t="shared" si="15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67" t="e">
        <f>SUMIFS([1]Up!$J:$J,[1]Up!$D:$D,D200)</f>
        <v>#VALUE!</v>
      </c>
      <c r="AW200" s="82"/>
      <c r="AX200" s="82" t="str">
        <f t="shared" si="16"/>
        <v>PL12</v>
      </c>
      <c r="AY200" s="53" t="str">
        <f t="shared" si="17"/>
        <v/>
      </c>
      <c r="AZ200" s="53" t="s">
        <v>148</v>
      </c>
      <c r="BA200" s="53"/>
      <c r="BB200" s="53"/>
      <c r="BC200" s="53"/>
      <c r="BD200" s="53"/>
      <c r="BE200" s="83"/>
      <c r="BF200" s="53"/>
      <c r="BG200" s="53"/>
    </row>
    <row r="201" spans="3:59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4"/>
        <v>0</v>
      </c>
      <c r="M201" s="26">
        <f t="shared" si="15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67" t="e">
        <f>SUMIFS([1]Up!$J:$J,[1]Up!$D:$D,D201)</f>
        <v>#VALUE!</v>
      </c>
      <c r="AW201" s="82"/>
      <c r="AX201" s="82" t="str">
        <f t="shared" si="16"/>
        <v>PL12</v>
      </c>
      <c r="AY201" s="53" t="str">
        <f t="shared" si="17"/>
        <v/>
      </c>
      <c r="AZ201" s="53" t="s">
        <v>148</v>
      </c>
      <c r="BA201" s="53"/>
      <c r="BB201" s="53"/>
      <c r="BC201" s="53"/>
      <c r="BD201" s="53"/>
      <c r="BE201" s="83"/>
      <c r="BF201" s="53"/>
      <c r="BG201" s="53"/>
    </row>
    <row r="202" spans="3:59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4"/>
        <v>1</v>
      </c>
      <c r="M202" s="26">
        <f t="shared" si="15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26"/>
      <c r="AT202" s="26"/>
      <c r="AU202" s="26"/>
      <c r="AV202" s="67" t="e">
        <f>SUMIFS([1]Up!$J:$J,[1]Up!$D:$D,D202)</f>
        <v>#VALUE!</v>
      </c>
      <c r="AW202" s="82"/>
      <c r="AX202" s="82" t="str">
        <f t="shared" si="16"/>
        <v>PL20</v>
      </c>
      <c r="AY202" s="53" t="str">
        <f t="shared" si="17"/>
        <v/>
      </c>
      <c r="AZ202" s="53" t="s">
        <v>148</v>
      </c>
      <c r="BA202" s="53"/>
      <c r="BB202" s="53"/>
      <c r="BC202" s="53"/>
      <c r="BD202" s="53"/>
      <c r="BE202" s="83"/>
      <c r="BF202" s="53"/>
      <c r="BG202" s="53"/>
    </row>
    <row r="203" spans="3:59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4"/>
        <v>0</v>
      </c>
      <c r="M203" s="26">
        <f t="shared" si="15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67" t="e">
        <f>SUMIFS([1]Up!$J:$J,[1]Up!$D:$D,D203)</f>
        <v>#VALUE!</v>
      </c>
      <c r="AW203" s="82"/>
      <c r="AX203" s="82" t="str">
        <f t="shared" si="16"/>
        <v>PL20</v>
      </c>
      <c r="AY203" s="53" t="str">
        <f t="shared" si="17"/>
        <v/>
      </c>
      <c r="AZ203" s="53" t="s">
        <v>148</v>
      </c>
      <c r="BA203" s="53"/>
      <c r="BB203" s="53"/>
      <c r="BC203" s="53"/>
      <c r="BD203" s="53"/>
      <c r="BE203" s="83"/>
      <c r="BF203" s="53"/>
      <c r="BG203" s="53"/>
    </row>
    <row r="204" spans="3:59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4"/>
        <v>0</v>
      </c>
      <c r="M204" s="26">
        <f t="shared" si="15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67" t="e">
        <f>SUMIFS([1]Up!$J:$J,[1]Up!$D:$D,D204)</f>
        <v>#VALUE!</v>
      </c>
      <c r="AW204" s="82"/>
      <c r="AX204" s="82" t="str">
        <f t="shared" si="16"/>
        <v>PL15</v>
      </c>
      <c r="AY204" s="53" t="str">
        <f t="shared" si="17"/>
        <v/>
      </c>
      <c r="AZ204" s="53" t="s">
        <v>148</v>
      </c>
      <c r="BA204" s="53"/>
      <c r="BB204" s="53"/>
      <c r="BC204" s="53"/>
      <c r="BD204" s="53"/>
      <c r="BE204" s="83"/>
      <c r="BF204" s="53"/>
      <c r="BG204" s="53"/>
    </row>
    <row r="205" spans="3:59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4"/>
        <v>0</v>
      </c>
      <c r="M205" s="26">
        <f t="shared" si="15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67" t="e">
        <f>SUMIFS([1]Up!$J:$J,[1]Up!$D:$D,D205)</f>
        <v>#VALUE!</v>
      </c>
      <c r="AW205" s="82"/>
      <c r="AX205" s="82" t="str">
        <f t="shared" si="16"/>
        <v>PL10</v>
      </c>
      <c r="AY205" s="53" t="str">
        <f t="shared" si="17"/>
        <v/>
      </c>
      <c r="AZ205" s="53" t="s">
        <v>148</v>
      </c>
      <c r="BA205" s="53"/>
      <c r="BB205" s="53"/>
      <c r="BC205" s="53"/>
      <c r="BD205" s="53"/>
      <c r="BE205" s="83"/>
      <c r="BF205" s="53"/>
      <c r="BG205" s="53"/>
    </row>
    <row r="206" spans="3:59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4"/>
        <v>0</v>
      </c>
      <c r="M206" s="26">
        <f t="shared" si="15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67" t="e">
        <f>SUMIFS([1]Up!$J:$J,[1]Up!$D:$D,D206)</f>
        <v>#VALUE!</v>
      </c>
      <c r="AW206" s="82"/>
      <c r="AX206" s="82" t="str">
        <f t="shared" si="16"/>
        <v>PL10</v>
      </c>
      <c r="AY206" s="53" t="str">
        <f t="shared" si="17"/>
        <v/>
      </c>
      <c r="AZ206" s="53" t="s">
        <v>148</v>
      </c>
      <c r="BA206" s="53"/>
      <c r="BB206" s="53"/>
      <c r="BC206" s="53"/>
      <c r="BD206" s="53"/>
      <c r="BE206" s="83"/>
      <c r="BF206" s="53"/>
      <c r="BG206" s="53"/>
    </row>
    <row r="207" spans="3:59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4"/>
        <v>0</v>
      </c>
      <c r="M207" s="26">
        <f t="shared" si="15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67" t="e">
        <f>SUMIFS([1]Up!$J:$J,[1]Up!$D:$D,D207)</f>
        <v>#VALUE!</v>
      </c>
      <c r="AW207" s="82"/>
      <c r="AX207" s="82" t="str">
        <f t="shared" si="16"/>
        <v>PL10</v>
      </c>
      <c r="AY207" s="53" t="str">
        <f t="shared" si="17"/>
        <v/>
      </c>
      <c r="AZ207" s="53" t="s">
        <v>148</v>
      </c>
      <c r="BA207" s="53"/>
      <c r="BB207" s="53"/>
      <c r="BC207" s="53"/>
      <c r="BD207" s="53"/>
      <c r="BE207" s="83"/>
      <c r="BF207" s="53"/>
      <c r="BG207" s="53"/>
    </row>
    <row r="208" spans="3:59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4"/>
        <v>0</v>
      </c>
      <c r="M208" s="26">
        <f t="shared" si="15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67" t="e">
        <f>SUMIFS([1]Up!$J:$J,[1]Up!$D:$D,D208)</f>
        <v>#VALUE!</v>
      </c>
      <c r="AW208" s="82"/>
      <c r="AX208" s="82" t="e">
        <f t="shared" si="16"/>
        <v>#VALUE!</v>
      </c>
      <c r="AY208" s="53" t="str">
        <f t="shared" si="17"/>
        <v/>
      </c>
      <c r="AZ208" s="53" t="s">
        <v>148</v>
      </c>
      <c r="BA208" s="53"/>
      <c r="BB208" s="53"/>
      <c r="BC208" s="53"/>
      <c r="BD208" s="53"/>
      <c r="BE208" s="83"/>
      <c r="BF208" s="53"/>
      <c r="BG208" s="53"/>
    </row>
    <row r="209" spans="3:59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4"/>
        <v>0</v>
      </c>
      <c r="M209" s="26">
        <f t="shared" si="15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67" t="e">
        <f>SUMIFS([1]Up!$J:$J,[1]Up!$D:$D,D209)</f>
        <v>#VALUE!</v>
      </c>
      <c r="AW209" s="82"/>
      <c r="AX209" s="82" t="str">
        <f t="shared" si="16"/>
        <v>PL12</v>
      </c>
      <c r="AY209" s="53" t="str">
        <f t="shared" si="17"/>
        <v/>
      </c>
      <c r="AZ209" s="53" t="s">
        <v>148</v>
      </c>
      <c r="BA209" s="53"/>
      <c r="BB209" s="53"/>
      <c r="BC209" s="53"/>
      <c r="BD209" s="53"/>
      <c r="BE209" s="83"/>
      <c r="BF209" s="53"/>
      <c r="BG209" s="53"/>
    </row>
    <row r="210" spans="3:59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4"/>
        <v>0</v>
      </c>
      <c r="M210" s="26">
        <f t="shared" si="15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67" t="e">
        <f>SUMIFS([1]Up!$J:$J,[1]Up!$D:$D,D210)</f>
        <v>#VALUE!</v>
      </c>
      <c r="AW210" s="82"/>
      <c r="AX210" s="82" t="str">
        <f t="shared" si="16"/>
        <v>PL20</v>
      </c>
      <c r="AY210" s="53" t="str">
        <f t="shared" si="17"/>
        <v/>
      </c>
      <c r="AZ210" s="53" t="s">
        <v>148</v>
      </c>
      <c r="BA210" s="53"/>
      <c r="BB210" s="53"/>
      <c r="BC210" s="53"/>
      <c r="BD210" s="53"/>
      <c r="BE210" s="83"/>
      <c r="BF210" s="53"/>
      <c r="BG210" s="53"/>
    </row>
    <row r="211" spans="3:59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4"/>
        <v>0</v>
      </c>
      <c r="M211" s="26">
        <f t="shared" si="15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67" t="e">
        <f>SUMIFS([1]Up!$J:$J,[1]Up!$D:$D,D211)</f>
        <v>#VALUE!</v>
      </c>
      <c r="AW211" s="82"/>
      <c r="AX211" s="82" t="str">
        <f t="shared" si="16"/>
        <v>PL20</v>
      </c>
      <c r="AY211" s="53" t="str">
        <f t="shared" si="17"/>
        <v/>
      </c>
      <c r="AZ211" s="53" t="s">
        <v>148</v>
      </c>
      <c r="BA211" s="53"/>
      <c r="BB211" s="53"/>
      <c r="BC211" s="53"/>
      <c r="BD211" s="53"/>
      <c r="BE211" s="83"/>
      <c r="BF211" s="53"/>
      <c r="BG211" s="53"/>
    </row>
    <row r="212" spans="3:59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4"/>
        <v>0</v>
      </c>
      <c r="M212" s="26">
        <f t="shared" si="15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67" t="e">
        <f>SUMIFS([1]Up!$J:$J,[1]Up!$D:$D,D212)</f>
        <v>#VALUE!</v>
      </c>
      <c r="AW212" s="82"/>
      <c r="AX212" s="82" t="str">
        <f t="shared" si="16"/>
        <v>PL12</v>
      </c>
      <c r="AY212" s="53" t="str">
        <f t="shared" si="17"/>
        <v/>
      </c>
      <c r="AZ212" s="53" t="s">
        <v>148</v>
      </c>
      <c r="BA212" s="53"/>
      <c r="BB212" s="53"/>
      <c r="BC212" s="53"/>
      <c r="BD212" s="53"/>
      <c r="BE212" s="83"/>
      <c r="BF212" s="53"/>
      <c r="BG212" s="53"/>
    </row>
    <row r="213" spans="3:59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4"/>
        <v>0</v>
      </c>
      <c r="M213" s="26">
        <f t="shared" si="15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67" t="e">
        <f>SUMIFS([1]Up!$J:$J,[1]Up!$D:$D,D213)</f>
        <v>#VALUE!</v>
      </c>
      <c r="AW213" s="82"/>
      <c r="AX213" s="82" t="str">
        <f t="shared" si="16"/>
        <v>PL15</v>
      </c>
      <c r="AY213" s="53" t="str">
        <f t="shared" si="17"/>
        <v/>
      </c>
      <c r="AZ213" s="53" t="s">
        <v>148</v>
      </c>
      <c r="BA213" s="53"/>
      <c r="BB213" s="53"/>
      <c r="BC213" s="53"/>
      <c r="BD213" s="53"/>
      <c r="BE213" s="83"/>
      <c r="BF213" s="53"/>
      <c r="BG213" s="53"/>
    </row>
    <row r="214" spans="3:59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4"/>
        <v>0</v>
      </c>
      <c r="M214" s="26">
        <f t="shared" si="15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67" t="e">
        <f>SUMIFS([1]Up!$J:$J,[1]Up!$D:$D,D214)</f>
        <v>#VALUE!</v>
      </c>
      <c r="AW214" s="82"/>
      <c r="AX214" s="82" t="e">
        <f t="shared" si="16"/>
        <v>#VALUE!</v>
      </c>
      <c r="AY214" s="53" t="str">
        <f t="shared" si="17"/>
        <v/>
      </c>
      <c r="AZ214" s="53" t="s">
        <v>148</v>
      </c>
      <c r="BA214" s="53"/>
      <c r="BB214" s="53"/>
      <c r="BC214" s="53"/>
      <c r="BD214" s="53"/>
      <c r="BE214" s="83"/>
      <c r="BF214" s="53"/>
      <c r="BG214" s="53"/>
    </row>
    <row r="215" spans="3:59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4"/>
        <v>0</v>
      </c>
      <c r="M215" s="26">
        <f t="shared" si="15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67" t="e">
        <f>SUMIFS([1]Up!$J:$J,[1]Up!$D:$D,D215)</f>
        <v>#VALUE!</v>
      </c>
      <c r="AW215" s="82"/>
      <c r="AX215" s="82" t="e">
        <f t="shared" si="16"/>
        <v>#VALUE!</v>
      </c>
      <c r="AY215" s="53" t="str">
        <f t="shared" si="17"/>
        <v/>
      </c>
      <c r="AZ215" s="53" t="s">
        <v>148</v>
      </c>
      <c r="BA215" s="53"/>
      <c r="BB215" s="53"/>
      <c r="BC215" s="53"/>
      <c r="BD215" s="53"/>
      <c r="BE215" s="83"/>
      <c r="BF215" s="53"/>
      <c r="BG215" s="53"/>
    </row>
    <row r="216" spans="3:59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4"/>
        <v>0</v>
      </c>
      <c r="M216" s="26">
        <f t="shared" si="15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67" t="e">
        <f>SUMIFS([1]Up!$J:$J,[1]Up!$D:$D,D216)</f>
        <v>#VALUE!</v>
      </c>
      <c r="AW216" s="82"/>
      <c r="AX216" s="82" t="str">
        <f t="shared" si="16"/>
        <v>PL12</v>
      </c>
      <c r="AY216" s="53" t="str">
        <f t="shared" si="17"/>
        <v/>
      </c>
      <c r="AZ216" s="53" t="s">
        <v>148</v>
      </c>
      <c r="BA216" s="53"/>
      <c r="BB216" s="53"/>
      <c r="BC216" s="53"/>
      <c r="BD216" s="53"/>
      <c r="BE216" s="83"/>
      <c r="BF216" s="53"/>
      <c r="BG216" s="53"/>
    </row>
    <row r="217" spans="3:59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4"/>
        <v>0</v>
      </c>
      <c r="M217" s="26">
        <f t="shared" si="15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67" t="e">
        <f>SUMIFS([1]Up!$J:$J,[1]Up!$D:$D,D217)</f>
        <v>#VALUE!</v>
      </c>
      <c r="AW217" s="82"/>
      <c r="AX217" s="82" t="e">
        <f t="shared" si="16"/>
        <v>#VALUE!</v>
      </c>
      <c r="AY217" s="53" t="str">
        <f t="shared" si="17"/>
        <v/>
      </c>
      <c r="AZ217" s="53" t="s">
        <v>148</v>
      </c>
      <c r="BA217" s="53"/>
      <c r="BB217" s="53"/>
      <c r="BC217" s="53"/>
      <c r="BD217" s="53"/>
      <c r="BE217" s="83"/>
      <c r="BF217" s="53"/>
      <c r="BG217" s="53"/>
    </row>
    <row r="218" spans="3:59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4"/>
        <v>0</v>
      </c>
      <c r="M218" s="26">
        <f t="shared" si="15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67" t="e">
        <f>SUMIFS([1]Up!$J:$J,[1]Up!$D:$D,D218)</f>
        <v>#VALUE!</v>
      </c>
      <c r="AW218" s="82"/>
      <c r="AX218" s="82" t="str">
        <f t="shared" si="16"/>
        <v>PL12</v>
      </c>
      <c r="AY218" s="53" t="str">
        <f t="shared" si="17"/>
        <v/>
      </c>
      <c r="AZ218" s="53" t="s">
        <v>148</v>
      </c>
      <c r="BA218" s="53"/>
      <c r="BB218" s="53"/>
      <c r="BC218" s="53"/>
      <c r="BD218" s="53"/>
      <c r="BE218" s="83"/>
      <c r="BF218" s="53"/>
      <c r="BG218" s="53"/>
    </row>
    <row r="219" spans="3:59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4"/>
        <v>0</v>
      </c>
      <c r="M219" s="26">
        <f t="shared" si="15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67" t="e">
        <f>SUMIFS([1]Up!$J:$J,[1]Up!$D:$D,D219)</f>
        <v>#VALUE!</v>
      </c>
      <c r="AW219" s="82"/>
      <c r="AX219" s="82" t="str">
        <f t="shared" si="16"/>
        <v>PL12</v>
      </c>
      <c r="AY219" s="53" t="str">
        <f t="shared" si="17"/>
        <v/>
      </c>
      <c r="AZ219" s="53" t="s">
        <v>148</v>
      </c>
      <c r="BA219" s="53"/>
      <c r="BB219" s="53"/>
      <c r="BC219" s="53"/>
      <c r="BD219" s="53"/>
      <c r="BE219" s="83"/>
      <c r="BF219" s="53"/>
      <c r="BG219" s="53"/>
    </row>
    <row r="220" spans="3:59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4"/>
        <v>0</v>
      </c>
      <c r="M220" s="26">
        <f t="shared" si="15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67" t="e">
        <f>SUMIFS([1]Up!$J:$J,[1]Up!$D:$D,D220)</f>
        <v>#VALUE!</v>
      </c>
      <c r="AW220" s="82"/>
      <c r="AX220" s="82" t="str">
        <f t="shared" si="16"/>
        <v>PL12</v>
      </c>
      <c r="AY220" s="53" t="str">
        <f t="shared" si="17"/>
        <v/>
      </c>
      <c r="AZ220" s="53" t="s">
        <v>148</v>
      </c>
      <c r="BA220" s="53"/>
      <c r="BB220" s="53"/>
      <c r="BC220" s="53"/>
      <c r="BD220" s="53"/>
      <c r="BE220" s="83"/>
      <c r="BF220" s="53"/>
      <c r="BG220" s="53"/>
    </row>
    <row r="221" spans="3:59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4"/>
        <v>0</v>
      </c>
      <c r="M221" s="26">
        <f t="shared" si="15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67" t="e">
        <f>SUMIFS([1]Up!$J:$J,[1]Up!$D:$D,D221)</f>
        <v>#VALUE!</v>
      </c>
      <c r="AW221" s="82"/>
      <c r="AX221" s="82" t="str">
        <f t="shared" si="16"/>
        <v>PL12</v>
      </c>
      <c r="AY221" s="53" t="str">
        <f t="shared" si="17"/>
        <v/>
      </c>
      <c r="AZ221" s="53" t="s">
        <v>148</v>
      </c>
      <c r="BA221" s="53"/>
      <c r="BB221" s="53"/>
      <c r="BC221" s="53"/>
      <c r="BD221" s="53"/>
      <c r="BE221" s="83"/>
      <c r="BF221" s="53"/>
      <c r="BG221" s="53"/>
    </row>
    <row r="222" spans="3:59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4"/>
        <v>0</v>
      </c>
      <c r="M222" s="26">
        <f t="shared" si="15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67" t="e">
        <f>SUMIFS([1]Up!$J:$J,[1]Up!$D:$D,D222)</f>
        <v>#VALUE!</v>
      </c>
      <c r="AW222" s="82"/>
      <c r="AX222" s="82" t="str">
        <f t="shared" si="16"/>
        <v>PL20</v>
      </c>
      <c r="AY222" s="53" t="str">
        <f t="shared" si="17"/>
        <v/>
      </c>
      <c r="AZ222" s="53" t="s">
        <v>148</v>
      </c>
      <c r="BA222" s="53"/>
      <c r="BB222" s="53"/>
      <c r="BC222" s="53"/>
      <c r="BD222" s="53"/>
      <c r="BE222" s="83"/>
      <c r="BF222" s="53"/>
      <c r="BG222" s="53"/>
    </row>
    <row r="223" spans="3:59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67" t="e">
        <f>SUMIFS([1]Up!$J:$J,[1]Up!$D:$D,D223)</f>
        <v>#VALUE!</v>
      </c>
      <c r="AW223" s="82"/>
      <c r="AX223" s="82" t="str">
        <f t="shared" si="16"/>
        <v>PL20</v>
      </c>
      <c r="AY223" s="53" t="str">
        <f t="shared" si="17"/>
        <v/>
      </c>
      <c r="AZ223" s="53" t="s">
        <v>148</v>
      </c>
      <c r="BA223" s="53"/>
      <c r="BB223" s="53"/>
      <c r="BC223" s="53"/>
      <c r="BD223" s="53"/>
      <c r="BE223" s="83"/>
      <c r="BF223" s="53"/>
      <c r="BG223" s="53"/>
    </row>
    <row r="224" spans="3:59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67" t="e">
        <f>SUMIFS([1]Up!$J:$J,[1]Up!$D:$D,D224)</f>
        <v>#VALUE!</v>
      </c>
      <c r="AW224" s="82"/>
      <c r="AX224" s="82" t="str">
        <f t="shared" si="16"/>
        <v>PL12</v>
      </c>
      <c r="AY224" s="53" t="str">
        <f t="shared" si="17"/>
        <v/>
      </c>
      <c r="AZ224" s="53" t="s">
        <v>148</v>
      </c>
      <c r="BA224" s="53"/>
      <c r="BB224" s="53"/>
      <c r="BC224" s="53"/>
      <c r="BD224" s="53"/>
      <c r="BE224" s="83"/>
      <c r="BF224" s="53"/>
      <c r="BG224" s="53"/>
    </row>
    <row r="225" spans="3:59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4"/>
        <v>0</v>
      </c>
      <c r="M225" s="26">
        <f t="shared" si="15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67" t="e">
        <f>SUMIFS([1]Up!$J:$J,[1]Up!$D:$D,D225)</f>
        <v>#VALUE!</v>
      </c>
      <c r="AW225" s="82"/>
      <c r="AX225" s="82" t="str">
        <f t="shared" si="16"/>
        <v>PL12</v>
      </c>
      <c r="AY225" s="53" t="str">
        <f t="shared" si="17"/>
        <v/>
      </c>
      <c r="AZ225" s="53" t="s">
        <v>148</v>
      </c>
      <c r="BA225" s="53"/>
      <c r="BB225" s="53"/>
      <c r="BC225" s="53"/>
      <c r="BD225" s="53"/>
      <c r="BE225" s="83"/>
      <c r="BF225" s="53"/>
      <c r="BG225" s="53"/>
    </row>
    <row r="226" spans="3:59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67" t="e">
        <f>SUMIFS([1]Up!$J:$J,[1]Up!$D:$D,D226)</f>
        <v>#VALUE!</v>
      </c>
      <c r="AW226" s="82"/>
      <c r="AX226" s="82" t="str">
        <f t="shared" si="16"/>
        <v>PL12</v>
      </c>
      <c r="AY226" s="53" t="str">
        <f t="shared" si="17"/>
        <v/>
      </c>
      <c r="AZ226" s="53" t="s">
        <v>148</v>
      </c>
      <c r="BA226" s="53"/>
      <c r="BB226" s="53"/>
      <c r="BC226" s="53"/>
      <c r="BD226" s="53"/>
      <c r="BE226" s="83"/>
      <c r="BF226" s="53"/>
      <c r="BG226" s="53"/>
    </row>
    <row r="227" spans="3:59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67" t="e">
        <f>SUMIFS([1]Up!$J:$J,[1]Up!$D:$D,D227)</f>
        <v>#VALUE!</v>
      </c>
      <c r="AW227" s="82"/>
      <c r="AX227" s="82" t="str">
        <f t="shared" si="16"/>
        <v>PL12</v>
      </c>
      <c r="AY227" s="53" t="str">
        <f t="shared" si="17"/>
        <v/>
      </c>
      <c r="AZ227" s="53" t="s">
        <v>148</v>
      </c>
      <c r="BA227" s="53"/>
      <c r="BB227" s="53"/>
      <c r="BC227" s="53"/>
      <c r="BD227" s="53"/>
      <c r="BE227" s="83"/>
      <c r="BF227" s="53"/>
      <c r="BG227" s="53"/>
    </row>
    <row r="228" spans="3:59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4"/>
        <v>0</v>
      </c>
      <c r="M228" s="26">
        <f t="shared" si="15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67" t="e">
        <f>SUMIFS([1]Up!$J:$J,[1]Up!$D:$D,D228)</f>
        <v>#VALUE!</v>
      </c>
      <c r="AW228" s="82"/>
      <c r="AX228" s="82" t="str">
        <f t="shared" si="16"/>
        <v>PL12</v>
      </c>
      <c r="AY228" s="53" t="str">
        <f t="shared" si="17"/>
        <v/>
      </c>
      <c r="AZ228" s="53" t="s">
        <v>148</v>
      </c>
      <c r="BA228" s="53"/>
      <c r="BB228" s="53"/>
      <c r="BC228" s="53"/>
      <c r="BD228" s="53"/>
      <c r="BE228" s="83"/>
      <c r="BF228" s="53"/>
      <c r="BG228" s="53"/>
    </row>
    <row r="229" spans="3:59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4"/>
        <v>0</v>
      </c>
      <c r="M229" s="26">
        <f t="shared" si="15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67" t="e">
        <f>SUMIFS([1]Up!$J:$J,[1]Up!$D:$D,D229)</f>
        <v>#VALUE!</v>
      </c>
      <c r="AW229" s="82"/>
      <c r="AX229" s="82" t="str">
        <f t="shared" si="16"/>
        <v>PL12</v>
      </c>
      <c r="AY229" s="53" t="str">
        <f t="shared" si="17"/>
        <v/>
      </c>
      <c r="AZ229" s="53" t="s">
        <v>148</v>
      </c>
      <c r="BA229" s="53"/>
      <c r="BB229" s="53"/>
      <c r="BC229" s="53"/>
      <c r="BD229" s="53"/>
      <c r="BE229" s="83"/>
      <c r="BF229" s="53"/>
      <c r="BG229" s="53"/>
    </row>
    <row r="230" spans="3:59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67" t="e">
        <f>SUMIFS([1]Up!$J:$J,[1]Up!$D:$D,D230)</f>
        <v>#VALUE!</v>
      </c>
      <c r="AW230" s="82"/>
      <c r="AX230" s="82" t="str">
        <f t="shared" si="16"/>
        <v>PL12</v>
      </c>
      <c r="AY230" s="53" t="str">
        <f t="shared" si="17"/>
        <v/>
      </c>
      <c r="AZ230" s="53" t="s">
        <v>154</v>
      </c>
      <c r="BA230" s="53"/>
      <c r="BB230" s="53"/>
      <c r="BC230" s="53"/>
      <c r="BD230" s="53"/>
      <c r="BE230" s="83"/>
      <c r="BF230" s="53"/>
      <c r="BG230" s="53"/>
    </row>
    <row r="231" spans="3:59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4"/>
        <v>0</v>
      </c>
      <c r="M231" s="26">
        <f t="shared" si="15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67" t="e">
        <f>SUMIFS([1]Up!$J:$J,[1]Up!$D:$D,D231)</f>
        <v>#VALUE!</v>
      </c>
      <c r="AW231" s="82"/>
      <c r="AX231" s="82" t="str">
        <f t="shared" si="16"/>
        <v>PL12</v>
      </c>
      <c r="AY231" s="53" t="str">
        <f t="shared" si="17"/>
        <v/>
      </c>
      <c r="AZ231" s="53" t="s">
        <v>154</v>
      </c>
      <c r="BA231" s="53"/>
      <c r="BB231" s="53"/>
      <c r="BC231" s="53"/>
      <c r="BD231" s="53"/>
      <c r="BE231" s="83"/>
      <c r="BF231" s="53"/>
      <c r="BG231" s="53"/>
    </row>
    <row r="232" spans="3:59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67" t="e">
        <f>SUMIFS([1]Up!$J:$J,[1]Up!$D:$D,D232)</f>
        <v>#VALUE!</v>
      </c>
      <c r="AW232" s="82"/>
      <c r="AX232" s="82" t="str">
        <f t="shared" si="16"/>
        <v>PL30</v>
      </c>
      <c r="AY232" s="53" t="str">
        <f t="shared" si="17"/>
        <v/>
      </c>
      <c r="AZ232" s="53" t="s">
        <v>148</v>
      </c>
      <c r="BA232" s="53"/>
      <c r="BB232" s="53"/>
      <c r="BC232" s="53"/>
      <c r="BD232" s="53"/>
      <c r="BE232" s="83"/>
      <c r="BF232" s="53"/>
      <c r="BG232" s="53"/>
    </row>
    <row r="233" spans="3:59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67" t="e">
        <f>SUMIFS([1]Up!$J:$J,[1]Up!$D:$D,D233)</f>
        <v>#VALUE!</v>
      </c>
      <c r="AW233" s="82"/>
      <c r="AX233" s="82" t="str">
        <f t="shared" si="16"/>
        <v>PL20</v>
      </c>
      <c r="AY233" s="53" t="str">
        <f t="shared" si="17"/>
        <v/>
      </c>
      <c r="AZ233" s="53" t="s">
        <v>148</v>
      </c>
      <c r="BA233" s="53"/>
      <c r="BB233" s="53"/>
      <c r="BC233" s="53"/>
      <c r="BD233" s="53"/>
      <c r="BE233" s="83"/>
      <c r="BF233" s="53"/>
      <c r="BG233" s="53"/>
    </row>
    <row r="234" spans="3:59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4"/>
        <v>0</v>
      </c>
      <c r="M234" s="26">
        <f t="shared" si="15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67" t="e">
        <f>SUMIFS([1]Up!$J:$J,[1]Up!$D:$D,D234)</f>
        <v>#VALUE!</v>
      </c>
      <c r="AW234" s="82"/>
      <c r="AX234" s="82" t="str">
        <f t="shared" si="16"/>
        <v>PL3</v>
      </c>
      <c r="AY234" s="53" t="str">
        <f t="shared" si="17"/>
        <v/>
      </c>
      <c r="AZ234" s="53" t="s">
        <v>148</v>
      </c>
      <c r="BA234" s="53"/>
      <c r="BB234" s="53"/>
      <c r="BC234" s="53"/>
      <c r="BD234" s="53"/>
      <c r="BE234" s="83"/>
      <c r="BF234" s="53"/>
      <c r="BG234" s="53"/>
    </row>
    <row r="235" spans="3:59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4"/>
        <v>0</v>
      </c>
      <c r="M235" s="26">
        <f t="shared" si="15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67" t="e">
        <f>SUMIFS([1]Up!$J:$J,[1]Up!$D:$D,D235)</f>
        <v>#VALUE!</v>
      </c>
      <c r="AW235" s="82"/>
      <c r="AX235" s="82" t="str">
        <f t="shared" si="16"/>
        <v>PL20</v>
      </c>
      <c r="AY235" s="53" t="str">
        <f t="shared" si="17"/>
        <v/>
      </c>
      <c r="AZ235" s="53" t="s">
        <v>148</v>
      </c>
      <c r="BA235" s="53"/>
      <c r="BB235" s="53"/>
      <c r="BC235" s="53"/>
      <c r="BD235" s="53"/>
      <c r="BE235" s="83"/>
      <c r="BF235" s="53"/>
      <c r="BG235" s="53"/>
    </row>
    <row r="236" spans="3:59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4"/>
        <v>0</v>
      </c>
      <c r="M236" s="26">
        <f t="shared" si="15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67" t="e">
        <f>SUMIFS([1]Up!$J:$J,[1]Up!$D:$D,D236)</f>
        <v>#VALUE!</v>
      </c>
      <c r="AW236" s="82"/>
      <c r="AX236" s="82" t="str">
        <f t="shared" si="16"/>
        <v>PL20</v>
      </c>
      <c r="AY236" s="53" t="str">
        <f t="shared" si="17"/>
        <v/>
      </c>
      <c r="AZ236" s="53" t="s">
        <v>148</v>
      </c>
      <c r="BA236" s="53"/>
      <c r="BB236" s="53"/>
      <c r="BC236" s="53"/>
      <c r="BD236" s="53"/>
      <c r="BE236" s="83"/>
      <c r="BF236" s="53"/>
      <c r="BG236" s="53"/>
    </row>
    <row r="237" spans="3:59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4"/>
        <v>0</v>
      </c>
      <c r="M237" s="26">
        <f t="shared" si="15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67" t="e">
        <f>SUMIFS([1]Up!$J:$J,[1]Up!$D:$D,D237)</f>
        <v>#VALUE!</v>
      </c>
      <c r="AW237" s="82"/>
      <c r="AX237" s="82" t="str">
        <f t="shared" si="16"/>
        <v>PL20</v>
      </c>
      <c r="AY237" s="53" t="str">
        <f t="shared" si="17"/>
        <v/>
      </c>
      <c r="AZ237" s="53" t="s">
        <v>148</v>
      </c>
      <c r="BA237" s="53"/>
      <c r="BB237" s="53"/>
      <c r="BC237" s="53"/>
      <c r="BD237" s="53"/>
      <c r="BE237" s="83"/>
      <c r="BF237" s="53"/>
      <c r="BG237" s="53"/>
    </row>
    <row r="238" spans="3:59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4"/>
        <v>0</v>
      </c>
      <c r="M238" s="26">
        <f t="shared" si="15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67" t="e">
        <f>SUMIFS([1]Up!$J:$J,[1]Up!$D:$D,D238)</f>
        <v>#VALUE!</v>
      </c>
      <c r="AW238" s="82"/>
      <c r="AX238" s="82" t="str">
        <f t="shared" si="16"/>
        <v>PL20</v>
      </c>
      <c r="AY238" s="53" t="str">
        <f t="shared" si="17"/>
        <v/>
      </c>
      <c r="AZ238" s="53" t="s">
        <v>148</v>
      </c>
      <c r="BA238" s="53"/>
      <c r="BB238" s="53"/>
      <c r="BC238" s="53"/>
      <c r="BD238" s="53"/>
      <c r="BE238" s="83"/>
      <c r="BF238" s="53"/>
      <c r="BG238" s="53"/>
    </row>
    <row r="239" spans="3:59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4"/>
        <v>0</v>
      </c>
      <c r="M239" s="26">
        <f t="shared" si="15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67" t="e">
        <f>SUMIFS([1]Up!$J:$J,[1]Up!$D:$D,D239)</f>
        <v>#VALUE!</v>
      </c>
      <c r="AW239" s="82"/>
      <c r="AX239" s="82" t="str">
        <f t="shared" si="16"/>
        <v>PL20</v>
      </c>
      <c r="AY239" s="53" t="str">
        <f t="shared" si="17"/>
        <v/>
      </c>
      <c r="AZ239" s="53" t="s">
        <v>148</v>
      </c>
      <c r="BA239" s="53"/>
      <c r="BB239" s="53"/>
      <c r="BC239" s="53"/>
      <c r="BD239" s="53"/>
      <c r="BE239" s="83"/>
      <c r="BF239" s="53"/>
      <c r="BG239" s="53"/>
    </row>
    <row r="240" spans="3:59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4"/>
        <v>0</v>
      </c>
      <c r="M240" s="26">
        <f t="shared" si="1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67" t="e">
        <f>SUMIFS([1]Up!$J:$J,[1]Up!$D:$D,D240)</f>
        <v>#VALUE!</v>
      </c>
      <c r="AW240" s="82"/>
      <c r="AX240" s="82" t="str">
        <f t="shared" si="16"/>
        <v>PL20</v>
      </c>
      <c r="AY240" s="53" t="str">
        <f t="shared" si="17"/>
        <v/>
      </c>
      <c r="AZ240" s="53" t="s">
        <v>148</v>
      </c>
      <c r="BA240" s="53"/>
      <c r="BB240" s="53"/>
      <c r="BC240" s="53"/>
      <c r="BD240" s="53"/>
      <c r="BE240" s="83"/>
      <c r="BF240" s="53"/>
      <c r="BG240" s="53"/>
    </row>
    <row r="241" spans="3:59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4"/>
        <v>1</v>
      </c>
      <c r="M241" s="26">
        <f t="shared" si="15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26"/>
      <c r="AT241" s="26"/>
      <c r="AU241" s="26"/>
      <c r="AV241" s="67" t="e">
        <f>SUMIFS([1]Up!$J:$J,[1]Up!$D:$D,D241)</f>
        <v>#VALUE!</v>
      </c>
      <c r="AW241" s="82"/>
      <c r="AX241" s="82" t="str">
        <f t="shared" si="16"/>
        <v>PL20</v>
      </c>
      <c r="AY241" s="53" t="str">
        <f t="shared" si="17"/>
        <v/>
      </c>
      <c r="AZ241" s="53" t="s">
        <v>148</v>
      </c>
      <c r="BA241" s="53"/>
      <c r="BB241" s="53"/>
      <c r="BC241" s="53"/>
      <c r="BD241" s="53"/>
      <c r="BE241" s="83"/>
      <c r="BF241" s="53"/>
      <c r="BG241" s="53"/>
    </row>
    <row r="242" spans="3:59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4"/>
        <v>0</v>
      </c>
      <c r="M242" s="26">
        <f t="shared" si="15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67" t="e">
        <f>SUMIFS([1]Up!$J:$J,[1]Up!$D:$D,D242)</f>
        <v>#VALUE!</v>
      </c>
      <c r="AW242" s="82"/>
      <c r="AX242" s="82" t="str">
        <f t="shared" si="16"/>
        <v>PL20</v>
      </c>
      <c r="AY242" s="53" t="str">
        <f t="shared" si="17"/>
        <v/>
      </c>
      <c r="AZ242" s="53" t="s">
        <v>148</v>
      </c>
      <c r="BA242" s="53"/>
      <c r="BB242" s="53"/>
      <c r="BC242" s="53"/>
      <c r="BD242" s="53"/>
      <c r="BE242" s="83"/>
      <c r="BF242" s="53"/>
      <c r="BG242" s="53"/>
    </row>
    <row r="243" spans="3:59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4"/>
        <v>0</v>
      </c>
      <c r="M243" s="26">
        <f t="shared" si="15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67" t="e">
        <f>SUMIFS([1]Up!$J:$J,[1]Up!$D:$D,D243)</f>
        <v>#VALUE!</v>
      </c>
      <c r="AW243" s="82"/>
      <c r="AX243" s="82" t="str">
        <f t="shared" si="16"/>
        <v>PL20</v>
      </c>
      <c r="AY243" s="53" t="str">
        <f t="shared" si="17"/>
        <v/>
      </c>
      <c r="AZ243" s="53" t="s">
        <v>148</v>
      </c>
      <c r="BA243" s="53"/>
      <c r="BB243" s="53"/>
      <c r="BC243" s="53"/>
      <c r="BD243" s="53"/>
      <c r="BE243" s="83"/>
      <c r="BF243" s="53"/>
      <c r="BG243" s="53"/>
    </row>
    <row r="244" spans="3:59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67" t="e">
        <f>SUMIFS([1]Up!$J:$J,[1]Up!$D:$D,D244)</f>
        <v>#VALUE!</v>
      </c>
      <c r="AW244" s="82"/>
      <c r="AX244" s="82" t="str">
        <f t="shared" si="16"/>
        <v>PL20</v>
      </c>
      <c r="AY244" s="53" t="str">
        <f t="shared" si="17"/>
        <v/>
      </c>
      <c r="AZ244" s="53" t="s">
        <v>148</v>
      </c>
      <c r="BA244" s="53"/>
      <c r="BB244" s="53"/>
      <c r="BC244" s="53"/>
      <c r="BD244" s="53"/>
      <c r="BE244" s="83"/>
      <c r="BF244" s="53"/>
      <c r="BG244" s="53"/>
    </row>
    <row r="245" spans="3:59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67" t="e">
        <f>SUMIFS([1]Up!$J:$J,[1]Up!$D:$D,D245)</f>
        <v>#VALUE!</v>
      </c>
      <c r="AW245" s="82"/>
      <c r="AX245" s="82" t="str">
        <f t="shared" si="16"/>
        <v>PL5</v>
      </c>
      <c r="AY245" s="53" t="str">
        <f t="shared" si="17"/>
        <v/>
      </c>
      <c r="AZ245" s="53" t="s">
        <v>148</v>
      </c>
      <c r="BA245" s="53"/>
      <c r="BB245" s="53"/>
      <c r="BC245" s="53"/>
      <c r="BD245" s="53"/>
      <c r="BE245" s="83"/>
      <c r="BF245" s="53"/>
      <c r="BG245" s="53"/>
    </row>
    <row r="246" spans="3:59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67" t="e">
        <f>SUMIFS([1]Up!$J:$J,[1]Up!$D:$D,D246)</f>
        <v>#VALUE!</v>
      </c>
      <c r="AW246" s="82"/>
      <c r="AX246" s="82" t="str">
        <f t="shared" si="16"/>
        <v>PL20</v>
      </c>
      <c r="AY246" s="53" t="str">
        <f t="shared" si="17"/>
        <v/>
      </c>
      <c r="AZ246" s="53" t="s">
        <v>148</v>
      </c>
      <c r="BA246" s="53"/>
      <c r="BB246" s="53"/>
      <c r="BC246" s="53"/>
      <c r="BD246" s="53"/>
      <c r="BE246" s="83"/>
      <c r="BF246" s="53"/>
      <c r="BG246" s="53"/>
    </row>
    <row r="247" spans="3:59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67" t="e">
        <f>SUMIFS([1]Up!$J:$J,[1]Up!$D:$D,D247)</f>
        <v>#VALUE!</v>
      </c>
      <c r="AW247" s="82"/>
      <c r="AX247" s="82" t="str">
        <f t="shared" si="16"/>
        <v>PL20</v>
      </c>
      <c r="AY247" s="53" t="str">
        <f t="shared" si="17"/>
        <v/>
      </c>
      <c r="AZ247" s="53" t="s">
        <v>148</v>
      </c>
      <c r="BA247" s="53"/>
      <c r="BB247" s="53"/>
      <c r="BC247" s="53"/>
      <c r="BD247" s="53"/>
      <c r="BE247" s="83"/>
      <c r="BF247" s="53"/>
      <c r="BG247" s="53"/>
    </row>
    <row r="248" spans="3:59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4"/>
        <v>0</v>
      </c>
      <c r="M248" s="26">
        <f t="shared" si="15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67" t="e">
        <f>SUMIFS([1]Up!$J:$J,[1]Up!$D:$D,D248)</f>
        <v>#VALUE!</v>
      </c>
      <c r="AW248" s="82"/>
      <c r="AX248" s="82" t="str">
        <f t="shared" si="16"/>
        <v>PL20</v>
      </c>
      <c r="AY248" s="53" t="str">
        <f t="shared" si="17"/>
        <v/>
      </c>
      <c r="AZ248" s="53" t="s">
        <v>148</v>
      </c>
      <c r="BA248" s="53"/>
      <c r="BB248" s="53"/>
      <c r="BC248" s="53"/>
      <c r="BD248" s="53"/>
      <c r="BE248" s="83"/>
      <c r="BF248" s="53"/>
      <c r="BG248" s="53"/>
    </row>
    <row r="249" spans="3:59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4"/>
        <v>2</v>
      </c>
      <c r="M249" s="26">
        <f t="shared" si="15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26"/>
      <c r="AT249" s="26"/>
      <c r="AU249" s="26"/>
      <c r="AV249" s="67" t="e">
        <f>SUMIFS([1]Up!$J:$J,[1]Up!$D:$D,D249)</f>
        <v>#VALUE!</v>
      </c>
      <c r="AW249" s="82"/>
      <c r="AX249" s="82" t="str">
        <f t="shared" si="16"/>
        <v>PL20</v>
      </c>
      <c r="AY249" s="53" t="str">
        <f t="shared" si="17"/>
        <v/>
      </c>
      <c r="AZ249" s="53" t="s">
        <v>148</v>
      </c>
      <c r="BA249" s="53"/>
      <c r="BB249" s="53"/>
      <c r="BC249" s="53"/>
      <c r="BD249" s="53"/>
      <c r="BE249" s="83"/>
      <c r="BF249" s="53"/>
      <c r="BG249" s="53"/>
    </row>
    <row r="250" spans="3:59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4"/>
        <v>1</v>
      </c>
      <c r="M250" s="26">
        <f t="shared" si="15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67" t="e">
        <f>SUMIFS([1]Up!$J:$J,[1]Up!$D:$D,D250)</f>
        <v>#VALUE!</v>
      </c>
      <c r="AW250" s="82" t="s">
        <v>2235</v>
      </c>
      <c r="AX250" s="82" t="e">
        <f t="shared" si="16"/>
        <v>#VALUE!</v>
      </c>
      <c r="AY250" s="53" t="str">
        <f t="shared" si="17"/>
        <v>Thừa 3</v>
      </c>
      <c r="AZ250" s="53" t="s">
        <v>154</v>
      </c>
      <c r="BA250" s="53"/>
      <c r="BB250" s="53"/>
      <c r="BC250" s="53" t="s">
        <v>57</v>
      </c>
      <c r="BD250" s="53">
        <v>1</v>
      </c>
      <c r="BE250" s="83"/>
      <c r="BF250" s="53"/>
      <c r="BG250" s="53"/>
    </row>
    <row r="251" spans="3:59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4"/>
        <v>1</v>
      </c>
      <c r="M251" s="26">
        <f t="shared" si="15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26"/>
      <c r="AT251" s="26"/>
      <c r="AU251" s="26"/>
      <c r="AV251" s="67" t="e">
        <f>SUMIFS([1]Up!$J:$J,[1]Up!$D:$D,D251)</f>
        <v>#VALUE!</v>
      </c>
      <c r="AW251" s="82"/>
      <c r="AX251" s="82" t="str">
        <f t="shared" si="16"/>
        <v>PL10</v>
      </c>
      <c r="AY251" s="53" t="str">
        <f t="shared" si="17"/>
        <v/>
      </c>
      <c r="AZ251" s="53" t="s">
        <v>154</v>
      </c>
      <c r="BA251" s="84" t="s">
        <v>210</v>
      </c>
      <c r="BB251" s="53"/>
      <c r="BC251" s="53" t="s">
        <v>211</v>
      </c>
      <c r="BD251" s="53">
        <v>1</v>
      </c>
      <c r="BE251" s="83">
        <v>46201</v>
      </c>
      <c r="BF251" s="53"/>
      <c r="BG251" s="53"/>
    </row>
    <row r="252" spans="3:59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4"/>
        <v>2</v>
      </c>
      <c r="M252" s="26">
        <f t="shared" si="15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67" t="e">
        <f>SUMIFS([1]Up!$J:$J,[1]Up!$D:$D,D252)</f>
        <v>#VALUE!</v>
      </c>
      <c r="AW252" s="82" t="s">
        <v>2072</v>
      </c>
      <c r="AX252" s="82" t="str">
        <f t="shared" si="16"/>
        <v>PL10</v>
      </c>
      <c r="AY252" s="53" t="str">
        <f t="shared" si="17"/>
        <v>Thừa 6</v>
      </c>
      <c r="AZ252" s="53" t="s">
        <v>148</v>
      </c>
      <c r="BA252" s="53"/>
      <c r="BB252" s="53"/>
      <c r="BC252" s="53" t="s">
        <v>57</v>
      </c>
      <c r="BD252" s="53">
        <v>2</v>
      </c>
      <c r="BE252" s="83"/>
      <c r="BF252" s="53"/>
      <c r="BG252" s="53"/>
    </row>
    <row r="253" spans="3:59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4"/>
        <v>2</v>
      </c>
      <c r="M253" s="26">
        <f t="shared" si="1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26"/>
      <c r="AT253" s="26"/>
      <c r="AU253" s="26"/>
      <c r="AV253" s="67" t="e">
        <f>SUMIFS([1]Up!$J:$J,[1]Up!$D:$D,D253)</f>
        <v>#VALUE!</v>
      </c>
      <c r="AW253" s="82"/>
      <c r="AX253" s="82" t="str">
        <f t="shared" si="16"/>
        <v>PL10</v>
      </c>
      <c r="AY253" s="53" t="str">
        <f t="shared" si="17"/>
        <v/>
      </c>
      <c r="AZ253" s="53" t="s">
        <v>154</v>
      </c>
      <c r="BA253" s="84" t="s">
        <v>210</v>
      </c>
      <c r="BB253" s="53"/>
      <c r="BC253" s="53" t="s">
        <v>211</v>
      </c>
      <c r="BD253" s="53">
        <v>2</v>
      </c>
      <c r="BE253" s="83">
        <v>46201</v>
      </c>
      <c r="BF253" s="53"/>
      <c r="BG253" s="53"/>
    </row>
    <row r="254" spans="3:59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4"/>
        <v>2</v>
      </c>
      <c r="M254" s="26">
        <f t="shared" si="1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26"/>
      <c r="AT254" s="26"/>
      <c r="AU254" s="26"/>
      <c r="AV254" s="67" t="e">
        <f>SUMIFS([1]Up!$J:$J,[1]Up!$D:$D,D254)</f>
        <v>#VALUE!</v>
      </c>
      <c r="AW254" s="82"/>
      <c r="AX254" s="82" t="str">
        <f t="shared" si="16"/>
        <v>PL10</v>
      </c>
      <c r="AY254" s="53" t="str">
        <f t="shared" si="17"/>
        <v/>
      </c>
      <c r="AZ254" s="53" t="s">
        <v>154</v>
      </c>
      <c r="BA254" s="84" t="s">
        <v>210</v>
      </c>
      <c r="BB254" s="53"/>
      <c r="BC254" s="53" t="s">
        <v>211</v>
      </c>
      <c r="BD254" s="53">
        <v>2</v>
      </c>
      <c r="BE254" s="83">
        <v>46201</v>
      </c>
      <c r="BF254" s="53"/>
      <c r="BG254" s="53"/>
    </row>
    <row r="255" spans="3:59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4"/>
        <v>2</v>
      </c>
      <c r="M255" s="26">
        <f t="shared" si="1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26"/>
      <c r="AT255" s="26"/>
      <c r="AU255" s="26"/>
      <c r="AV255" s="67" t="e">
        <f>SUMIFS([1]Up!$J:$J,[1]Up!$D:$D,D255)</f>
        <v>#VALUE!</v>
      </c>
      <c r="AW255" s="82"/>
      <c r="AX255" s="82" t="str">
        <f t="shared" si="16"/>
        <v>PL10</v>
      </c>
      <c r="AY255" s="53" t="str">
        <f t="shared" si="17"/>
        <v/>
      </c>
      <c r="AZ255" s="53" t="s">
        <v>154</v>
      </c>
      <c r="BA255" s="84" t="s">
        <v>210</v>
      </c>
      <c r="BB255" s="53"/>
      <c r="BC255" s="53" t="s">
        <v>211</v>
      </c>
      <c r="BD255" s="53">
        <v>2</v>
      </c>
      <c r="BE255" s="83">
        <v>46201</v>
      </c>
      <c r="BF255" s="53"/>
      <c r="BG255" s="53"/>
    </row>
    <row r="256" spans="3:59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4"/>
        <v>2</v>
      </c>
      <c r="M256" s="26">
        <f t="shared" si="15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26"/>
      <c r="AT256" s="26"/>
      <c r="AU256" s="26"/>
      <c r="AV256" s="67" t="e">
        <f>SUMIFS([1]Up!$J:$J,[1]Up!$D:$D,D256)</f>
        <v>#VALUE!</v>
      </c>
      <c r="AW256" s="82"/>
      <c r="AX256" s="82" t="str">
        <f t="shared" si="16"/>
        <v>PL10</v>
      </c>
      <c r="AY256" s="53" t="str">
        <f t="shared" si="17"/>
        <v/>
      </c>
      <c r="AZ256" s="53" t="s">
        <v>154</v>
      </c>
      <c r="BA256" s="84" t="s">
        <v>210</v>
      </c>
      <c r="BB256" s="53"/>
      <c r="BC256" s="53" t="s">
        <v>211</v>
      </c>
      <c r="BD256" s="53">
        <v>2</v>
      </c>
      <c r="BE256" s="83">
        <v>46201</v>
      </c>
      <c r="BF256" s="53"/>
      <c r="BG256" s="53"/>
    </row>
    <row r="257" spans="3:59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4"/>
        <v>2</v>
      </c>
      <c r="M257" s="26">
        <f t="shared" si="15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26"/>
      <c r="AT257" s="26"/>
      <c r="AU257" s="26"/>
      <c r="AV257" s="67" t="e">
        <f>SUMIFS([1]Up!$J:$J,[1]Up!$D:$D,D257)</f>
        <v>#VALUE!</v>
      </c>
      <c r="AW257" s="82"/>
      <c r="AX257" s="82" t="str">
        <f t="shared" si="16"/>
        <v>PL10</v>
      </c>
      <c r="AY257" s="53" t="str">
        <f t="shared" si="17"/>
        <v/>
      </c>
      <c r="AZ257" s="53" t="s">
        <v>154</v>
      </c>
      <c r="BA257" s="84" t="s">
        <v>210</v>
      </c>
      <c r="BB257" s="53"/>
      <c r="BC257" s="53" t="s">
        <v>211</v>
      </c>
      <c r="BD257" s="53">
        <v>2</v>
      </c>
      <c r="BE257" s="83">
        <v>46201</v>
      </c>
      <c r="BF257" s="53"/>
      <c r="BG257" s="53"/>
    </row>
    <row r="258" spans="3:59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4"/>
        <v>2</v>
      </c>
      <c r="M258" s="26">
        <f t="shared" si="15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26"/>
      <c r="AT258" s="26"/>
      <c r="AU258" s="26"/>
      <c r="AV258" s="67" t="e">
        <f>SUMIFS([1]Up!$J:$J,[1]Up!$D:$D,D258)</f>
        <v>#VALUE!</v>
      </c>
      <c r="AW258" s="82"/>
      <c r="AX258" s="82" t="str">
        <f t="shared" si="16"/>
        <v>PL10</v>
      </c>
      <c r="AY258" s="53" t="str">
        <f t="shared" si="17"/>
        <v/>
      </c>
      <c r="AZ258" s="53" t="s">
        <v>154</v>
      </c>
      <c r="BA258" s="84" t="s">
        <v>210</v>
      </c>
      <c r="BB258" s="53"/>
      <c r="BC258" s="53" t="s">
        <v>211</v>
      </c>
      <c r="BD258" s="53">
        <v>2</v>
      </c>
      <c r="BE258" s="83">
        <v>46201</v>
      </c>
      <c r="BF258" s="53"/>
      <c r="BG258" s="53"/>
    </row>
    <row r="259" spans="3:59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4"/>
        <v>2</v>
      </c>
      <c r="M259" s="26">
        <f t="shared" si="1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26"/>
      <c r="AT259" s="26"/>
      <c r="AU259" s="26"/>
      <c r="AV259" s="67" t="e">
        <f>SUMIFS([1]Up!$J:$J,[1]Up!$D:$D,D259)</f>
        <v>#VALUE!</v>
      </c>
      <c r="AW259" s="82"/>
      <c r="AX259" s="82" t="str">
        <f t="shared" si="16"/>
        <v>PL10</v>
      </c>
      <c r="AY259" s="53" t="str">
        <f t="shared" si="17"/>
        <v/>
      </c>
      <c r="AZ259" s="53" t="s">
        <v>154</v>
      </c>
      <c r="BA259" s="84" t="s">
        <v>210</v>
      </c>
      <c r="BB259" s="53"/>
      <c r="BC259" s="53" t="s">
        <v>211</v>
      </c>
      <c r="BD259" s="53">
        <v>2</v>
      </c>
      <c r="BE259" s="83">
        <v>46201</v>
      </c>
      <c r="BF259" s="53"/>
      <c r="BG259" s="53"/>
    </row>
    <row r="260" spans="3:59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4"/>
        <v>2</v>
      </c>
      <c r="M260" s="26">
        <f t="shared" si="1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26"/>
      <c r="AT260" s="26"/>
      <c r="AU260" s="26"/>
      <c r="AV260" s="67" t="e">
        <f>SUMIFS([1]Up!$J:$J,[1]Up!$D:$D,D260)</f>
        <v>#VALUE!</v>
      </c>
      <c r="AW260" s="82"/>
      <c r="AX260" s="82" t="str">
        <f t="shared" si="16"/>
        <v>PL10</v>
      </c>
      <c r="AY260" s="53" t="str">
        <f t="shared" si="17"/>
        <v/>
      </c>
      <c r="AZ260" s="53" t="s">
        <v>154</v>
      </c>
      <c r="BA260" s="84" t="s">
        <v>210</v>
      </c>
      <c r="BB260" s="53"/>
      <c r="BC260" s="53" t="s">
        <v>211</v>
      </c>
      <c r="BD260" s="53">
        <v>2</v>
      </c>
      <c r="BE260" s="83">
        <v>46201</v>
      </c>
      <c r="BF260" s="53"/>
      <c r="BG260" s="53"/>
    </row>
    <row r="261" spans="3:59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4"/>
        <v>2</v>
      </c>
      <c r="M261" s="26">
        <f t="shared" si="1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26"/>
      <c r="AT261" s="26"/>
      <c r="AU261" s="26"/>
      <c r="AV261" s="67" t="e">
        <f>SUMIFS([1]Up!$J:$J,[1]Up!$D:$D,D261)</f>
        <v>#VALUE!</v>
      </c>
      <c r="AW261" s="82"/>
      <c r="AX261" s="82" t="str">
        <f t="shared" si="16"/>
        <v>PL10</v>
      </c>
      <c r="AY261" s="53" t="str">
        <f t="shared" si="17"/>
        <v/>
      </c>
      <c r="AZ261" s="53" t="s">
        <v>154</v>
      </c>
      <c r="BA261" s="84" t="s">
        <v>210</v>
      </c>
      <c r="BB261" s="53"/>
      <c r="BC261" s="53" t="s">
        <v>211</v>
      </c>
      <c r="BD261" s="53">
        <v>2</v>
      </c>
      <c r="BE261" s="83">
        <v>46201</v>
      </c>
      <c r="BF261" s="53"/>
      <c r="BG261" s="53"/>
    </row>
    <row r="262" spans="3:59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4"/>
        <v>2</v>
      </c>
      <c r="M262" s="26">
        <f t="shared" si="1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26"/>
      <c r="AT262" s="26"/>
      <c r="AU262" s="26"/>
      <c r="AV262" s="67" t="e">
        <f>SUMIFS([1]Up!$J:$J,[1]Up!$D:$D,D262)</f>
        <v>#VALUE!</v>
      </c>
      <c r="AW262" s="82"/>
      <c r="AX262" s="82" t="str">
        <f t="shared" si="16"/>
        <v>PL10</v>
      </c>
      <c r="AY262" s="53" t="str">
        <f t="shared" si="17"/>
        <v/>
      </c>
      <c r="AZ262" s="53" t="s">
        <v>154</v>
      </c>
      <c r="BA262" s="84" t="s">
        <v>210</v>
      </c>
      <c r="BB262" s="53"/>
      <c r="BC262" s="53" t="s">
        <v>211</v>
      </c>
      <c r="BD262" s="53">
        <v>2</v>
      </c>
      <c r="BE262" s="83">
        <v>46201</v>
      </c>
      <c r="BF262" s="53"/>
      <c r="BG262" s="53"/>
    </row>
    <row r="263" spans="3:59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4"/>
        <v>2</v>
      </c>
      <c r="M263" s="26">
        <f t="shared" si="1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26"/>
      <c r="AT263" s="26"/>
      <c r="AU263" s="26"/>
      <c r="AV263" s="67" t="e">
        <f>SUMIFS([1]Up!$J:$J,[1]Up!$D:$D,D263)</f>
        <v>#VALUE!</v>
      </c>
      <c r="AW263" s="82"/>
      <c r="AX263" s="82" t="str">
        <f t="shared" si="16"/>
        <v>PL10</v>
      </c>
      <c r="AY263" s="53" t="str">
        <f t="shared" si="17"/>
        <v/>
      </c>
      <c r="AZ263" s="53" t="s">
        <v>154</v>
      </c>
      <c r="BA263" s="84" t="s">
        <v>210</v>
      </c>
      <c r="BB263" s="53"/>
      <c r="BC263" s="53" t="s">
        <v>211</v>
      </c>
      <c r="BD263" s="53">
        <v>2</v>
      </c>
      <c r="BE263" s="83">
        <v>46201</v>
      </c>
      <c r="BF263" s="53"/>
      <c r="BG263" s="53"/>
    </row>
    <row r="264" spans="3:59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4"/>
        <v>1</v>
      </c>
      <c r="M264" s="26">
        <f t="shared" si="1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67" t="e">
        <f>SUMIFS([1]Up!$J:$J,[1]Up!$D:$D,D264)</f>
        <v>#VALUE!</v>
      </c>
      <c r="AW264" s="82" t="s">
        <v>2240</v>
      </c>
      <c r="AX264" s="82" t="e">
        <f t="shared" si="16"/>
        <v>#VALUE!</v>
      </c>
      <c r="AY264" s="53" t="str">
        <f t="shared" si="17"/>
        <v>Thừa 3</v>
      </c>
      <c r="AZ264" s="53" t="s">
        <v>154</v>
      </c>
      <c r="BA264" s="53"/>
      <c r="BB264" s="53"/>
      <c r="BC264" s="53" t="s">
        <v>57</v>
      </c>
      <c r="BD264" s="53">
        <v>1</v>
      </c>
      <c r="BE264" s="83"/>
      <c r="BF264" s="53"/>
      <c r="BG264" s="53"/>
    </row>
    <row r="265" spans="3:59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4"/>
        <v>1</v>
      </c>
      <c r="M265" s="26">
        <f t="shared" si="15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67" t="e">
        <f>SUMIFS([1]Up!$J:$J,[1]Up!$D:$D,D265)</f>
        <v>#VALUE!</v>
      </c>
      <c r="AW265" s="82"/>
      <c r="AX265" s="82" t="str">
        <f t="shared" si="16"/>
        <v>PL10</v>
      </c>
      <c r="AY265" s="53" t="str">
        <f t="shared" si="17"/>
        <v/>
      </c>
      <c r="AZ265" s="53" t="s">
        <v>148</v>
      </c>
      <c r="BA265" s="84" t="s">
        <v>210</v>
      </c>
      <c r="BB265" s="53"/>
      <c r="BC265" s="53" t="s">
        <v>211</v>
      </c>
      <c r="BD265" s="53">
        <v>1</v>
      </c>
      <c r="BE265" s="83">
        <v>46201</v>
      </c>
      <c r="BF265" s="53"/>
      <c r="BG265" s="53"/>
    </row>
    <row r="266" spans="3:59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4"/>
        <v>1</v>
      </c>
      <c r="M266" s="26">
        <f t="shared" si="15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67" t="e">
        <f>SUMIFS([1]Up!$J:$J,[1]Up!$D:$D,D266)</f>
        <v>#VALUE!</v>
      </c>
      <c r="AW266" s="82" t="s">
        <v>2077</v>
      </c>
      <c r="AX266" s="82" t="str">
        <f t="shared" si="16"/>
        <v>PL15</v>
      </c>
      <c r="AY266" s="53" t="str">
        <f t="shared" si="17"/>
        <v>Thừa 2</v>
      </c>
      <c r="AZ266" s="53" t="s">
        <v>148</v>
      </c>
      <c r="BA266" s="53"/>
      <c r="BB266" s="53"/>
      <c r="BC266" s="53" t="s">
        <v>57</v>
      </c>
      <c r="BD266" s="53">
        <v>1</v>
      </c>
      <c r="BE266" s="83"/>
      <c r="BF266" s="53"/>
      <c r="BG266" s="53"/>
    </row>
    <row r="267" spans="3:59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4"/>
        <v>1</v>
      </c>
      <c r="M267" s="26">
        <f t="shared" si="15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67" t="e">
        <f>SUMIFS([1]Up!$J:$J,[1]Up!$D:$D,D267)</f>
        <v>#VALUE!</v>
      </c>
      <c r="AW267" s="82" t="s">
        <v>2071</v>
      </c>
      <c r="AX267" s="82" t="str">
        <f t="shared" si="16"/>
        <v>PL15</v>
      </c>
      <c r="AY267" s="53" t="str">
        <f t="shared" si="17"/>
        <v>Thừa 2</v>
      </c>
      <c r="AZ267" s="53" t="s">
        <v>148</v>
      </c>
      <c r="BA267" s="53"/>
      <c r="BB267" s="53"/>
      <c r="BC267" s="53" t="s">
        <v>57</v>
      </c>
      <c r="BD267" s="53">
        <v>1</v>
      </c>
      <c r="BE267" s="83"/>
      <c r="BF267" s="53"/>
      <c r="BG267" s="53"/>
    </row>
    <row r="268" spans="3:59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4"/>
        <v>2</v>
      </c>
      <c r="M268" s="26">
        <f t="shared" si="1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67" t="e">
        <f>SUMIFS([1]Up!$J:$J,[1]Up!$D:$D,D268)</f>
        <v>#VALUE!</v>
      </c>
      <c r="AW268" s="82"/>
      <c r="AX268" s="82" t="str">
        <f t="shared" si="16"/>
        <v>PL15</v>
      </c>
      <c r="AY268" s="53" t="str">
        <f t="shared" si="17"/>
        <v/>
      </c>
      <c r="AZ268" s="53" t="s">
        <v>148</v>
      </c>
      <c r="BA268" s="84" t="s">
        <v>200</v>
      </c>
      <c r="BB268" s="53"/>
      <c r="BC268" s="53" t="s">
        <v>201</v>
      </c>
      <c r="BD268" s="53">
        <v>2</v>
      </c>
      <c r="BE268" s="83">
        <v>46201</v>
      </c>
      <c r="BF268" s="53"/>
      <c r="BG268" s="53"/>
    </row>
    <row r="269" spans="3:59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4"/>
        <v>2</v>
      </c>
      <c r="M269" s="26">
        <f t="shared" si="1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67" t="e">
        <f>SUMIFS([1]Up!$J:$J,[1]Up!$D:$D,D269)</f>
        <v>#VALUE!</v>
      </c>
      <c r="AW269" s="82"/>
      <c r="AX269" s="82" t="str">
        <f t="shared" si="16"/>
        <v>PL15</v>
      </c>
      <c r="AY269" s="53" t="str">
        <f t="shared" si="17"/>
        <v/>
      </c>
      <c r="AZ269" s="53" t="s">
        <v>148</v>
      </c>
      <c r="BA269" s="84" t="s">
        <v>200</v>
      </c>
      <c r="BB269" s="53"/>
      <c r="BC269" s="53" t="s">
        <v>201</v>
      </c>
      <c r="BD269" s="53">
        <v>2</v>
      </c>
      <c r="BE269" s="83">
        <v>46201</v>
      </c>
      <c r="BF269" s="53"/>
      <c r="BG269" s="53"/>
    </row>
    <row r="270" spans="3:59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8">MIN(SUM(N270:AU270),I270)</f>
        <v>1</v>
      </c>
      <c r="M270" s="26">
        <f t="shared" ref="M270:M325" si="19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67" t="e">
        <f>SUMIFS([1]Up!$J:$J,[1]Up!$D:$D,D270)</f>
        <v>#VALUE!</v>
      </c>
      <c r="AW270" s="82"/>
      <c r="AX270" s="82" t="str">
        <f t="shared" ref="AX270:AX325" si="20">IFERROR(IF(C270="Plate",LEFT(E270,FIND("*",E270,1)-1),""),IF(C270="Plate",LEFT(E270,FIND("x",E270,1)-1),""))</f>
        <v>PL15</v>
      </c>
      <c r="AY270" s="53" t="str">
        <f t="shared" ref="AY270:AY325" si="21">IF(ROUND(SUM(N270:AU270)-I270,0)&gt;0,"Thừa "&amp;SUM(N270:AU270)-I270,"")</f>
        <v/>
      </c>
      <c r="AZ270" s="53" t="s">
        <v>148</v>
      </c>
      <c r="BA270" s="84" t="s">
        <v>200</v>
      </c>
      <c r="BB270" s="53"/>
      <c r="BC270" s="53" t="s">
        <v>201</v>
      </c>
      <c r="BD270" s="53">
        <v>1</v>
      </c>
      <c r="BE270" s="83">
        <v>46201</v>
      </c>
      <c r="BF270" s="53"/>
      <c r="BG270" s="53"/>
    </row>
    <row r="271" spans="3:59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8"/>
        <v>1</v>
      </c>
      <c r="M271" s="26">
        <f t="shared" si="19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67" t="e">
        <f>SUMIFS([1]Up!$J:$J,[1]Up!$D:$D,D271)</f>
        <v>#VALUE!</v>
      </c>
      <c r="AW271" s="82"/>
      <c r="AX271" s="82" t="str">
        <f t="shared" si="20"/>
        <v>PL15</v>
      </c>
      <c r="AY271" s="53" t="str">
        <f t="shared" si="21"/>
        <v/>
      </c>
      <c r="AZ271" s="53" t="s">
        <v>148</v>
      </c>
      <c r="BA271" s="84" t="s">
        <v>200</v>
      </c>
      <c r="BB271" s="53"/>
      <c r="BC271" s="53" t="s">
        <v>201</v>
      </c>
      <c r="BD271" s="53">
        <v>1</v>
      </c>
      <c r="BE271" s="83">
        <v>46201</v>
      </c>
      <c r="BF271" s="53"/>
      <c r="BG271" s="53"/>
    </row>
    <row r="272" spans="3:59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8"/>
        <v>1</v>
      </c>
      <c r="M272" s="26">
        <f t="shared" si="19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67" t="e">
        <f>SUMIFS([1]Up!$J:$J,[1]Up!$D:$D,D272)</f>
        <v>#VALUE!</v>
      </c>
      <c r="AW272" s="82"/>
      <c r="AX272" s="82" t="str">
        <f t="shared" si="20"/>
        <v>PL15</v>
      </c>
      <c r="AY272" s="53" t="str">
        <f t="shared" si="21"/>
        <v/>
      </c>
      <c r="AZ272" s="53" t="s">
        <v>148</v>
      </c>
      <c r="BA272" s="84" t="s">
        <v>200</v>
      </c>
      <c r="BB272" s="53"/>
      <c r="BC272" s="53" t="s">
        <v>201</v>
      </c>
      <c r="BD272" s="53">
        <v>1</v>
      </c>
      <c r="BE272" s="83">
        <v>46201</v>
      </c>
      <c r="BF272" s="53"/>
      <c r="BG272" s="53"/>
    </row>
    <row r="273" spans="3:59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8"/>
        <v>1</v>
      </c>
      <c r="M273" s="26">
        <f t="shared" si="19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67" t="e">
        <f>SUMIFS([1]Up!$J:$J,[1]Up!$D:$D,D273)</f>
        <v>#VALUE!</v>
      </c>
      <c r="AW273" s="82"/>
      <c r="AX273" s="82" t="str">
        <f t="shared" si="20"/>
        <v>PL15</v>
      </c>
      <c r="AY273" s="53" t="str">
        <f t="shared" si="21"/>
        <v/>
      </c>
      <c r="AZ273" s="53" t="s">
        <v>148</v>
      </c>
      <c r="BA273" s="84" t="s">
        <v>200</v>
      </c>
      <c r="BB273" s="53"/>
      <c r="BC273" s="53" t="s">
        <v>201</v>
      </c>
      <c r="BD273" s="53">
        <v>1</v>
      </c>
      <c r="BE273" s="83">
        <v>46201</v>
      </c>
      <c r="BF273" s="53"/>
      <c r="BG273" s="53"/>
    </row>
    <row r="274" spans="3:59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8"/>
        <v>1</v>
      </c>
      <c r="M274" s="26">
        <f t="shared" si="19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67" t="e">
        <f>SUMIFS([1]Up!$J:$J,[1]Up!$D:$D,D274)</f>
        <v>#VALUE!</v>
      </c>
      <c r="AW274" s="82"/>
      <c r="AX274" s="82" t="str">
        <f t="shared" si="20"/>
        <v>PL15</v>
      </c>
      <c r="AY274" s="53" t="str">
        <f t="shared" si="21"/>
        <v/>
      </c>
      <c r="AZ274" s="53" t="s">
        <v>148</v>
      </c>
      <c r="BA274" s="84" t="s">
        <v>200</v>
      </c>
      <c r="BB274" s="53"/>
      <c r="BC274" s="53" t="s">
        <v>201</v>
      </c>
      <c r="BD274" s="53">
        <v>1</v>
      </c>
      <c r="BE274" s="83">
        <v>46201</v>
      </c>
      <c r="BF274" s="53"/>
      <c r="BG274" s="53"/>
    </row>
    <row r="275" spans="3:59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8"/>
        <v>2</v>
      </c>
      <c r="M275" s="26">
        <f t="shared" si="19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67" t="e">
        <f>SUMIFS([1]Up!$J:$J,[1]Up!$D:$D,D275)</f>
        <v>#VALUE!</v>
      </c>
      <c r="AW275" s="82"/>
      <c r="AX275" s="82" t="str">
        <f t="shared" si="20"/>
        <v>PL20</v>
      </c>
      <c r="AY275" s="53" t="str">
        <f t="shared" si="21"/>
        <v/>
      </c>
      <c r="AZ275" s="53" t="s">
        <v>148</v>
      </c>
      <c r="BA275" s="84" t="s">
        <v>319</v>
      </c>
      <c r="BB275" s="53"/>
      <c r="BC275" s="53" t="s">
        <v>320</v>
      </c>
      <c r="BD275" s="53">
        <v>2</v>
      </c>
      <c r="BE275" s="83">
        <v>46202</v>
      </c>
      <c r="BF275" s="53"/>
      <c r="BG275" s="53"/>
    </row>
    <row r="276" spans="3:59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8"/>
        <v>2</v>
      </c>
      <c r="M276" s="26">
        <f t="shared" si="19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67" t="e">
        <f>SUMIFS([1]Up!$J:$J,[1]Up!$D:$D,D276)</f>
        <v>#VALUE!</v>
      </c>
      <c r="AW276" s="82"/>
      <c r="AX276" s="82" t="str">
        <f t="shared" si="20"/>
        <v>PL20</v>
      </c>
      <c r="AY276" s="53" t="str">
        <f t="shared" si="21"/>
        <v/>
      </c>
      <c r="AZ276" s="53" t="s">
        <v>148</v>
      </c>
      <c r="BA276" s="84" t="s">
        <v>319</v>
      </c>
      <c r="BB276" s="53"/>
      <c r="BC276" s="53" t="s">
        <v>320</v>
      </c>
      <c r="BD276" s="53">
        <v>2</v>
      </c>
      <c r="BE276" s="83">
        <v>46202</v>
      </c>
      <c r="BF276" s="53"/>
      <c r="BG276" s="53"/>
    </row>
    <row r="277" spans="3:59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8"/>
        <v>1</v>
      </c>
      <c r="M277" s="26">
        <f t="shared" si="19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67" t="e">
        <f>SUMIFS([1]Up!$J:$J,[1]Up!$D:$D,D277)</f>
        <v>#VALUE!</v>
      </c>
      <c r="AW277" s="82" t="s">
        <v>2082</v>
      </c>
      <c r="AX277" s="82" t="str">
        <f t="shared" si="20"/>
        <v>PL15</v>
      </c>
      <c r="AY277" s="53" t="str">
        <f t="shared" si="21"/>
        <v>Thừa 4</v>
      </c>
      <c r="AZ277" s="53" t="s">
        <v>148</v>
      </c>
      <c r="BA277" s="53"/>
      <c r="BB277" s="53"/>
      <c r="BC277" s="53" t="s">
        <v>57</v>
      </c>
      <c r="BD277" s="53">
        <v>1</v>
      </c>
      <c r="BE277" s="83"/>
      <c r="BF277" s="53"/>
      <c r="BG277" s="53"/>
    </row>
    <row r="278" spans="3:59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8"/>
        <v>2</v>
      </c>
      <c r="M278" s="26">
        <f t="shared" si="19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67" t="e">
        <f>SUMIFS([1]Up!$J:$J,[1]Up!$D:$D,D278)</f>
        <v>#VALUE!</v>
      </c>
      <c r="AW278" s="82"/>
      <c r="AX278" s="82" t="str">
        <f t="shared" si="20"/>
        <v>PL20</v>
      </c>
      <c r="AY278" s="53" t="str">
        <f t="shared" si="21"/>
        <v/>
      </c>
      <c r="AZ278" s="53" t="s">
        <v>148</v>
      </c>
      <c r="BA278" s="84" t="s">
        <v>319</v>
      </c>
      <c r="BB278" s="53"/>
      <c r="BC278" s="53" t="s">
        <v>320</v>
      </c>
      <c r="BD278" s="53">
        <v>2</v>
      </c>
      <c r="BE278" s="83">
        <v>46202</v>
      </c>
      <c r="BF278" s="53"/>
      <c r="BG278" s="53"/>
    </row>
    <row r="279" spans="3:59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8"/>
        <v>4</v>
      </c>
      <c r="M279" s="26">
        <f t="shared" si="19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67" t="e">
        <f>SUMIFS([1]Up!$J:$J,[1]Up!$D:$D,D279)</f>
        <v>#VALUE!</v>
      </c>
      <c r="AW279" s="82"/>
      <c r="AX279" s="82" t="str">
        <f t="shared" si="20"/>
        <v>PL3</v>
      </c>
      <c r="AY279" s="53" t="str">
        <f t="shared" si="21"/>
        <v/>
      </c>
      <c r="AZ279" s="53" t="s">
        <v>148</v>
      </c>
      <c r="BA279" s="84" t="s">
        <v>682</v>
      </c>
      <c r="BB279" s="53"/>
      <c r="BC279" s="53" t="s">
        <v>683</v>
      </c>
      <c r="BD279" s="53">
        <v>4</v>
      </c>
      <c r="BE279" s="83">
        <v>46196</v>
      </c>
      <c r="BF279" s="53"/>
      <c r="BG279" s="53"/>
    </row>
    <row r="280" spans="3:59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8"/>
        <v>2</v>
      </c>
      <c r="M280" s="26">
        <f t="shared" si="19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67" t="e">
        <f>SUMIFS([1]Up!$J:$J,[1]Up!$D:$D,D280)</f>
        <v>#VALUE!</v>
      </c>
      <c r="AW280" s="82"/>
      <c r="AX280" s="82" t="str">
        <f t="shared" si="20"/>
        <v>PL20</v>
      </c>
      <c r="AY280" s="53" t="str">
        <f t="shared" si="21"/>
        <v/>
      </c>
      <c r="AZ280" s="53" t="s">
        <v>148</v>
      </c>
      <c r="BA280" s="84" t="s">
        <v>319</v>
      </c>
      <c r="BB280" s="53"/>
      <c r="BC280" s="53" t="s">
        <v>320</v>
      </c>
      <c r="BD280" s="53">
        <v>2</v>
      </c>
      <c r="BE280" s="83">
        <v>46202</v>
      </c>
      <c r="BF280" s="53"/>
      <c r="BG280" s="53"/>
    </row>
    <row r="281" spans="3:59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8"/>
        <v>4</v>
      </c>
      <c r="M281" s="26">
        <f t="shared" si="19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67" t="e">
        <f>SUMIFS([1]Up!$J:$J,[1]Up!$D:$D,D281)</f>
        <v>#VALUE!</v>
      </c>
      <c r="AW281" s="82"/>
      <c r="AX281" s="82" t="str">
        <f t="shared" si="20"/>
        <v>PL20</v>
      </c>
      <c r="AY281" s="53" t="str">
        <f t="shared" si="21"/>
        <v/>
      </c>
      <c r="AZ281" s="53" t="s">
        <v>148</v>
      </c>
      <c r="BA281" s="84" t="s">
        <v>319</v>
      </c>
      <c r="BB281" s="53"/>
      <c r="BC281" s="53" t="s">
        <v>320</v>
      </c>
      <c r="BD281" s="53">
        <v>4</v>
      </c>
      <c r="BE281" s="83">
        <v>46202</v>
      </c>
      <c r="BF281" s="53"/>
      <c r="BG281" s="53"/>
    </row>
    <row r="282" spans="3:59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8"/>
        <v>1</v>
      </c>
      <c r="M282" s="26">
        <f t="shared" si="19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67" t="e">
        <f>SUMIFS([1]Up!$J:$J,[1]Up!$D:$D,D282)</f>
        <v>#VALUE!</v>
      </c>
      <c r="AW282" s="82"/>
      <c r="AX282" s="82" t="str">
        <f t="shared" si="20"/>
        <v>PL30</v>
      </c>
      <c r="AY282" s="53" t="str">
        <f t="shared" si="21"/>
        <v/>
      </c>
      <c r="AZ282" s="53" t="s">
        <v>148</v>
      </c>
      <c r="BA282" s="84" t="s">
        <v>688</v>
      </c>
      <c r="BB282" s="53"/>
      <c r="BC282" s="53" t="s">
        <v>689</v>
      </c>
      <c r="BD282" s="53">
        <v>1</v>
      </c>
      <c r="BE282" s="83">
        <v>46196</v>
      </c>
      <c r="BF282" s="53"/>
      <c r="BG282" s="53"/>
    </row>
    <row r="283" spans="3:59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8"/>
        <v>2</v>
      </c>
      <c r="M283" s="26">
        <f t="shared" si="19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67" t="e">
        <f>SUMIFS([1]Up!$J:$J,[1]Up!$D:$D,D283)</f>
        <v>#VALUE!</v>
      </c>
      <c r="AW283" s="82"/>
      <c r="AX283" s="82" t="str">
        <f t="shared" si="20"/>
        <v>PL20</v>
      </c>
      <c r="AY283" s="53" t="str">
        <f t="shared" si="21"/>
        <v/>
      </c>
      <c r="AZ283" s="53" t="s">
        <v>148</v>
      </c>
      <c r="BA283" s="84" t="s">
        <v>319</v>
      </c>
      <c r="BB283" s="53"/>
      <c r="BC283" s="53" t="s">
        <v>320</v>
      </c>
      <c r="BD283" s="53">
        <v>2</v>
      </c>
      <c r="BE283" s="83">
        <v>46202</v>
      </c>
      <c r="BF283" s="53"/>
      <c r="BG283" s="53"/>
    </row>
    <row r="284" spans="3:59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8"/>
        <v>2</v>
      </c>
      <c r="M284" s="26">
        <f t="shared" si="19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67" t="e">
        <f>SUMIFS([1]Up!$J:$J,[1]Up!$D:$D,D284)</f>
        <v>#VALUE!</v>
      </c>
      <c r="AW284" s="82"/>
      <c r="AX284" s="82" t="str">
        <f t="shared" si="20"/>
        <v>PL20</v>
      </c>
      <c r="AY284" s="53" t="str">
        <f t="shared" si="21"/>
        <v/>
      </c>
      <c r="AZ284" s="53" t="s">
        <v>148</v>
      </c>
      <c r="BA284" s="84" t="s">
        <v>319</v>
      </c>
      <c r="BB284" s="53"/>
      <c r="BC284" s="53" t="s">
        <v>320</v>
      </c>
      <c r="BD284" s="53">
        <v>2</v>
      </c>
      <c r="BE284" s="83">
        <v>46202</v>
      </c>
      <c r="BF284" s="53"/>
      <c r="BG284" s="53"/>
    </row>
    <row r="285" spans="3:59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8"/>
        <v>4</v>
      </c>
      <c r="M285" s="26">
        <f t="shared" si="19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67" t="e">
        <f>SUMIFS([1]Up!$J:$J,[1]Up!$D:$D,D285)</f>
        <v>#VALUE!</v>
      </c>
      <c r="AW285" s="82"/>
      <c r="AX285" s="82" t="str">
        <f t="shared" si="20"/>
        <v>PL20</v>
      </c>
      <c r="AY285" s="53" t="str">
        <f t="shared" si="21"/>
        <v/>
      </c>
      <c r="AZ285" s="53" t="s">
        <v>148</v>
      </c>
      <c r="BA285" s="84" t="s">
        <v>319</v>
      </c>
      <c r="BB285" s="53"/>
      <c r="BC285" s="53" t="s">
        <v>320</v>
      </c>
      <c r="BD285" s="53">
        <v>4</v>
      </c>
      <c r="BE285" s="83">
        <v>46202</v>
      </c>
      <c r="BF285" s="53"/>
      <c r="BG285" s="53"/>
    </row>
    <row r="286" spans="3:59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8"/>
        <v>2</v>
      </c>
      <c r="M286" s="26">
        <f t="shared" si="19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67" t="e">
        <f>SUMIFS([1]Up!$J:$J,[1]Up!$D:$D,D286)</f>
        <v>#VALUE!</v>
      </c>
      <c r="AW286" s="82"/>
      <c r="AX286" s="82" t="str">
        <f t="shared" si="20"/>
        <v>PL20</v>
      </c>
      <c r="AY286" s="53" t="str">
        <f t="shared" si="21"/>
        <v/>
      </c>
      <c r="AZ286" s="53" t="s">
        <v>148</v>
      </c>
      <c r="BA286" s="84" t="s">
        <v>319</v>
      </c>
      <c r="BB286" s="53"/>
      <c r="BC286" s="53" t="s">
        <v>320</v>
      </c>
      <c r="BD286" s="53">
        <v>2</v>
      </c>
      <c r="BE286" s="83">
        <v>46202</v>
      </c>
      <c r="BF286" s="53"/>
      <c r="BG286" s="53"/>
    </row>
    <row r="287" spans="3:59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8"/>
        <v>2</v>
      </c>
      <c r="M287" s="26">
        <f t="shared" si="19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67" t="e">
        <f>SUMIFS([1]Up!$J:$J,[1]Up!$D:$D,D287)</f>
        <v>#VALUE!</v>
      </c>
      <c r="AW287" s="82"/>
      <c r="AX287" s="82" t="str">
        <f t="shared" si="20"/>
        <v>PL20</v>
      </c>
      <c r="AY287" s="53" t="str">
        <f t="shared" si="21"/>
        <v/>
      </c>
      <c r="AZ287" s="53" t="s">
        <v>148</v>
      </c>
      <c r="BA287" s="84" t="s">
        <v>319</v>
      </c>
      <c r="BB287" s="53"/>
      <c r="BC287" s="53" t="s">
        <v>320</v>
      </c>
      <c r="BD287" s="53">
        <v>2</v>
      </c>
      <c r="BE287" s="83">
        <v>46202</v>
      </c>
      <c r="BF287" s="53"/>
      <c r="BG287" s="53"/>
    </row>
    <row r="288" spans="3:59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8"/>
        <v>4</v>
      </c>
      <c r="M288" s="26">
        <f t="shared" si="19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67" t="e">
        <f>SUMIFS([1]Up!$J:$J,[1]Up!$D:$D,D288)</f>
        <v>#VALUE!</v>
      </c>
      <c r="AW288" s="82"/>
      <c r="AX288" s="82" t="str">
        <f t="shared" si="20"/>
        <v>PL20</v>
      </c>
      <c r="AY288" s="53" t="str">
        <f t="shared" si="21"/>
        <v/>
      </c>
      <c r="AZ288" s="53" t="s">
        <v>148</v>
      </c>
      <c r="BA288" s="84" t="s">
        <v>319</v>
      </c>
      <c r="BB288" s="53"/>
      <c r="BC288" s="53" t="s">
        <v>320</v>
      </c>
      <c r="BD288" s="53">
        <v>4</v>
      </c>
      <c r="BE288" s="83">
        <v>46202</v>
      </c>
      <c r="BF288" s="53"/>
      <c r="BG288" s="53"/>
    </row>
    <row r="289" spans="3:59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8"/>
        <v>1</v>
      </c>
      <c r="M289" s="26">
        <f t="shared" si="1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67" t="e">
        <f>SUMIFS([1]Up!$J:$J,[1]Up!$D:$D,D289)</f>
        <v>#VALUE!</v>
      </c>
      <c r="AW289" s="82"/>
      <c r="AX289" s="82" t="str">
        <f t="shared" si="20"/>
        <v>PL5</v>
      </c>
      <c r="AY289" s="53" t="str">
        <f t="shared" si="21"/>
        <v/>
      </c>
      <c r="AZ289" s="53" t="s">
        <v>148</v>
      </c>
      <c r="BA289" s="53" t="s">
        <v>704</v>
      </c>
      <c r="BB289" s="53"/>
      <c r="BC289" s="53" t="s">
        <v>705</v>
      </c>
      <c r="BD289" s="53">
        <v>1</v>
      </c>
      <c r="BE289" s="83">
        <v>46196</v>
      </c>
      <c r="BF289" s="53"/>
      <c r="BG289" s="53"/>
    </row>
    <row r="290" spans="3:59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8"/>
        <v>1</v>
      </c>
      <c r="M290" s="26">
        <f t="shared" si="19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67" t="e">
        <f>SUMIFS([1]Up!$J:$J,[1]Up!$D:$D,D290)</f>
        <v>#VALUE!</v>
      </c>
      <c r="AW290" s="82"/>
      <c r="AX290" s="82" t="str">
        <f t="shared" si="20"/>
        <v>PL20</v>
      </c>
      <c r="AY290" s="53" t="str">
        <f t="shared" si="21"/>
        <v/>
      </c>
      <c r="AZ290" s="53" t="s">
        <v>148</v>
      </c>
      <c r="BA290" s="84" t="s">
        <v>319</v>
      </c>
      <c r="BB290" s="53"/>
      <c r="BC290" s="53" t="s">
        <v>320</v>
      </c>
      <c r="BD290" s="53">
        <v>1</v>
      </c>
      <c r="BE290" s="83">
        <v>46202</v>
      </c>
      <c r="BF290" s="53"/>
      <c r="BG290" s="53"/>
    </row>
    <row r="291" spans="3:59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8"/>
        <v>1</v>
      </c>
      <c r="M291" s="26">
        <f t="shared" si="19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67" t="e">
        <f>SUMIFS([1]Up!$J:$J,[1]Up!$D:$D,D291)</f>
        <v>#VALUE!</v>
      </c>
      <c r="AW291" s="82"/>
      <c r="AX291" s="82" t="str">
        <f t="shared" si="20"/>
        <v>PL20</v>
      </c>
      <c r="AY291" s="53" t="str">
        <f t="shared" si="21"/>
        <v/>
      </c>
      <c r="AZ291" s="53" t="s">
        <v>148</v>
      </c>
      <c r="BA291" s="84" t="s">
        <v>319</v>
      </c>
      <c r="BB291" s="53"/>
      <c r="BC291" s="53" t="s">
        <v>320</v>
      </c>
      <c r="BD291" s="53">
        <v>1</v>
      </c>
      <c r="BE291" s="83">
        <v>46202</v>
      </c>
      <c r="BF291" s="53"/>
      <c r="BG291" s="53"/>
    </row>
    <row r="292" spans="3:59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8"/>
        <v>2</v>
      </c>
      <c r="M292" s="26">
        <f t="shared" si="19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67" t="e">
        <f>SUMIFS([1]Up!$J:$J,[1]Up!$D:$D,D292)</f>
        <v>#VALUE!</v>
      </c>
      <c r="AW292" s="82"/>
      <c r="AX292" s="82" t="str">
        <f t="shared" si="20"/>
        <v>PL20</v>
      </c>
      <c r="AY292" s="53" t="str">
        <f t="shared" si="21"/>
        <v/>
      </c>
      <c r="AZ292" s="53" t="s">
        <v>148</v>
      </c>
      <c r="BA292" s="84" t="s">
        <v>319</v>
      </c>
      <c r="BB292" s="53"/>
      <c r="BC292" s="53" t="s">
        <v>320</v>
      </c>
      <c r="BD292" s="53">
        <v>2</v>
      </c>
      <c r="BE292" s="83">
        <v>46202</v>
      </c>
      <c r="BF292" s="53"/>
      <c r="BG292" s="53"/>
    </row>
    <row r="293" spans="3:59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8"/>
        <v>2</v>
      </c>
      <c r="M293" s="26">
        <f t="shared" si="19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67" t="e">
        <f>SUMIFS([1]Up!$J:$J,[1]Up!$D:$D,D293)</f>
        <v>#VALUE!</v>
      </c>
      <c r="AW293" s="82"/>
      <c r="AX293" s="82" t="str">
        <f t="shared" si="20"/>
        <v>PL20</v>
      </c>
      <c r="AY293" s="53" t="str">
        <f t="shared" si="21"/>
        <v/>
      </c>
      <c r="AZ293" s="53" t="s">
        <v>148</v>
      </c>
      <c r="BA293" s="84" t="s">
        <v>319</v>
      </c>
      <c r="BB293" s="53"/>
      <c r="BC293" s="53" t="s">
        <v>320</v>
      </c>
      <c r="BD293" s="53">
        <v>2</v>
      </c>
      <c r="BE293" s="83">
        <v>46202</v>
      </c>
      <c r="BF293" s="53"/>
      <c r="BG293" s="53"/>
    </row>
    <row r="294" spans="3:59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8"/>
        <v>2</v>
      </c>
      <c r="M294" s="26">
        <f t="shared" si="19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67" t="e">
        <f>SUMIFS([1]Up!$J:$J,[1]Up!$D:$D,D294)</f>
        <v>#VALUE!</v>
      </c>
      <c r="AW294" s="82"/>
      <c r="AX294" s="82" t="str">
        <f t="shared" si="20"/>
        <v>PL20</v>
      </c>
      <c r="AY294" s="53" t="str">
        <f t="shared" si="21"/>
        <v/>
      </c>
      <c r="AZ294" s="53" t="s">
        <v>148</v>
      </c>
      <c r="BA294" s="84" t="s">
        <v>319</v>
      </c>
      <c r="BB294" s="53"/>
      <c r="BC294" s="53" t="s">
        <v>320</v>
      </c>
      <c r="BD294" s="53">
        <v>2</v>
      </c>
      <c r="BE294" s="83">
        <v>46202</v>
      </c>
      <c r="BF294" s="53"/>
      <c r="BG294" s="53"/>
    </row>
    <row r="295" spans="3:59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8"/>
        <v>2</v>
      </c>
      <c r="M295" s="26">
        <f t="shared" si="1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67" t="e">
        <f>SUMIFS([1]Up!$J:$J,[1]Up!$D:$D,D295)</f>
        <v>#VALUE!</v>
      </c>
      <c r="AW295" s="82"/>
      <c r="AX295" s="82" t="str">
        <f t="shared" si="20"/>
        <v>PL20</v>
      </c>
      <c r="AY295" s="53" t="str">
        <f t="shared" si="21"/>
        <v/>
      </c>
      <c r="AZ295" s="53" t="s">
        <v>148</v>
      </c>
      <c r="BA295" s="84" t="s">
        <v>319</v>
      </c>
      <c r="BB295" s="53"/>
      <c r="BC295" s="53" t="s">
        <v>320</v>
      </c>
      <c r="BD295" s="53">
        <v>2</v>
      </c>
      <c r="BE295" s="83">
        <v>46202</v>
      </c>
      <c r="BF295" s="53"/>
      <c r="BG295" s="53"/>
    </row>
    <row r="296" spans="3:59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67" t="e">
        <f>SUMIFS([1]Up!$J:$J,[1]Up!$D:$D,D296)</f>
        <v>#VALUE!</v>
      </c>
      <c r="AW296" s="82"/>
      <c r="AX296" s="82" t="e">
        <f t="shared" si="20"/>
        <v>#VALUE!</v>
      </c>
      <c r="AY296" s="53" t="str">
        <f t="shared" si="21"/>
        <v/>
      </c>
      <c r="AZ296" s="53" t="s">
        <v>148</v>
      </c>
      <c r="BA296" s="53"/>
      <c r="BB296" s="53"/>
      <c r="BC296" s="53"/>
      <c r="BD296" s="53"/>
      <c r="BE296" s="83"/>
      <c r="BF296" s="53"/>
      <c r="BG296" s="53"/>
    </row>
    <row r="297" spans="3:59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67" t="e">
        <f>SUMIFS([1]Up!$J:$J,[1]Up!$D:$D,D297)</f>
        <v>#VALUE!</v>
      </c>
      <c r="AW297" s="82"/>
      <c r="AX297" s="82" t="str">
        <f t="shared" si="20"/>
        <v>PL10</v>
      </c>
      <c r="AY297" s="53" t="str">
        <f t="shared" si="21"/>
        <v/>
      </c>
      <c r="AZ297" s="53" t="s">
        <v>148</v>
      </c>
      <c r="BA297" s="53"/>
      <c r="BB297" s="53"/>
      <c r="BC297" s="53"/>
      <c r="BD297" s="53"/>
      <c r="BE297" s="83"/>
      <c r="BF297" s="53"/>
      <c r="BG297" s="53"/>
    </row>
    <row r="298" spans="3:59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67" t="e">
        <f>SUMIFS([1]Up!$J:$J,[1]Up!$D:$D,D298)</f>
        <v>#VALUE!</v>
      </c>
      <c r="AW298" s="82"/>
      <c r="AX298" s="82" t="str">
        <f t="shared" si="20"/>
        <v>PL12</v>
      </c>
      <c r="AY298" s="53" t="str">
        <f t="shared" si="21"/>
        <v/>
      </c>
      <c r="AZ298" s="53" t="s">
        <v>148</v>
      </c>
      <c r="BA298" s="53"/>
      <c r="BB298" s="53"/>
      <c r="BC298" s="53"/>
      <c r="BD298" s="53"/>
      <c r="BE298" s="83"/>
      <c r="BF298" s="53"/>
      <c r="BG298" s="53"/>
    </row>
    <row r="299" spans="3:59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67" t="e">
        <f>SUMIFS([1]Up!$J:$J,[1]Up!$D:$D,D299)</f>
        <v>#VALUE!</v>
      </c>
      <c r="AW299" s="82"/>
      <c r="AX299" s="82" t="e">
        <f t="shared" si="20"/>
        <v>#VALUE!</v>
      </c>
      <c r="AY299" s="53" t="str">
        <f t="shared" si="21"/>
        <v/>
      </c>
      <c r="AZ299" s="53" t="s">
        <v>148</v>
      </c>
      <c r="BA299" s="53"/>
      <c r="BB299" s="53"/>
      <c r="BC299" s="53"/>
      <c r="BD299" s="53"/>
      <c r="BE299" s="83"/>
      <c r="BF299" s="53"/>
      <c r="BG299" s="53"/>
    </row>
    <row r="300" spans="3:59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8"/>
        <v>0</v>
      </c>
      <c r="M300" s="26">
        <f t="shared" si="19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67" t="e">
        <f>SUMIFS([1]Up!$J:$J,[1]Up!$D:$D,D300)</f>
        <v>#VALUE!</v>
      </c>
      <c r="AW300" s="82"/>
      <c r="AX300" s="82" t="str">
        <f t="shared" si="20"/>
        <v>PL10</v>
      </c>
      <c r="AY300" s="53" t="str">
        <f t="shared" si="21"/>
        <v/>
      </c>
      <c r="AZ300" s="53" t="s">
        <v>148</v>
      </c>
      <c r="BA300" s="53"/>
      <c r="BB300" s="53"/>
      <c r="BC300" s="53"/>
      <c r="BD300" s="53"/>
      <c r="BE300" s="83"/>
      <c r="BF300" s="53"/>
      <c r="BG300" s="53"/>
    </row>
    <row r="301" spans="3:59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67" t="e">
        <f>SUMIFS([1]Up!$J:$J,[1]Up!$D:$D,D301)</f>
        <v>#VALUE!</v>
      </c>
      <c r="AW301" s="82"/>
      <c r="AX301" s="82" t="str">
        <f t="shared" si="20"/>
        <v>PL12</v>
      </c>
      <c r="AY301" s="53" t="str">
        <f t="shared" si="21"/>
        <v/>
      </c>
      <c r="AZ301" s="53" t="s">
        <v>148</v>
      </c>
      <c r="BA301" s="53"/>
      <c r="BB301" s="53"/>
      <c r="BC301" s="53"/>
      <c r="BD301" s="53"/>
      <c r="BE301" s="83"/>
      <c r="BF301" s="53"/>
      <c r="BG301" s="53"/>
    </row>
    <row r="302" spans="3:59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67" t="e">
        <f>SUMIFS([1]Up!$J:$J,[1]Up!$D:$D,D302)</f>
        <v>#VALUE!</v>
      </c>
      <c r="AW302" s="82"/>
      <c r="AX302" s="82" t="e">
        <f t="shared" si="20"/>
        <v>#VALUE!</v>
      </c>
      <c r="AY302" s="53" t="str">
        <f t="shared" si="21"/>
        <v/>
      </c>
      <c r="AZ302" s="53" t="s">
        <v>148</v>
      </c>
      <c r="BA302" s="53"/>
      <c r="BB302" s="53"/>
      <c r="BC302" s="53"/>
      <c r="BD302" s="53"/>
      <c r="BE302" s="83"/>
      <c r="BF302" s="53"/>
      <c r="BG302" s="53"/>
    </row>
    <row r="303" spans="3:59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8"/>
        <v>0</v>
      </c>
      <c r="M303" s="26">
        <f t="shared" si="1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67" t="e">
        <f>SUMIFS([1]Up!$J:$J,[1]Up!$D:$D,D303)</f>
        <v>#VALUE!</v>
      </c>
      <c r="AW303" s="82"/>
      <c r="AX303" s="82" t="str">
        <f t="shared" si="20"/>
        <v>PL10</v>
      </c>
      <c r="AY303" s="53" t="str">
        <f t="shared" si="21"/>
        <v/>
      </c>
      <c r="AZ303" s="53" t="s">
        <v>148</v>
      </c>
      <c r="BA303" s="53"/>
      <c r="BB303" s="53"/>
      <c r="BC303" s="53"/>
      <c r="BD303" s="53"/>
      <c r="BE303" s="83"/>
      <c r="BF303" s="53"/>
      <c r="BG303" s="53"/>
    </row>
    <row r="304" spans="3:59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8"/>
        <v>0</v>
      </c>
      <c r="M304" s="26">
        <f t="shared" si="1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67" t="e">
        <f>SUMIFS([1]Up!$J:$J,[1]Up!$D:$D,D304)</f>
        <v>#VALUE!</v>
      </c>
      <c r="AW304" s="82"/>
      <c r="AX304" s="82" t="str">
        <f t="shared" si="20"/>
        <v>PL10</v>
      </c>
      <c r="AY304" s="53" t="str">
        <f t="shared" si="21"/>
        <v/>
      </c>
      <c r="AZ304" s="53" t="s">
        <v>148</v>
      </c>
      <c r="BA304" s="53"/>
      <c r="BB304" s="53"/>
      <c r="BC304" s="53"/>
      <c r="BD304" s="53"/>
      <c r="BE304" s="83"/>
      <c r="BF304" s="53"/>
      <c r="BG304" s="53"/>
    </row>
    <row r="305" spans="3:59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8"/>
        <v>0</v>
      </c>
      <c r="M305" s="26">
        <f t="shared" si="19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67" t="e">
        <f>SUMIFS([1]Up!$J:$J,[1]Up!$D:$D,D305)</f>
        <v>#VALUE!</v>
      </c>
      <c r="AW305" s="82"/>
      <c r="AX305" s="82" t="e">
        <f t="shared" si="20"/>
        <v>#VALUE!</v>
      </c>
      <c r="AY305" s="53" t="str">
        <f t="shared" si="21"/>
        <v/>
      </c>
      <c r="AZ305" s="53" t="s">
        <v>148</v>
      </c>
      <c r="BA305" s="53"/>
      <c r="BB305" s="53"/>
      <c r="BC305" s="53"/>
      <c r="BD305" s="53"/>
      <c r="BE305" s="83"/>
      <c r="BF305" s="53"/>
      <c r="BG305" s="53"/>
    </row>
    <row r="306" spans="3:59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8"/>
        <v>0</v>
      </c>
      <c r="M306" s="26">
        <f t="shared" si="19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67" t="e">
        <f>SUMIFS([1]Up!$J:$J,[1]Up!$D:$D,D306)</f>
        <v>#VALUE!</v>
      </c>
      <c r="AW306" s="82"/>
      <c r="AX306" s="82" t="str">
        <f t="shared" si="20"/>
        <v>PL10</v>
      </c>
      <c r="AY306" s="53" t="str">
        <f t="shared" si="21"/>
        <v/>
      </c>
      <c r="AZ306" s="53" t="s">
        <v>148</v>
      </c>
      <c r="BA306" s="53"/>
      <c r="BB306" s="53"/>
      <c r="BC306" s="53"/>
      <c r="BD306" s="53"/>
      <c r="BE306" s="83"/>
      <c r="BF306" s="53"/>
      <c r="BG306" s="53"/>
    </row>
    <row r="307" spans="3:59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67" t="e">
        <f>SUMIFS([1]Up!$J:$J,[1]Up!$D:$D,D307)</f>
        <v>#VALUE!</v>
      </c>
      <c r="AW307" s="82"/>
      <c r="AX307" s="82" t="str">
        <f t="shared" si="20"/>
        <v>PL12</v>
      </c>
      <c r="AY307" s="53" t="str">
        <f t="shared" si="21"/>
        <v/>
      </c>
      <c r="AZ307" s="53" t="s">
        <v>148</v>
      </c>
      <c r="BA307" s="53"/>
      <c r="BB307" s="53"/>
      <c r="BC307" s="53"/>
      <c r="BD307" s="53"/>
      <c r="BE307" s="83"/>
      <c r="BF307" s="53"/>
      <c r="BG307" s="53"/>
    </row>
    <row r="308" spans="3:59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8"/>
        <v>0</v>
      </c>
      <c r="M308" s="26">
        <f t="shared" si="19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67" t="e">
        <f>SUMIFS([1]Up!$J:$J,[1]Up!$D:$D,D308)</f>
        <v>#VALUE!</v>
      </c>
      <c r="AW308" s="82"/>
      <c r="AX308" s="82" t="e">
        <f t="shared" si="20"/>
        <v>#VALUE!</v>
      </c>
      <c r="AY308" s="53" t="str">
        <f t="shared" si="21"/>
        <v/>
      </c>
      <c r="AZ308" s="53" t="s">
        <v>148</v>
      </c>
      <c r="BA308" s="53"/>
      <c r="BB308" s="53"/>
      <c r="BC308" s="53"/>
      <c r="BD308" s="53"/>
      <c r="BE308" s="83"/>
      <c r="BF308" s="53"/>
      <c r="BG308" s="53"/>
    </row>
    <row r="309" spans="3:59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67" t="e">
        <f>SUMIFS([1]Up!$J:$J,[1]Up!$D:$D,D309)</f>
        <v>#VALUE!</v>
      </c>
      <c r="AW309" s="82"/>
      <c r="AX309" s="82" t="str">
        <f t="shared" si="20"/>
        <v>PL12</v>
      </c>
      <c r="AY309" s="53" t="str">
        <f t="shared" si="21"/>
        <v/>
      </c>
      <c r="AZ309" s="53" t="s">
        <v>148</v>
      </c>
      <c r="BA309" s="53"/>
      <c r="BB309" s="53"/>
      <c r="BC309" s="53"/>
      <c r="BD309" s="53"/>
      <c r="BE309" s="83"/>
      <c r="BF309" s="53"/>
      <c r="BG309" s="53"/>
    </row>
    <row r="310" spans="3:59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67" t="e">
        <f>SUMIFS([1]Up!$J:$J,[1]Up!$D:$D,D310)</f>
        <v>#VALUE!</v>
      </c>
      <c r="AW310" s="82"/>
      <c r="AX310" s="82" t="str">
        <f t="shared" si="20"/>
        <v>PL10</v>
      </c>
      <c r="AY310" s="53" t="str">
        <f t="shared" si="21"/>
        <v/>
      </c>
      <c r="AZ310" s="53" t="s">
        <v>148</v>
      </c>
      <c r="BA310" s="53"/>
      <c r="BB310" s="53"/>
      <c r="BC310" s="53"/>
      <c r="BD310" s="53"/>
      <c r="BE310" s="83"/>
      <c r="BF310" s="53"/>
      <c r="BG310" s="53"/>
    </row>
    <row r="311" spans="3:59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67" t="e">
        <f>SUMIFS([1]Up!$J:$J,[1]Up!$D:$D,D311)</f>
        <v>#VALUE!</v>
      </c>
      <c r="AW311" s="82"/>
      <c r="AX311" s="82" t="e">
        <f t="shared" si="20"/>
        <v>#VALUE!</v>
      </c>
      <c r="AY311" s="53" t="str">
        <f t="shared" si="21"/>
        <v/>
      </c>
      <c r="AZ311" s="53" t="s">
        <v>148</v>
      </c>
      <c r="BA311" s="53"/>
      <c r="BB311" s="53"/>
      <c r="BC311" s="53"/>
      <c r="BD311" s="53"/>
      <c r="BE311" s="83"/>
      <c r="BF311" s="53"/>
      <c r="BG311" s="53"/>
    </row>
    <row r="312" spans="3:59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67" t="e">
        <f>SUMIFS([1]Up!$J:$J,[1]Up!$D:$D,D312)</f>
        <v>#VALUE!</v>
      </c>
      <c r="AW312" s="82"/>
      <c r="AX312" s="82" t="str">
        <f t="shared" si="20"/>
        <v>PL10</v>
      </c>
      <c r="AY312" s="53" t="str">
        <f t="shared" si="21"/>
        <v/>
      </c>
      <c r="AZ312" s="53" t="s">
        <v>148</v>
      </c>
      <c r="BA312" s="53"/>
      <c r="BB312" s="53"/>
      <c r="BC312" s="53"/>
      <c r="BD312" s="53"/>
      <c r="BE312" s="83"/>
      <c r="BF312" s="53"/>
      <c r="BG312" s="53"/>
    </row>
    <row r="313" spans="3:59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8"/>
        <v>0</v>
      </c>
      <c r="M313" s="26">
        <f t="shared" si="19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67" t="e">
        <f>SUMIFS([1]Up!$J:$J,[1]Up!$D:$D,D313)</f>
        <v>#VALUE!</v>
      </c>
      <c r="AW313" s="82"/>
      <c r="AX313" s="82" t="str">
        <f t="shared" si="20"/>
        <v>PL10</v>
      </c>
      <c r="AY313" s="53" t="str">
        <f t="shared" si="21"/>
        <v/>
      </c>
      <c r="AZ313" s="53" t="s">
        <v>148</v>
      </c>
      <c r="BA313" s="53"/>
      <c r="BB313" s="53"/>
      <c r="BC313" s="53"/>
      <c r="BD313" s="53"/>
      <c r="BE313" s="83"/>
      <c r="BF313" s="53"/>
      <c r="BG313" s="53"/>
    </row>
    <row r="314" spans="3:59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8"/>
        <v>5</v>
      </c>
      <c r="M314" s="26">
        <f t="shared" si="19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26"/>
      <c r="AT314" s="26"/>
      <c r="AU314" s="26"/>
      <c r="AV314" s="67" t="e">
        <f>SUMIFS([1]Up!$J:$J,[1]Up!$D:$D,D314)</f>
        <v>#VALUE!</v>
      </c>
      <c r="AW314" s="82" t="s">
        <v>2253</v>
      </c>
      <c r="AX314" s="82" t="e">
        <f t="shared" si="20"/>
        <v>#VALUE!</v>
      </c>
      <c r="AY314" s="53" t="str">
        <f t="shared" si="21"/>
        <v/>
      </c>
      <c r="AZ314" s="53" t="s">
        <v>154</v>
      </c>
      <c r="BA314" s="53"/>
      <c r="BB314" s="53"/>
      <c r="BC314" s="53"/>
      <c r="BD314" s="53"/>
      <c r="BE314" s="83"/>
      <c r="BF314" s="53"/>
      <c r="BG314" s="53"/>
    </row>
    <row r="315" spans="3:59" ht="14.25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8"/>
        <v>4</v>
      </c>
      <c r="M315" s="26">
        <f t="shared" si="19"/>
        <v>4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67" t="e">
        <f>SUMIFS([1]Up!$J:$J,[1]Up!$D:$D,D315)</f>
        <v>#VALUE!</v>
      </c>
      <c r="AW315" s="82"/>
      <c r="AX315" s="82" t="str">
        <f t="shared" si="20"/>
        <v>PL10</v>
      </c>
      <c r="AY315" s="53" t="str">
        <f t="shared" si="21"/>
        <v/>
      </c>
      <c r="AZ315" s="53" t="s">
        <v>148</v>
      </c>
      <c r="BA315" s="53"/>
      <c r="BB315" s="53"/>
      <c r="BC315" s="53"/>
      <c r="BD315" s="53"/>
      <c r="BE315" s="83"/>
      <c r="BF315" s="53"/>
      <c r="BG315" s="53"/>
    </row>
    <row r="316" spans="3:59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8"/>
        <v>32</v>
      </c>
      <c r="M316" s="26">
        <f t="shared" si="1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26"/>
      <c r="AT316" s="26"/>
      <c r="AU316" s="26"/>
      <c r="AV316" s="67" t="e">
        <f>SUMIFS([1]Up!$J:$J,[1]Up!$D:$D,D316)</f>
        <v>#VALUE!</v>
      </c>
      <c r="AW316" s="82" t="s">
        <v>2378</v>
      </c>
      <c r="AX316" s="82" t="str">
        <f t="shared" si="20"/>
        <v>PL15</v>
      </c>
      <c r="AY316" s="53" t="str">
        <f t="shared" si="21"/>
        <v/>
      </c>
      <c r="AZ316" s="53" t="s">
        <v>148</v>
      </c>
      <c r="BA316" s="53"/>
      <c r="BB316" s="53"/>
      <c r="BC316" s="53"/>
      <c r="BD316" s="53"/>
      <c r="BE316" s="83"/>
      <c r="BF316" s="53"/>
      <c r="BG316" s="53"/>
    </row>
    <row r="317" spans="3:59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8"/>
        <v>8</v>
      </c>
      <c r="M317" s="26">
        <f t="shared" si="1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26"/>
      <c r="AT317" s="26"/>
      <c r="AU317" s="26"/>
      <c r="AV317" s="67" t="e">
        <f>SUMIFS([1]Up!$J:$J,[1]Up!$D:$D,D317)</f>
        <v>#VALUE!</v>
      </c>
      <c r="AW317" s="82" t="s">
        <v>2379</v>
      </c>
      <c r="AX317" s="82" t="str">
        <f t="shared" si="20"/>
        <v>PL15</v>
      </c>
      <c r="AY317" s="53" t="str">
        <f t="shared" si="21"/>
        <v/>
      </c>
      <c r="AZ317" s="53" t="s">
        <v>148</v>
      </c>
      <c r="BA317" s="53"/>
      <c r="BB317" s="53"/>
      <c r="BC317" s="53"/>
      <c r="BD317" s="53"/>
      <c r="BE317" s="83"/>
      <c r="BF317" s="53"/>
      <c r="BG317" s="53"/>
    </row>
    <row r="318" spans="3:59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8"/>
        <v>8</v>
      </c>
      <c r="M318" s="26">
        <f t="shared" si="1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26"/>
      <c r="AT318" s="26"/>
      <c r="AU318" s="26"/>
      <c r="AV318" s="67" t="e">
        <f>SUMIFS([1]Up!$J:$J,[1]Up!$D:$D,D318)</f>
        <v>#VALUE!</v>
      </c>
      <c r="AW318" s="82" t="s">
        <v>2254</v>
      </c>
      <c r="AX318" s="82" t="e">
        <f t="shared" si="20"/>
        <v>#VALUE!</v>
      </c>
      <c r="AY318" s="53" t="str">
        <f t="shared" si="21"/>
        <v>Thừa 6</v>
      </c>
      <c r="AZ318" s="53" t="s">
        <v>154</v>
      </c>
      <c r="BA318" s="53"/>
      <c r="BB318" s="53"/>
      <c r="BC318" s="53" t="s">
        <v>57</v>
      </c>
      <c r="BD318" s="53">
        <v>16</v>
      </c>
      <c r="BE318" s="83"/>
      <c r="BF318" s="53"/>
      <c r="BG318" s="53"/>
    </row>
    <row r="319" spans="3:59" ht="14.25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8"/>
        <v>4</v>
      </c>
      <c r="M319" s="26">
        <f t="shared" si="19"/>
        <v>4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>
        <v>4</v>
      </c>
      <c r="AU319" s="26"/>
      <c r="AV319" s="67" t="e">
        <f>SUMIFS([1]Up!$J:$J,[1]Up!$D:$D,D319)</f>
        <v>#VALUE!</v>
      </c>
      <c r="AW319" s="82"/>
      <c r="AX319" s="82" t="str">
        <f t="shared" si="20"/>
        <v>PL10</v>
      </c>
      <c r="AY319" s="53" t="str">
        <f t="shared" si="21"/>
        <v/>
      </c>
      <c r="AZ319" s="53" t="s">
        <v>148</v>
      </c>
      <c r="BA319" s="84" t="s">
        <v>210</v>
      </c>
      <c r="BB319" s="53"/>
      <c r="BC319" s="53" t="s">
        <v>211</v>
      </c>
      <c r="BD319" s="53">
        <v>8</v>
      </c>
      <c r="BE319" s="83">
        <v>46201</v>
      </c>
      <c r="BF319" s="53"/>
      <c r="BG319" s="53"/>
    </row>
    <row r="320" spans="3:59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8"/>
        <v>22</v>
      </c>
      <c r="M320" s="26">
        <f t="shared" si="19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26"/>
      <c r="AT320" s="26"/>
      <c r="AU320" s="26"/>
      <c r="AV320" s="67" t="e">
        <f>SUMIFS([1]Up!$J:$J,[1]Up!$D:$D,D320)</f>
        <v>#VALUE!</v>
      </c>
      <c r="AW320" s="82" t="s">
        <v>2380</v>
      </c>
      <c r="AX320" s="82" t="str">
        <f t="shared" si="20"/>
        <v>PL15</v>
      </c>
      <c r="AY320" s="53" t="str">
        <f t="shared" si="21"/>
        <v/>
      </c>
      <c r="AZ320" s="53" t="s">
        <v>148</v>
      </c>
      <c r="BA320" s="84" t="s">
        <v>200</v>
      </c>
      <c r="BB320" s="53"/>
      <c r="BC320" s="53" t="s">
        <v>201</v>
      </c>
      <c r="BD320" s="53">
        <v>24</v>
      </c>
      <c r="BE320" s="83">
        <v>46201</v>
      </c>
      <c r="BF320" s="53"/>
      <c r="BG320" s="53"/>
    </row>
    <row r="321" spans="3:59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8"/>
        <v>8</v>
      </c>
      <c r="M321" s="26">
        <f t="shared" si="1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26"/>
      <c r="AT321" s="26"/>
      <c r="AU321" s="26"/>
      <c r="AV321" s="67" t="e">
        <f>SUMIFS([1]Up!$J:$J,[1]Up!$D:$D,D321)</f>
        <v>#VALUE!</v>
      </c>
      <c r="AW321" s="82" t="s">
        <v>2379</v>
      </c>
      <c r="AX321" s="82" t="str">
        <f t="shared" si="20"/>
        <v>PL15</v>
      </c>
      <c r="AY321" s="53" t="str">
        <f t="shared" si="21"/>
        <v/>
      </c>
      <c r="AZ321" s="53" t="s">
        <v>148</v>
      </c>
      <c r="BA321" s="84" t="s">
        <v>200</v>
      </c>
      <c r="BB321" s="53"/>
      <c r="BC321" s="53" t="s">
        <v>201</v>
      </c>
      <c r="BD321" s="53">
        <v>8</v>
      </c>
      <c r="BE321" s="83">
        <v>46201</v>
      </c>
      <c r="BF321" s="53"/>
      <c r="BG321" s="53"/>
    </row>
    <row r="322" spans="3:59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8"/>
        <v>16</v>
      </c>
      <c r="M322" s="26">
        <f t="shared" si="1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26"/>
      <c r="AT322" s="26"/>
      <c r="AU322" s="26"/>
      <c r="AV322" s="67" t="e">
        <f>SUMIFS([1]Up!$J:$J,[1]Up!$D:$D,D322)</f>
        <v>#VALUE!</v>
      </c>
      <c r="AW322" s="82" t="s">
        <v>2381</v>
      </c>
      <c r="AX322" s="82" t="str">
        <f t="shared" si="20"/>
        <v>PL15</v>
      </c>
      <c r="AY322" s="53" t="str">
        <f t="shared" si="21"/>
        <v/>
      </c>
      <c r="AZ322" s="53" t="s">
        <v>148</v>
      </c>
      <c r="BA322" s="53"/>
      <c r="BB322" s="53"/>
      <c r="BC322" s="53"/>
      <c r="BD322" s="53"/>
      <c r="BE322" s="83"/>
      <c r="BF322" s="53"/>
      <c r="BG322" s="53"/>
    </row>
    <row r="323" spans="3:59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8"/>
        <v>8</v>
      </c>
      <c r="M323" s="26">
        <f t="shared" si="1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26"/>
      <c r="AT323" s="26"/>
      <c r="AU323" s="26"/>
      <c r="AV323" s="67" t="e">
        <f>SUMIFS([1]Up!$J:$J,[1]Up!$D:$D,D323)</f>
        <v>#VALUE!</v>
      </c>
      <c r="AW323" s="82" t="s">
        <v>2379</v>
      </c>
      <c r="AX323" s="82" t="str">
        <f t="shared" si="20"/>
        <v>PL15</v>
      </c>
      <c r="AY323" s="53" t="str">
        <f t="shared" si="21"/>
        <v/>
      </c>
      <c r="AZ323" s="53" t="s">
        <v>148</v>
      </c>
      <c r="BA323" s="53"/>
      <c r="BB323" s="53"/>
      <c r="BC323" s="53"/>
      <c r="BD323" s="53"/>
      <c r="BE323" s="83"/>
      <c r="BF323" s="53"/>
      <c r="BG323" s="53"/>
    </row>
    <row r="324" spans="3:59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8"/>
        <v>2</v>
      </c>
      <c r="M324" s="26">
        <f t="shared" si="19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26"/>
      <c r="AT324" s="26"/>
      <c r="AU324" s="26"/>
      <c r="AV324" s="67" t="e">
        <f>SUMIFS([1]Up!$J:$J,[1]Up!$D:$D,D324)</f>
        <v>#VALUE!</v>
      </c>
      <c r="AW324" s="82" t="s">
        <v>2252</v>
      </c>
      <c r="AX324" s="82" t="e">
        <f t="shared" si="20"/>
        <v>#VALUE!</v>
      </c>
      <c r="AY324" s="53" t="str">
        <f t="shared" si="21"/>
        <v/>
      </c>
      <c r="AZ324" s="53" t="s">
        <v>154</v>
      </c>
      <c r="BA324" s="53"/>
      <c r="BB324" s="53"/>
      <c r="BC324" s="53"/>
      <c r="BD324" s="53"/>
      <c r="BE324" s="83"/>
      <c r="BF324" s="53"/>
      <c r="BG324" s="53"/>
    </row>
    <row r="325" spans="3:59" ht="14.25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8"/>
        <v>4</v>
      </c>
      <c r="M325" s="26">
        <f t="shared" si="19"/>
        <v>4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>
        <v>4</v>
      </c>
      <c r="AU325" s="26"/>
      <c r="AV325" s="67" t="e">
        <f>SUMIFS([1]Up!$J:$J,[1]Up!$D:$D,D325)</f>
        <v>#VALUE!</v>
      </c>
      <c r="AW325" s="82"/>
      <c r="AX325" s="82" t="str">
        <f t="shared" si="20"/>
        <v>PL10</v>
      </c>
      <c r="AY325" s="53" t="str">
        <f t="shared" si="21"/>
        <v/>
      </c>
      <c r="AZ325" s="53" t="s">
        <v>148</v>
      </c>
      <c r="BA325" s="53"/>
      <c r="BB325" s="53"/>
      <c r="BC325" s="53"/>
      <c r="BD325" s="53"/>
      <c r="BE325" s="83"/>
      <c r="BF325" s="53"/>
      <c r="BG325" s="53"/>
    </row>
    <row r="326" spans="3:59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67"/>
      <c r="AW326" s="82"/>
      <c r="AX326" s="82"/>
      <c r="AY326" s="53"/>
      <c r="AZ326" s="53"/>
      <c r="BA326" s="53"/>
      <c r="BB326" s="53"/>
      <c r="BC326" s="53"/>
      <c r="BD326" s="85"/>
      <c r="BE326" s="53"/>
      <c r="BF326" s="53"/>
      <c r="BG326" s="53"/>
    </row>
    <row r="327" spans="3:59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67"/>
      <c r="AW327" s="82"/>
      <c r="AX327" s="82"/>
      <c r="AY327" s="53"/>
      <c r="AZ327" s="53"/>
      <c r="BA327" s="53"/>
      <c r="BB327" s="53"/>
      <c r="BC327" s="53"/>
      <c r="BD327" s="85"/>
      <c r="BE327" s="53"/>
      <c r="BF327" s="53"/>
      <c r="BG327" s="53"/>
    </row>
    <row r="328" spans="3:59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67"/>
      <c r="AW328" s="82"/>
      <c r="AX328" s="82"/>
      <c r="AY328" s="53"/>
      <c r="AZ328" s="53"/>
      <c r="BA328" s="53"/>
      <c r="BB328" s="53"/>
      <c r="BC328" s="53"/>
      <c r="BD328" s="85"/>
      <c r="BE328" s="53"/>
      <c r="BF328" s="53"/>
      <c r="BG328" s="53"/>
    </row>
    <row r="329" spans="3:59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67"/>
      <c r="AW329" s="82"/>
      <c r="AX329" s="82"/>
      <c r="AY329" s="53"/>
      <c r="AZ329" s="53"/>
      <c r="BA329" s="53"/>
      <c r="BB329" s="53"/>
      <c r="BC329" s="53"/>
      <c r="BD329" s="85"/>
      <c r="BE329" s="53"/>
      <c r="BF329" s="53"/>
      <c r="BG329" s="53"/>
    </row>
    <row r="330" spans="3:59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67"/>
      <c r="AW330" s="82"/>
      <c r="AX330" s="82"/>
      <c r="AY330" s="53"/>
      <c r="AZ330" s="53"/>
      <c r="BA330" s="53"/>
      <c r="BB330" s="53"/>
      <c r="BC330" s="53"/>
      <c r="BD330" s="85"/>
      <c r="BE330" s="53"/>
      <c r="BF330" s="53"/>
      <c r="BG330" s="53"/>
    </row>
    <row r="331" spans="3:59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67"/>
      <c r="AW331" s="82"/>
      <c r="AX331" s="82"/>
      <c r="AY331" s="53"/>
      <c r="AZ331" s="53"/>
      <c r="BA331" s="53"/>
      <c r="BB331" s="53"/>
      <c r="BC331" s="53"/>
      <c r="BD331" s="85"/>
      <c r="BE331" s="53"/>
      <c r="BF331" s="53"/>
      <c r="BG331" s="53"/>
    </row>
    <row r="332" spans="3:59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67"/>
      <c r="AW332" s="82"/>
      <c r="AX332" s="82"/>
      <c r="AY332" s="53"/>
      <c r="AZ332" s="53"/>
      <c r="BA332" s="53"/>
      <c r="BB332" s="53"/>
      <c r="BC332" s="53"/>
      <c r="BD332" s="85"/>
      <c r="BE332" s="53"/>
      <c r="BF332" s="53"/>
      <c r="BG332" s="53"/>
    </row>
  </sheetData>
  <autoFilter ref="C29:BG332" xr:uid="{B5DE6D30-F474-449D-82A7-1262A8A8C8BB}">
    <filterColumn colId="45">
      <filters>
        <filter val="4.0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4</v>
      </c>
      <c r="X59" s="135">
        <f ca="1">SUMIFS(T:T,C:C,C59,AE:AE,"")/SUMIFS(L:L,C:C,C59,AE:AE,"",AB:AB,"")</f>
        <v>0.875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46">
        <f t="shared" ca="1" si="116"/>
        <v>4</v>
      </c>
      <c r="V61" s="146">
        <f t="shared" ca="1" si="117"/>
        <v>4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4</v>
      </c>
      <c r="AO61" s="146">
        <f t="shared" ca="1" si="124"/>
        <v>0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4</v>
      </c>
      <c r="X64" s="135">
        <f ca="1">SUMIFS(T:T,C:C,C64,AE:AE,"")/SUMIFS(L:L,C:C,C64,AE:AE,"",AB:AB,"")</f>
        <v>0.875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4</v>
      </c>
      <c r="U66" s="146">
        <f t="shared" ca="1" si="134"/>
        <v>4</v>
      </c>
      <c r="V66" s="146">
        <f t="shared" ca="1" si="135"/>
        <v>4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4</v>
      </c>
      <c r="AO66" s="146">
        <f t="shared" ca="1" si="142"/>
        <v>0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2</v>
      </c>
      <c r="X69" s="135">
        <f ca="1">SUMIFS(T:T,C:C,C69,AE:AE,"")/SUMIFS(L:L,C:C,C69,AE:AE,"",AB:AB,"")</f>
        <v>0.75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4</v>
      </c>
      <c r="U73" s="146">
        <f t="shared" ca="1" si="152"/>
        <v>4</v>
      </c>
      <c r="V73" s="146">
        <f t="shared" ca="1" si="153"/>
        <v>4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4</v>
      </c>
      <c r="AO73" s="146">
        <f t="shared" ca="1" si="160"/>
        <v>0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0.26785714285714285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</v>
      </c>
      <c r="U180" s="146">
        <f t="shared" ca="1" si="301"/>
        <v>1</v>
      </c>
      <c r="V180" s="146">
        <f t="shared" ca="1" si="302"/>
        <v>1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2</v>
      </c>
      <c r="AO180" s="146">
        <f t="shared" ca="1" si="309"/>
        <v>2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1</v>
      </c>
      <c r="X202" s="135">
        <f ca="1">SUMIFS(T:T,C:C,C202,AE:AE,"")/SUMIFS(L:L,C:C,C202,AE:AE,"",AB:AB,"")</f>
        <v>1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74"/>
        <v>0</v>
      </c>
      <c r="V205" s="146">
        <f t="shared" ca="1" si="375"/>
        <v>1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1</v>
      </c>
      <c r="AJ205" s="146">
        <f t="shared" ca="1" si="379"/>
        <v>0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1</v>
      </c>
      <c r="X220" s="135">
        <f ca="1">SUMIFS(T:T,C:C,C220,AE:AE,"")/SUMIFS(L:L,C:C,C220,AE:AE,"",AB:AB,"")</f>
        <v>1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146">
        <f t="shared" ca="1" si="428"/>
        <v>0</v>
      </c>
      <c r="V223" s="146">
        <f t="shared" ca="1" si="429"/>
        <v>1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1</v>
      </c>
      <c r="AJ223" s="146">
        <f t="shared" ca="1" si="433"/>
        <v>0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>
    <tabColor rgb="FF7030A0"/>
    <pageSetUpPr fitToPage="1"/>
  </sheetPr>
  <dimension ref="C1:BT559"/>
  <sheetViews>
    <sheetView zoomScaleNormal="100" workbookViewId="0">
      <pane xSplit="13" ySplit="29" topLeftCell="N291" activePane="bottomRight" state="frozen"/>
      <selection activeCell="AJ30" sqref="AJ30"/>
      <selection pane="topRight" activeCell="AJ30" sqref="AJ30"/>
      <selection pane="bottomLeft" activeCell="AJ30" sqref="AJ30"/>
      <selection pane="bottomRight" activeCell="G38" sqref="G3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8" width="6.875" style="3" customWidth="1"/>
    <col min="59" max="59" width="7.25" style="3" customWidth="1"/>
    <col min="60" max="60" width="8.625" style="3" customWidth="1"/>
    <col min="61" max="61" width="9.875" style="3" customWidth="1"/>
    <col min="62" max="62" width="8.625" style="3" customWidth="1"/>
    <col min="63" max="63" width="8.75" style="3" customWidth="1"/>
    <col min="64" max="64" width="7.5" style="3" customWidth="1"/>
    <col min="65" max="65" width="11.125" style="3" customWidth="1"/>
    <col min="66" max="67" width="9" style="3" customWidth="1"/>
    <col min="68" max="68" width="8.75" style="3" customWidth="1"/>
    <col min="69" max="69" width="8.625" style="3" customWidth="1"/>
    <col min="70" max="71" width="9" style="3" customWidth="1"/>
    <col min="72" max="16384" width="8.75" style="3"/>
  </cols>
  <sheetData>
    <row r="1" spans="4:59" ht="19.5">
      <c r="D1" s="1" t="s">
        <v>951</v>
      </c>
      <c r="E1" s="2"/>
      <c r="F1" s="2"/>
      <c r="G1" s="2"/>
      <c r="H1" s="2"/>
    </row>
    <row r="2" spans="4:59" ht="13.5" thickBot="1"/>
    <row r="3" spans="4:5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</row>
    <row r="4" spans="4:5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5"/>
    </row>
    <row r="5" spans="4:59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105</v>
      </c>
      <c r="H5" s="26" cm="1">
        <f t="array" ref="H5">SUMPRODUCT(--($C$30:$C$556=$D5),$L$30:$L$556,$J$30:$J$556)</f>
        <v>1323.6206</v>
      </c>
      <c r="I5" s="26" cm="1">
        <f t="array" ref="I5">SUMPRODUCT(--($C$30:$C$556=$D5),$M$30:$M$556)</f>
        <v>137</v>
      </c>
      <c r="J5" s="27" cm="1">
        <f t="array" ref="J5">SUMPRODUCT(--($C$30:$C$556=$D5),$M$30:$M$556,$J$30:$J$556)</f>
        <v>1316.97452</v>
      </c>
      <c r="L5" s="28" t="s">
        <v>12</v>
      </c>
      <c r="M5" s="29">
        <f>G8</f>
        <v>1028</v>
      </c>
      <c r="N5" s="30">
        <f>H8</f>
        <v>123520.0906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</row>
    <row r="6" spans="4:59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923</v>
      </c>
      <c r="H6" s="26" cm="1">
        <f t="array" ref="H6">SUMPRODUCT(--($C$30:$C$556=$D6),$L$30:$L$556,$J$30:$J$556)</f>
        <v>122196.47</v>
      </c>
      <c r="I6" s="26" cm="1">
        <f t="array" ref="I6">SUMPRODUCT(--($C$30:$C$556=$D6),$M$30:$M$556)</f>
        <v>819</v>
      </c>
      <c r="J6" s="27" cm="1">
        <f t="array" ref="J6">SUMPRODUCT(--($C$30:$C$556=$D6),$M$30:$M$556,$J$30:$J$556)</f>
        <v>66864.688726114633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</row>
    <row r="7" spans="4:59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9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1028</v>
      </c>
      <c r="H8" s="41">
        <f t="shared" si="0"/>
        <v>123520.0906</v>
      </c>
      <c r="I8" s="41">
        <f t="shared" si="0"/>
        <v>1065</v>
      </c>
      <c r="J8" s="42">
        <f t="shared" si="0"/>
        <v>70429.572846114635</v>
      </c>
    </row>
    <row r="9" spans="4:59" ht="13.5" hidden="1" outlineLevel="1" thickTop="1"/>
    <row r="10" spans="4:59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9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</row>
    <row r="12" spans="4:59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</row>
    <row r="13" spans="4:59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</row>
    <row r="14" spans="4:59" ht="13.5" hidden="1" outlineLevel="2" thickTop="1">
      <c r="D14" s="56" t="s">
        <v>18</v>
      </c>
      <c r="E14" s="50" cm="1">
        <f t="array" ref="E14">SUMPRODUCT(--($C$30:$C$556=$D$11),--($E$30:$E$556=E$11),$L$30:$L$556,$G$30:$G$556)</f>
        <v>10318</v>
      </c>
      <c r="F14" s="50" cm="1">
        <f t="array" ref="F14">SUMPRODUCT(--($C$30:$C$556=$D$11),--($E$30:$E$556=F$11),$L$30:$L$556,$G$30:$G$556)</f>
        <v>2730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1520</v>
      </c>
      <c r="J14" s="50" cm="1">
        <f t="array" ref="J14">SUMPRODUCT(--($C$30:$C$556=$D$11),--($E$30:$E$556=J$11),$L$30:$L$556,$G$30:$G$556)</f>
        <v>376</v>
      </c>
      <c r="K14" s="50" cm="1">
        <f t="array" ref="K14">SUMPRODUCT(--($C$30:$C$556=$D$11),--($E$30:$E$556=K$11),$L$30:$L$556,$G$30:$G$556)</f>
        <v>1304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</row>
    <row r="15" spans="4:59" ht="13.5" hidden="1" outlineLevel="2" thickTop="1">
      <c r="D15" s="56" t="s">
        <v>19</v>
      </c>
      <c r="E15" s="53" cm="1">
        <f t="array" ref="E15">SUMPRODUCT(--($C$30:$C$556=$D$11),--($E$30:$E$556=E$11),$L$30:$L$556)</f>
        <v>14</v>
      </c>
      <c r="F15" s="53" cm="1">
        <f t="array" ref="F15">SUMPRODUCT(--($C$30:$C$556=$D$11),--($E$30:$E$556=F$11),$L$30:$L$556)</f>
        <v>4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16</v>
      </c>
      <c r="J15" s="53" cm="1">
        <f t="array" ref="J15">SUMPRODUCT(--($C$30:$C$556=$D$11),--($E$30:$E$556=J$11),$L$30:$L$556)</f>
        <v>2</v>
      </c>
      <c r="K15" s="53" cm="1">
        <f t="array" ref="K15">SUMPRODUCT(--($C$30:$C$556=$D$11),--($E$30:$E$556=K$11),$L$30:$L$556)</f>
        <v>4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</row>
    <row r="16" spans="4:59" ht="13.5" hidden="1" outlineLevel="2" thickTop="1">
      <c r="D16" s="56" t="s">
        <v>20</v>
      </c>
      <c r="E16" s="50" cm="1">
        <f t="array" ref="E16">SUMPRODUCT(--($C$30:$C$556=$D$11),--($E$30:$E$556=E$11),$M$30:$M$556,$G$30:$G$556)</f>
        <v>9581</v>
      </c>
      <c r="F16" s="50" cm="1">
        <f t="array" ref="F16">SUMPRODUCT(--($C$30:$C$556=$D$11),--($E$30:$E$556=F$11),$M$30:$M$556,$G$30:$G$556)</f>
        <v>2730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4560</v>
      </c>
      <c r="J16" s="50" cm="1">
        <f t="array" ref="J16">SUMPRODUCT(--($C$30:$C$556=$D$11),--($E$30:$E$556=J$11),$M$30:$M$556,$G$30:$G$556)</f>
        <v>376</v>
      </c>
      <c r="K16" s="50" cm="1">
        <f t="array" ref="K16">SUMPRODUCT(--($C$30:$C$556=$D$11),--($E$30:$E$556=K$11),$M$30:$M$556,$G$30:$G$556)</f>
        <v>1304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3:71" ht="13.5" hidden="1" outlineLevel="2" thickTop="1">
      <c r="D17" s="57" t="s">
        <v>21</v>
      </c>
      <c r="E17" s="58" cm="1">
        <f t="array" ref="E17">SUMPRODUCT(--($C$30:$C$556=$D$11),--($E$30:$E$556=E$11),$M$30:$M$556)</f>
        <v>13</v>
      </c>
      <c r="F17" s="58" cm="1">
        <f t="array" ref="F17">SUMPRODUCT(--($C$30:$C$556=$D$11),--($E$30:$E$556=F$11),$M$30:$M$556)</f>
        <v>4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48</v>
      </c>
      <c r="J17" s="58" cm="1">
        <f t="array" ref="J17">SUMPRODUCT(--($C$30:$C$556=$D$11),--($E$30:$E$556=J$11),$M$30:$M$556)</f>
        <v>2</v>
      </c>
      <c r="K17" s="58" cm="1">
        <f t="array" ref="K17">SUMPRODUCT(--($C$30:$C$556=$D$11),--($E$30:$E$556=K$11),$M$30:$M$556)</f>
        <v>4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</row>
    <row r="18" spans="3:71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27.3</v>
      </c>
      <c r="F18" s="61" cm="1">
        <f t="array" ref="F18">SUMPRODUCT(--($C$30:$C$556=$D$11),--($E$30:$E$556=F$11),$M$30:$M$556,$J$30:$J$556)</f>
        <v>450.06780000000003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14.399999999999999</v>
      </c>
      <c r="J18" s="61" cm="1">
        <f t="array" ref="J18">SUMPRODUCT(--($C$30:$C$556=$D$11),--($E$30:$E$556=J$11),$M$30:$M$556,$J$30:$J$556)</f>
        <v>0.6</v>
      </c>
      <c r="K18" s="61" cm="1">
        <f t="array" ref="K18">SUMPRODUCT(--($C$30:$C$556=$D$11),--($E$30:$E$556=K$11),$M$30:$M$556,$J$30:$J$556)</f>
        <v>3.2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</row>
    <row r="19" spans="3:71" ht="13.5" hidden="1" outlineLevel="1" thickTop="1"/>
    <row r="20" spans="3:71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71" ht="13.5" hidden="1" outlineLevel="1" thickTop="1">
      <c r="D21" s="63" t="s">
        <v>13</v>
      </c>
      <c r="E21" s="64" t="str" cm="1">
        <f t="array" ref="E21:P21">_xlfn._xlws.SORT(MID(TRANSPOSE(_xlfn.UNIQUE(_xlfn._xlws.FILTER(BJ30:BJ556,(C30:C556=$D$21)*(M30:M556&lt;&gt;0)))),3,3),,1)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</row>
    <row r="22" spans="3:71" ht="30.75" hidden="1" customHeight="1" outlineLevel="2">
      <c r="D22" s="66" t="s">
        <v>24</v>
      </c>
      <c r="E22" s="67" cm="1">
        <f t="array" ref="E22">SUMPRODUCT(--($C$30:$C$556=$D$21),--($BJ$30:$BJ$556="PL"&amp;E$21),$J$30:$J$556,$I$30:$I$556)/(7.85*E$21)</f>
        <v>1.1627700920929855</v>
      </c>
      <c r="F22" s="67" cm="1">
        <f t="array" ref="F22">SUMPRODUCT(--($C$30:$C$556=$D$21),--($BJ$30:$BJ$556="PL"&amp;F$21),$J$30:$J$556,$I$30:$I$556)/(7.85*F$21)</f>
        <v>0.81188959660297255</v>
      </c>
      <c r="G22" s="67" cm="1">
        <f t="array" ref="G22">SUMPRODUCT(--($C$30:$C$556=$D$21),--($BJ$30:$BJ$556="PL"&amp;G$21),$J$30:$J$556,$I$30:$I$556)/(7.85*G$21)</f>
        <v>2.6751592356687901</v>
      </c>
      <c r="H22" s="67" cm="1">
        <f t="array" ref="H22">SUMPRODUCT(--($C$30:$C$556=$D$21),--($BJ$30:$BJ$556="PL"&amp;H$21),$J$30:$J$556,$I$30:$I$556)/(7.85*H$21)</f>
        <v>3.8471337579617839</v>
      </c>
      <c r="I22" s="67" cm="1">
        <f t="array" ref="I22">SUMPRODUCT(--($C$30:$C$556=$D$21),--($BJ$30:$BJ$556="PL"&amp;I$21),$J$30:$J$556,$I$30:$I$556)/(7.85*I$21)</f>
        <v>8.4920382165605055</v>
      </c>
      <c r="J22" s="67" cm="1">
        <f t="array" ref="J22">SUMPRODUCT(--($C$30:$C$556=$D$21),--($BJ$30:$BJ$556="PL"&amp;J$21),$J$30:$J$556,$I$30:$I$556)/(7.85*J$21)</f>
        <v>0.89171974522292996</v>
      </c>
      <c r="K22" s="67" cm="1">
        <f t="array" ref="K22">SUMPRODUCT(--($C$30:$C$556=$D$21),--($BJ$30:$BJ$556="PL"&amp;K$21),$J$30:$J$556,$I$30:$I$556)/(7.85*K$21)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</row>
    <row r="23" spans="3:71" ht="21" hidden="1" customHeight="1" outlineLevel="2">
      <c r="D23" s="66" t="s">
        <v>17</v>
      </c>
      <c r="E23" s="69" cm="1">
        <f t="array" ref="E23">SUMPRODUCT(--($C$30:$C$556=$D$21),--($BJ$30:$BJ$556="PL"&amp;E$21),$I$30:$I$556)</f>
        <v>52</v>
      </c>
      <c r="F23" s="69" cm="1">
        <f t="array" ref="F23">SUMPRODUCT(--($C$30:$C$556=$D$21),--($BJ$30:$BJ$556="PL"&amp;F$21),$I$30:$I$556)</f>
        <v>35</v>
      </c>
      <c r="G23" s="69" cm="1">
        <f t="array" ref="G23">SUMPRODUCT(--($C$30:$C$556=$D$21),--($BJ$30:$BJ$556="PL"&amp;G$21),$I$30:$I$556)</f>
        <v>111</v>
      </c>
      <c r="H23" s="69" cm="1">
        <f t="array" ref="H23">SUMPRODUCT(--($C$30:$C$556=$D$21),--($BJ$30:$BJ$556="PL"&amp;H$21),$I$30:$I$556)</f>
        <v>214</v>
      </c>
      <c r="I23" s="69" cm="1">
        <f t="array" ref="I23">SUMPRODUCT(--($C$30:$C$556=$D$21),--($BJ$30:$BJ$556="PL"&amp;I$21),$I$30:$I$556)</f>
        <v>296</v>
      </c>
      <c r="J23" s="69" cm="1">
        <f t="array" ref="J23">SUMPRODUCT(--($C$30:$C$556=$D$21),--($BJ$30:$BJ$556="PL"&amp;J$21),$I$30:$I$556)</f>
        <v>32</v>
      </c>
      <c r="K23" s="69" cm="1">
        <f t="array" ref="K23">SUMPRODUCT(--($C$30:$C$556=$D$21),--($BJ$30:$BJ$556="PL"&amp;K$21),$I$30:$I$556)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</row>
    <row r="24" spans="3:71" ht="25.9" hidden="1" customHeight="1" outlineLevel="2">
      <c r="D24" s="66" t="s">
        <v>25</v>
      </c>
      <c r="E24" s="67" cm="1">
        <f t="array" ref="E24">SUMPRODUCT(--($C$30:$C$556=$D$21),--($BJ$30:$BJ$556="PL"&amp;E$21),$J$30:$J$556,$M$30:$M$556)/(7.85*E$21)</f>
        <v>0.85703760801655227</v>
      </c>
      <c r="F24" s="67" cm="1">
        <f t="array" ref="F24">SUMPRODUCT(--($C$30:$C$556=$D$21),--($BJ$30:$BJ$556="PL"&amp;F$21),$J$30:$J$556,$M$30:$M$556)/(7.85*F$21)</f>
        <v>0.58598726114649691</v>
      </c>
      <c r="G24" s="67" cm="1">
        <f t="array" ref="G24">SUMPRODUCT(--($C$30:$C$556=$D$21),--($BJ$30:$BJ$556="PL"&amp;G$21),$J$30:$J$556,$M$30:$M$556)/(7.85*G$21)</f>
        <v>1.8821656050955413</v>
      </c>
      <c r="H24" s="67" cm="1">
        <f t="array" ref="H24">SUMPRODUCT(--($C$30:$C$556=$D$21),--($BJ$30:$BJ$556="PL"&amp;H$21),$J$30:$J$556,$M$30:$M$556)/(7.85*H$21)</f>
        <v>2.5987261146496814</v>
      </c>
      <c r="I24" s="67" cm="1">
        <f t="array" ref="I24">SUMPRODUCT(--($C$30:$C$556=$D$21),--($BJ$30:$BJ$556="PL"&amp;I$21),$J$30:$J$556,$M$30:$M$556)/(7.85*I$21)</f>
        <v>2.6122611464968157</v>
      </c>
      <c r="J24" s="67" cm="1">
        <f t="array" ref="J24">SUMPRODUCT(--($C$30:$C$556=$D$21),--($BJ$30:$BJ$556="PL"&amp;J$21),$J$30:$J$556,$M$30:$M$556)/(7.85*J$21)</f>
        <v>0.61305732484076436</v>
      </c>
      <c r="K24" s="67" cm="1">
        <f t="array" ref="K24">SUMPRODUCT(--($C$30:$C$556=$D$21),--($BJ$30:$BJ$556="PL"&amp;K$21),$J$30:$J$556,$M$30:$M$556)/(7.85*K$21)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</row>
    <row r="25" spans="3:71" ht="19.5" hidden="1" customHeight="1" outlineLevel="2">
      <c r="D25" s="71" t="s">
        <v>26</v>
      </c>
      <c r="E25" s="69" cm="1">
        <f t="array" ref="E25">SUMPRODUCT(--($C$30:$C$556=$D$21),--($BJ$30:$BJ$556="PL"&amp;E$21),$M$30:$M$556)</f>
        <v>36</v>
      </c>
      <c r="F25" s="69" cm="1">
        <f t="array" ref="F25">SUMPRODUCT(--($C$30:$C$556=$D$21),--($BJ$30:$BJ$556="PL"&amp;F$21),$M$30:$M$556)</f>
        <v>26</v>
      </c>
      <c r="G25" s="69" cm="1">
        <f t="array" ref="G25">SUMPRODUCT(--($C$30:$C$556=$D$21),--($BJ$30:$BJ$556="PL"&amp;G$21),$M$30:$M$556)</f>
        <v>80</v>
      </c>
      <c r="H25" s="69" cm="1">
        <f t="array" ref="H25">SUMPRODUCT(--($C$30:$C$556=$D$21),--($BJ$30:$BJ$556="PL"&amp;H$21),$M$30:$M$556)</f>
        <v>156</v>
      </c>
      <c r="I25" s="69" cm="1">
        <f t="array" ref="I25">SUMPRODUCT(--($C$30:$C$556=$D$21),--($BJ$30:$BJ$556="PL"&amp;I$21),$M$30:$M$556)</f>
        <v>87</v>
      </c>
      <c r="J25" s="69" cm="1">
        <f t="array" ref="J25">SUMPRODUCT(--($C$30:$C$556=$D$21),--($BJ$30:$BJ$556="PL"&amp;J$21),$M$30:$M$556)</f>
        <v>22</v>
      </c>
      <c r="K25" s="69" cm="1">
        <f t="array" ref="K25">SUMPRODUCT(--($C$30:$C$556=$D$21),--($BJ$30:$BJ$556="PL"&amp;K$21),$M$30:$M$556)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</row>
    <row r="26" spans="3:71" ht="25.9" hidden="1" customHeight="1" outlineLevel="1" collapsed="1" thickBot="1">
      <c r="D26" s="72" t="s">
        <v>27</v>
      </c>
      <c r="E26" s="67" cm="1">
        <f t="array" ref="E26">SUMPRODUCT(--($C$30:$C$556=$D$21),--($BJ$30:$BJ$556="PL"&amp;E$21),$J$30:$J$556,$M$30:$M$556)</f>
        <v>33.638726114649678</v>
      </c>
      <c r="F26" s="67" cm="1">
        <f t="array" ref="F26">SUMPRODUCT(--($C$30:$C$556=$D$21),--($BJ$30:$BJ$556="PL"&amp;F$21),$J$30:$J$556,$M$30:$M$556)</f>
        <v>13.8</v>
      </c>
      <c r="G26" s="67" cm="1">
        <f t="array" ref="G26">SUMPRODUCT(--($C$30:$C$556=$D$21),--($BJ$30:$BJ$556="PL"&amp;G$21),$J$30:$J$556,$M$30:$M$556)</f>
        <v>29.549999999999997</v>
      </c>
      <c r="H26" s="67" cm="1">
        <f t="array" ref="H26">SUMPRODUCT(--($C$30:$C$556=$D$21),--($BJ$30:$BJ$556="PL"&amp;H$21),$J$30:$J$556,$M$30:$M$556)</f>
        <v>20.399999999999999</v>
      </c>
      <c r="I26" s="67" cm="1">
        <f t="array" ref="I26">SUMPRODUCT(--($C$30:$C$556=$D$21),--($BJ$30:$BJ$556="PL"&amp;I$21),$J$30:$J$556,$M$30:$M$556)</f>
        <v>328.1</v>
      </c>
      <c r="J26" s="67" cm="1">
        <f t="array" ref="J26">SUMPRODUCT(--($C$30:$C$556=$D$21),--($BJ$30:$BJ$556="PL"&amp;J$21),$J$30:$J$556,$M$30:$M$556)</f>
        <v>192.5</v>
      </c>
      <c r="K26" s="67" cm="1">
        <f t="array" ref="K26">SUMPRODUCT(--($C$30:$C$556=$D$21),--($BJ$30:$BJ$556="PL"&amp;K$21),$J$30:$J$556,$M$30:$M$556)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</row>
    <row r="27" spans="3:71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334.3</v>
      </c>
      <c r="BC27" s="73" cm="1">
        <f t="array" ref="BC27">SUMPRODUCT($J$30:$J$556,BC30:BC556,--(BC30:BC556&lt;&gt;""))</f>
        <v>6.8500000000000005</v>
      </c>
      <c r="BD27" s="73" cm="1">
        <f t="array" ref="BD27">SUMPRODUCT($J$30:$J$556,BD30:BD556,--(BD30:BD556&lt;&gt;""))</f>
        <v>293.73390000000001</v>
      </c>
      <c r="BE27" s="73" cm="1">
        <f t="array" ref="BE27">SUMPRODUCT($J$30:$J$556,BE30:BE556,--(BE30:BE556&lt;&gt;""))</f>
        <v>2237.4000000000005</v>
      </c>
      <c r="BF27" s="73" cm="1">
        <f t="array" ref="BF27">SUMPRODUCT($J$30:$J$556,BF30:BF556,--(BF30:BF556&lt;&gt;""))</f>
        <v>0</v>
      </c>
      <c r="BG27" s="73" cm="1">
        <f t="array" ref="BG27">SUMPRODUCT($J$30:$J$556,BG30:BG556,--(BG30:BG556&lt;&gt;""))</f>
        <v>316.88</v>
      </c>
      <c r="BH27" s="73" t="e" cm="1">
        <f t="array" ref="BH27">SUMPRODUCT($J$30:$J$556,BH30:BH556,--(BH30:BH556&lt;&gt;""))</f>
        <v>#VALUE!</v>
      </c>
    </row>
    <row r="28" spans="3:7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 t="shared" ref="BB28:BC28" si="17">SUM(BB30:BB556)</f>
        <v>64</v>
      </c>
      <c r="BC28" s="75">
        <f t="shared" si="17"/>
        <v>25</v>
      </c>
      <c r="BD28" s="75">
        <f t="shared" ref="BD28:BE28" si="18">SUM(BD30:BD556)</f>
        <v>13</v>
      </c>
      <c r="BE28" s="75">
        <f t="shared" si="18"/>
        <v>49</v>
      </c>
      <c r="BF28" s="75">
        <f t="shared" ref="BF28" si="19">SUM(BF30:BF556)</f>
        <v>0</v>
      </c>
      <c r="BG28" s="75">
        <f>SUM(BG30:BG556)</f>
        <v>7</v>
      </c>
      <c r="BH28" s="75" t="e">
        <f t="shared" ref="BH28" si="20">SUM(BH30:BH556)</f>
        <v>#VALUE!</v>
      </c>
      <c r="BI28" s="74"/>
      <c r="BJ28" s="74"/>
    </row>
    <row r="29" spans="3:7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9">
        <v>46307</v>
      </c>
      <c r="BC29" s="79">
        <v>46339</v>
      </c>
      <c r="BD29" s="79">
        <v>46309</v>
      </c>
      <c r="BE29" s="79">
        <v>46311</v>
      </c>
      <c r="BF29" s="79">
        <v>46314</v>
      </c>
      <c r="BG29" s="78" t="s">
        <v>34</v>
      </c>
      <c r="BH29" s="77" t="s">
        <v>35</v>
      </c>
      <c r="BI29" s="77" t="s">
        <v>36</v>
      </c>
      <c r="BJ29" s="77" t="s">
        <v>37</v>
      </c>
      <c r="BK29" s="80" t="s">
        <v>38</v>
      </c>
      <c r="BL29" s="80" t="s">
        <v>39</v>
      </c>
      <c r="BM29" s="80" t="s">
        <v>40</v>
      </c>
      <c r="BN29" s="80" t="s">
        <v>41</v>
      </c>
      <c r="BO29" s="80" t="s">
        <v>42</v>
      </c>
      <c r="BP29" s="80" t="s">
        <v>43</v>
      </c>
      <c r="BQ29" s="81" t="s">
        <v>44</v>
      </c>
      <c r="BR29" s="80"/>
      <c r="BS29" s="80"/>
    </row>
    <row r="30" spans="3:71" ht="14.25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21">MIN(SUM(N30:BG30),I30)</f>
        <v>8</v>
      </c>
      <c r="M30" s="26">
        <f t="shared" ref="M30:M284" si="22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67" t="e">
        <f>SUMIFS([1]Up!$J:$J,[1]Up!$D:$D,D30)</f>
        <v>#VALUE!</v>
      </c>
      <c r="BI30" s="82"/>
      <c r="BJ30" s="82" t="str">
        <f t="shared" ref="BJ30:BJ93" si="23">IFERROR(IF(C30="Plate",LEFT(E30,FIND("*",E30,1)-1),""),IF(C30="Plate",LEFT(E30,FIND("x",E30,1)-1),""))</f>
        <v>PL5</v>
      </c>
      <c r="BK30" s="53" t="str">
        <f t="shared" ref="BK30:BK93" si="24">IF(ROUND(SUM(N30:BG30)-I30,0)&gt;0,"Thừa "&amp;SUM(N30:BG30)-I30,"")</f>
        <v/>
      </c>
      <c r="BL30" s="53" t="s">
        <v>148</v>
      </c>
      <c r="BM30" s="53" t="s">
        <v>955</v>
      </c>
      <c r="BN30" s="53" t="s">
        <v>956</v>
      </c>
      <c r="BO30" s="53" t="s">
        <v>957</v>
      </c>
      <c r="BP30" s="53">
        <v>8</v>
      </c>
      <c r="BQ30" s="83" t="s">
        <v>2222</v>
      </c>
      <c r="BR30" s="53"/>
      <c r="BS30" s="53"/>
    </row>
    <row r="31" spans="3:71" ht="14.25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21"/>
        <v>8</v>
      </c>
      <c r="M31" s="26">
        <f t="shared" si="22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67" t="e">
        <f>SUMIFS([1]Up!$J:$J,[1]Up!$D:$D,D31)</f>
        <v>#VALUE!</v>
      </c>
      <c r="BI31" s="82"/>
      <c r="BJ31" s="82" t="str">
        <f t="shared" si="23"/>
        <v>PL3</v>
      </c>
      <c r="BK31" s="53" t="str">
        <f t="shared" si="24"/>
        <v/>
      </c>
      <c r="BL31" s="53" t="s">
        <v>148</v>
      </c>
      <c r="BM31" s="53" t="s">
        <v>960</v>
      </c>
      <c r="BN31" s="53" t="s">
        <v>961</v>
      </c>
      <c r="BO31" s="53" t="s">
        <v>962</v>
      </c>
      <c r="BP31" s="53">
        <v>8</v>
      </c>
      <c r="BQ31" s="83" t="s">
        <v>2222</v>
      </c>
      <c r="BR31" s="53"/>
      <c r="BS31" s="53"/>
    </row>
    <row r="32" spans="3:71" ht="14.25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21"/>
        <v>24</v>
      </c>
      <c r="M32" s="26">
        <f t="shared" si="22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67" t="e">
        <f>SUMIFS([1]Up!$J:$J,[1]Up!$D:$D,D32)</f>
        <v>#VALUE!</v>
      </c>
      <c r="BI32" s="82"/>
      <c r="BJ32" s="82" t="str">
        <f t="shared" si="23"/>
        <v>PL2</v>
      </c>
      <c r="BK32" s="53" t="str">
        <f t="shared" si="24"/>
        <v/>
      </c>
      <c r="BL32" s="53" t="s">
        <v>148</v>
      </c>
      <c r="BM32" s="53" t="s">
        <v>965</v>
      </c>
      <c r="BN32" s="53" t="s">
        <v>966</v>
      </c>
      <c r="BO32" s="53" t="s">
        <v>967</v>
      </c>
      <c r="BP32" s="53">
        <v>24</v>
      </c>
      <c r="BQ32" s="83" t="s">
        <v>2222</v>
      </c>
      <c r="BR32" s="53"/>
      <c r="BS32" s="53"/>
    </row>
    <row r="33" spans="3:72" ht="14.25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21"/>
        <v>48</v>
      </c>
      <c r="M33" s="26">
        <f t="shared" si="22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67" t="e">
        <f>SUMIFS([1]Up!$J:$J,[1]Up!$D:$D,D33)</f>
        <v>#VALUE!</v>
      </c>
      <c r="BI33" s="82"/>
      <c r="BJ33" s="82" t="str">
        <f t="shared" si="23"/>
        <v>PL1</v>
      </c>
      <c r="BK33" s="53" t="str">
        <f t="shared" si="24"/>
        <v/>
      </c>
      <c r="BL33" s="53" t="s">
        <v>148</v>
      </c>
      <c r="BM33" s="53" t="s">
        <v>970</v>
      </c>
      <c r="BN33" s="53" t="s">
        <v>971</v>
      </c>
      <c r="BO33" s="53" t="s">
        <v>972</v>
      </c>
      <c r="BP33" s="53">
        <v>48</v>
      </c>
      <c r="BQ33" s="83" t="s">
        <v>2222</v>
      </c>
      <c r="BR33" s="53"/>
      <c r="BS33" s="53"/>
    </row>
    <row r="34" spans="3:72" ht="14.25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21"/>
        <v>0</v>
      </c>
      <c r="M34" s="26">
        <f t="shared" si="22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67" t="e">
        <f>SUMIFS([1]Up!$J:$J,[1]Up!$D:$D,D34)</f>
        <v>#VALUE!</v>
      </c>
      <c r="BI34" s="82"/>
      <c r="BJ34" s="82" t="str">
        <f t="shared" si="23"/>
        <v/>
      </c>
      <c r="BK34" s="53" t="str">
        <f t="shared" si="24"/>
        <v/>
      </c>
      <c r="BL34" s="53" t="s">
        <v>976</v>
      </c>
      <c r="BM34" s="53"/>
      <c r="BN34" s="53"/>
      <c r="BO34" s="53"/>
      <c r="BP34" s="53"/>
      <c r="BQ34" s="83"/>
      <c r="BR34" s="53"/>
      <c r="BS34" s="53"/>
    </row>
    <row r="35" spans="3:72" ht="14.25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21"/>
        <v>16</v>
      </c>
      <c r="M35" s="26">
        <f t="shared" si="22"/>
        <v>48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>
        <v>16</v>
      </c>
      <c r="BD35" s="26"/>
      <c r="BE35" s="26"/>
      <c r="BF35" s="26"/>
      <c r="BG35" s="26"/>
      <c r="BH35" s="67" t="e">
        <f>SUMIFS([1]Up!$J:$J,[1]Up!$D:$D,D35)</f>
        <v>#VALUE!</v>
      </c>
      <c r="BI35" s="82"/>
      <c r="BJ35" s="82" t="str">
        <f t="shared" si="23"/>
        <v/>
      </c>
      <c r="BK35" s="53" t="str">
        <f t="shared" si="24"/>
        <v/>
      </c>
      <c r="BL35" s="53" t="s">
        <v>154</v>
      </c>
      <c r="BM35" s="53"/>
      <c r="BN35" s="53" t="s">
        <v>980</v>
      </c>
      <c r="BO35" s="53"/>
      <c r="BP35" s="53"/>
      <c r="BQ35" s="83"/>
      <c r="BR35" s="53"/>
      <c r="BS35" s="53"/>
    </row>
    <row r="36" spans="3:72" ht="14.25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21"/>
        <v>0</v>
      </c>
      <c r="M36" s="26">
        <f t="shared" si="22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67" t="e">
        <f>SUMIFS([1]Up!$J:$J,[1]Up!$D:$D,D36)</f>
        <v>#VALUE!</v>
      </c>
      <c r="BI36" s="82"/>
      <c r="BJ36" s="82" t="str">
        <f t="shared" si="23"/>
        <v/>
      </c>
      <c r="BK36" s="53" t="str">
        <f t="shared" si="24"/>
        <v/>
      </c>
      <c r="BL36" s="53" t="s">
        <v>976</v>
      </c>
      <c r="BM36" s="53"/>
      <c r="BN36" s="53"/>
      <c r="BO36" s="53"/>
      <c r="BP36" s="53"/>
      <c r="BQ36" s="83"/>
      <c r="BR36" s="53"/>
      <c r="BS36" s="53"/>
    </row>
    <row r="37" spans="3:72" ht="14.25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21"/>
        <v>4</v>
      </c>
      <c r="M37" s="26">
        <f t="shared" si="22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26"/>
      <c r="BD37" s="26"/>
      <c r="BE37" s="26"/>
      <c r="BF37" s="26"/>
      <c r="BG37" s="26"/>
      <c r="BH37" s="67" t="e">
        <f>SUMIFS([1]Up!$J:$J,[1]Up!$D:$D,D37)</f>
        <v>#VALUE!</v>
      </c>
      <c r="BI37" s="82"/>
      <c r="BJ37" s="82" t="str">
        <f t="shared" si="23"/>
        <v>PL16</v>
      </c>
      <c r="BK37" s="53" t="str">
        <f t="shared" si="24"/>
        <v/>
      </c>
      <c r="BL37" s="53" t="s">
        <v>154</v>
      </c>
      <c r="BM37" s="53" t="s">
        <v>987</v>
      </c>
      <c r="BN37" s="53" t="s">
        <v>988</v>
      </c>
      <c r="BO37" s="53" t="s">
        <v>989</v>
      </c>
      <c r="BP37" s="53">
        <v>4</v>
      </c>
      <c r="BQ37" s="83" t="s">
        <v>2222</v>
      </c>
      <c r="BR37" s="53"/>
      <c r="BS37" s="53"/>
    </row>
    <row r="38" spans="3:72" ht="14.25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21"/>
        <v>5</v>
      </c>
      <c r="M38" s="26">
        <f t="shared" si="22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26"/>
      <c r="BD38" s="26"/>
      <c r="BE38" s="26"/>
      <c r="BF38" s="26"/>
      <c r="BG38" s="26"/>
      <c r="BH38" s="67" t="e">
        <f>SUMIFS([1]Up!$J:$J,[1]Up!$D:$D,D38)</f>
        <v>#VALUE!</v>
      </c>
      <c r="BI38" s="82"/>
      <c r="BJ38" s="82" t="str">
        <f t="shared" si="23"/>
        <v>PL40</v>
      </c>
      <c r="BK38" s="53" t="str">
        <f t="shared" si="24"/>
        <v/>
      </c>
      <c r="BL38" s="53" t="s">
        <v>148</v>
      </c>
      <c r="BM38" s="53" t="s">
        <v>992</v>
      </c>
      <c r="BN38" s="53" t="s">
        <v>993</v>
      </c>
      <c r="BO38" s="53" t="s">
        <v>994</v>
      </c>
      <c r="BP38" s="53">
        <v>4</v>
      </c>
      <c r="BQ38" s="83" t="s">
        <v>2222</v>
      </c>
      <c r="BR38" s="53"/>
      <c r="BS38" s="53"/>
    </row>
    <row r="39" spans="3:72" ht="14.25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21"/>
        <v>5</v>
      </c>
      <c r="M39" s="26">
        <f t="shared" si="22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26"/>
      <c r="BD39" s="26"/>
      <c r="BE39" s="26"/>
      <c r="BF39" s="26"/>
      <c r="BG39" s="26"/>
      <c r="BH39" s="67" t="e">
        <f>SUMIFS([1]Up!$J:$J,[1]Up!$D:$D,D39)</f>
        <v>#VALUE!</v>
      </c>
      <c r="BI39" s="82"/>
      <c r="BJ39" s="82" t="str">
        <f t="shared" si="23"/>
        <v>PL40</v>
      </c>
      <c r="BK39" s="53" t="str">
        <f t="shared" si="24"/>
        <v/>
      </c>
      <c r="BL39" s="53" t="s">
        <v>148</v>
      </c>
      <c r="BM39" s="53" t="s">
        <v>992</v>
      </c>
      <c r="BN39" s="53" t="s">
        <v>993</v>
      </c>
      <c r="BO39" s="53" t="s">
        <v>994</v>
      </c>
      <c r="BP39" s="53">
        <v>4</v>
      </c>
      <c r="BQ39" s="83" t="s">
        <v>2222</v>
      </c>
      <c r="BR39" s="53"/>
      <c r="BS39" s="53"/>
    </row>
    <row r="40" spans="3:72" ht="14.25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21"/>
        <v>10</v>
      </c>
      <c r="M40" s="26">
        <f t="shared" si="22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67" t="e">
        <f>SUMIFS([1]Up!$J:$J,[1]Up!$D:$D,D40)</f>
        <v>#VALUE!</v>
      </c>
      <c r="BI40" s="82"/>
      <c r="BJ40" s="82" t="str">
        <f t="shared" si="23"/>
        <v>PL1</v>
      </c>
      <c r="BK40" s="53" t="str">
        <f t="shared" si="24"/>
        <v/>
      </c>
      <c r="BL40" s="53" t="s">
        <v>148</v>
      </c>
      <c r="BM40" s="53" t="s">
        <v>970</v>
      </c>
      <c r="BN40" s="53" t="s">
        <v>971</v>
      </c>
      <c r="BO40" s="84" t="s">
        <v>999</v>
      </c>
      <c r="BP40" s="53">
        <v>10</v>
      </c>
      <c r="BQ40" s="83" t="s">
        <v>2223</v>
      </c>
      <c r="BR40" s="53"/>
      <c r="BS40" s="53"/>
      <c r="BT40" s="238"/>
    </row>
    <row r="41" spans="3:72" ht="14.25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21"/>
        <v>0</v>
      </c>
      <c r="M41" s="26">
        <f t="shared" si="22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67" t="e">
        <f>SUMIFS([1]Up!$J:$J,[1]Up!$D:$D,D41)</f>
        <v>#VALUE!</v>
      </c>
      <c r="BI41" s="82"/>
      <c r="BJ41" s="82" t="str">
        <f t="shared" si="23"/>
        <v/>
      </c>
      <c r="BK41" s="53" t="str">
        <f t="shared" si="24"/>
        <v/>
      </c>
      <c r="BL41" s="53" t="s">
        <v>976</v>
      </c>
      <c r="BM41" s="53"/>
      <c r="BN41" s="53"/>
      <c r="BO41" s="53"/>
      <c r="BP41" s="53"/>
      <c r="BQ41" s="83"/>
      <c r="BR41" s="53"/>
      <c r="BS41" s="53"/>
    </row>
    <row r="42" spans="3:72" ht="14.25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21"/>
        <v>1</v>
      </c>
      <c r="M42" s="26">
        <f t="shared" si="22"/>
        <v>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>
        <v>1</v>
      </c>
      <c r="BE42" s="26"/>
      <c r="BF42" s="26"/>
      <c r="BG42" s="26"/>
      <c r="BH42" s="67" t="e">
        <f>SUMIFS([1]Up!$J:$J,[1]Up!$D:$D,D42)</f>
        <v>#VALUE!</v>
      </c>
      <c r="BI42" s="82"/>
      <c r="BJ42" s="82" t="str">
        <f t="shared" si="23"/>
        <v>PL2</v>
      </c>
      <c r="BK42" s="53" t="str">
        <f t="shared" si="24"/>
        <v/>
      </c>
      <c r="BL42" s="53" t="s">
        <v>154</v>
      </c>
      <c r="BM42" s="53" t="s">
        <v>1004</v>
      </c>
      <c r="BN42" s="53" t="s">
        <v>1005</v>
      </c>
      <c r="BO42" s="53"/>
      <c r="BP42" s="53"/>
      <c r="BQ42" s="83"/>
      <c r="BR42" s="53"/>
      <c r="BS42" s="53"/>
    </row>
    <row r="43" spans="3:72" ht="14.25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21"/>
        <v>6</v>
      </c>
      <c r="M43" s="26">
        <f t="shared" si="22"/>
        <v>6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>
        <v>6</v>
      </c>
      <c r="BD43" s="26"/>
      <c r="BE43" s="26"/>
      <c r="BF43" s="26"/>
      <c r="BG43" s="26"/>
      <c r="BH43" s="67" t="e">
        <f>SUMIFS([1]Up!$J:$J,[1]Up!$D:$D,D43)</f>
        <v>#VALUE!</v>
      </c>
      <c r="BI43" s="82"/>
      <c r="BJ43" s="82" t="str">
        <f t="shared" si="23"/>
        <v>PL2</v>
      </c>
      <c r="BK43" s="53" t="str">
        <f t="shared" si="24"/>
        <v/>
      </c>
      <c r="BL43" s="53" t="s">
        <v>154</v>
      </c>
      <c r="BM43" s="53" t="s">
        <v>965</v>
      </c>
      <c r="BN43" s="53" t="s">
        <v>966</v>
      </c>
      <c r="BO43" s="53" t="s">
        <v>967</v>
      </c>
      <c r="BP43" s="53">
        <v>4</v>
      </c>
      <c r="BQ43" s="83" t="s">
        <v>2222</v>
      </c>
      <c r="BR43" s="53"/>
      <c r="BS43" s="53"/>
    </row>
    <row r="44" spans="3:72" ht="14.25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21"/>
        <v>2</v>
      </c>
      <c r="M44" s="26">
        <f t="shared" si="22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67" t="e">
        <f>SUMIFS([1]Up!$J:$J,[1]Up!$D:$D,D44)</f>
        <v>#VALUE!</v>
      </c>
      <c r="BI44" s="82"/>
      <c r="BJ44" s="82" t="str">
        <f t="shared" si="23"/>
        <v>PL8</v>
      </c>
      <c r="BK44" s="53" t="str">
        <f t="shared" si="24"/>
        <v/>
      </c>
      <c r="BL44" s="53" t="s">
        <v>154</v>
      </c>
      <c r="BM44" s="53" t="s">
        <v>1011</v>
      </c>
      <c r="BN44" s="53" t="s">
        <v>1012</v>
      </c>
      <c r="BO44" s="53" t="s">
        <v>1013</v>
      </c>
      <c r="BP44" s="53">
        <v>1</v>
      </c>
      <c r="BQ44" s="83">
        <v>46088</v>
      </c>
      <c r="BR44" s="53"/>
      <c r="BS44" s="53"/>
    </row>
    <row r="45" spans="3:72" ht="14.25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21"/>
        <v>0</v>
      </c>
      <c r="M45" s="26">
        <f t="shared" si="22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67" t="e">
        <f>SUMIFS([1]Up!$J:$J,[1]Up!$D:$D,D45)</f>
        <v>#VALUE!</v>
      </c>
      <c r="BI45" s="82"/>
      <c r="BJ45" s="82" t="str">
        <f t="shared" si="23"/>
        <v/>
      </c>
      <c r="BK45" s="53" t="str">
        <f t="shared" si="24"/>
        <v/>
      </c>
      <c r="BL45" s="53" t="s">
        <v>976</v>
      </c>
      <c r="BM45" s="53"/>
      <c r="BN45" s="53"/>
      <c r="BO45" s="53"/>
      <c r="BP45" s="53"/>
      <c r="BQ45" s="83"/>
      <c r="BR45" s="53"/>
      <c r="BS45" s="53"/>
    </row>
    <row r="46" spans="3:72" ht="14.25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21"/>
        <v>1</v>
      </c>
      <c r="M46" s="26">
        <f t="shared" si="22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26"/>
      <c r="BD46" s="26"/>
      <c r="BE46" s="26"/>
      <c r="BF46" s="26"/>
      <c r="BG46" s="26"/>
      <c r="BH46" s="67" t="e">
        <f>SUMIFS([1]Up!$J:$J,[1]Up!$D:$D,D46)</f>
        <v>#VALUE!</v>
      </c>
      <c r="BI46" s="82"/>
      <c r="BJ46" s="82" t="str">
        <f t="shared" si="23"/>
        <v>PL12</v>
      </c>
      <c r="BK46" s="53" t="str">
        <f t="shared" si="24"/>
        <v/>
      </c>
      <c r="BL46" s="53" t="s">
        <v>154</v>
      </c>
      <c r="BM46" s="53" t="s">
        <v>1020</v>
      </c>
      <c r="BN46" s="53" t="s">
        <v>1021</v>
      </c>
      <c r="BO46" s="53" t="s">
        <v>1022</v>
      </c>
      <c r="BP46" s="53">
        <v>1</v>
      </c>
      <c r="BQ46" s="83">
        <v>46088</v>
      </c>
      <c r="BR46" s="53"/>
      <c r="BS46" s="53"/>
    </row>
    <row r="47" spans="3:72" ht="14.25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21"/>
        <v>1</v>
      </c>
      <c r="M47" s="26">
        <f t="shared" si="22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67" t="e">
        <f>SUMIFS([1]Up!$J:$J,[1]Up!$D:$D,D47)</f>
        <v>#VALUE!</v>
      </c>
      <c r="BI47" s="82"/>
      <c r="BJ47" s="82" t="str">
        <f t="shared" si="23"/>
        <v/>
      </c>
      <c r="BK47" s="53" t="str">
        <f t="shared" si="24"/>
        <v/>
      </c>
      <c r="BL47" s="53" t="s">
        <v>148</v>
      </c>
      <c r="BM47" s="53" t="s">
        <v>1026</v>
      </c>
      <c r="BN47" s="53" t="s">
        <v>1027</v>
      </c>
      <c r="BO47" s="53" t="s">
        <v>1028</v>
      </c>
      <c r="BP47" s="53">
        <v>1</v>
      </c>
      <c r="BQ47" s="83">
        <v>46362</v>
      </c>
      <c r="BR47" s="53"/>
      <c r="BS47" s="53"/>
    </row>
    <row r="48" spans="3:72" ht="14.25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21"/>
        <v>1</v>
      </c>
      <c r="M48" s="26">
        <f t="shared" si="22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67" t="e">
        <f>SUMIFS([1]Up!$J:$J,[1]Up!$D:$D,D48)</f>
        <v>#VALUE!</v>
      </c>
      <c r="BI48" s="82"/>
      <c r="BJ48" s="82" t="str">
        <f t="shared" si="23"/>
        <v>PL12</v>
      </c>
      <c r="BK48" s="53" t="str">
        <f t="shared" si="24"/>
        <v/>
      </c>
      <c r="BL48" s="53" t="s">
        <v>148</v>
      </c>
      <c r="BM48" s="53" t="s">
        <v>1020</v>
      </c>
      <c r="BN48" s="53" t="s">
        <v>1021</v>
      </c>
      <c r="BO48" s="53" t="s">
        <v>1022</v>
      </c>
      <c r="BP48" s="53">
        <v>1</v>
      </c>
      <c r="BQ48" s="83">
        <v>46088</v>
      </c>
      <c r="BR48" s="53"/>
      <c r="BS48" s="53"/>
    </row>
    <row r="49" spans="3:71" ht="14.25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21"/>
        <v>1</v>
      </c>
      <c r="M49" s="26">
        <f t="shared" si="22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67" t="e">
        <f>SUMIFS([1]Up!$J:$J,[1]Up!$D:$D,D49)</f>
        <v>#VALUE!</v>
      </c>
      <c r="BI49" s="82"/>
      <c r="BJ49" s="82" t="str">
        <f t="shared" si="23"/>
        <v/>
      </c>
      <c r="BK49" s="53" t="str">
        <f t="shared" si="24"/>
        <v/>
      </c>
      <c r="BL49" s="53" t="s">
        <v>154</v>
      </c>
      <c r="BM49" s="53" t="s">
        <v>1033</v>
      </c>
      <c r="BN49" s="53" t="s">
        <v>1032</v>
      </c>
      <c r="BO49" s="53" t="s">
        <v>1034</v>
      </c>
      <c r="BP49" s="53">
        <v>1</v>
      </c>
      <c r="BQ49" s="83">
        <v>46362</v>
      </c>
      <c r="BR49" s="53"/>
      <c r="BS49" s="53"/>
    </row>
    <row r="50" spans="3:71" ht="14.25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21"/>
        <v>0</v>
      </c>
      <c r="M50" s="26">
        <f t="shared" si="2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67" t="e">
        <f>SUMIFS([1]Up!$J:$J,[1]Up!$D:$D,D50)</f>
        <v>#VALUE!</v>
      </c>
      <c r="BI50" s="82"/>
      <c r="BJ50" s="82" t="str">
        <f t="shared" si="23"/>
        <v/>
      </c>
      <c r="BK50" s="53" t="str">
        <f t="shared" si="24"/>
        <v/>
      </c>
      <c r="BL50" s="53" t="s">
        <v>976</v>
      </c>
      <c r="BM50" s="53"/>
      <c r="BN50" s="53"/>
      <c r="BO50" s="53"/>
      <c r="BP50" s="53"/>
      <c r="BQ50" s="83"/>
      <c r="BR50" s="53"/>
      <c r="BS50" s="53"/>
    </row>
    <row r="51" spans="3:71" ht="14.25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21"/>
        <v>4</v>
      </c>
      <c r="M51" s="26">
        <f t="shared" si="22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>
        <v>2</v>
      </c>
      <c r="BD51" s="26"/>
      <c r="BE51" s="26"/>
      <c r="BF51" s="26"/>
      <c r="BG51" s="26"/>
      <c r="BH51" s="67" t="e">
        <f>SUMIFS([1]Up!$J:$J,[1]Up!$D:$D,D51)</f>
        <v>#VALUE!</v>
      </c>
      <c r="BI51" s="82"/>
      <c r="BJ51" s="82" t="str">
        <f t="shared" si="23"/>
        <v/>
      </c>
      <c r="BK51" s="53" t="str">
        <f t="shared" si="24"/>
        <v/>
      </c>
      <c r="BL51" s="53" t="s">
        <v>154</v>
      </c>
      <c r="BM51" s="53" t="s">
        <v>1041</v>
      </c>
      <c r="BN51" s="53" t="s">
        <v>1040</v>
      </c>
      <c r="BO51" s="53" t="s">
        <v>1042</v>
      </c>
      <c r="BP51" s="53">
        <v>2</v>
      </c>
      <c r="BQ51" s="83">
        <v>46362</v>
      </c>
      <c r="BR51" s="53"/>
      <c r="BS51" s="53"/>
    </row>
    <row r="52" spans="3:71" ht="14.25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21"/>
        <v>2</v>
      </c>
      <c r="M52" s="26">
        <f t="shared" si="22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>
        <v>1</v>
      </c>
      <c r="BD52" s="26"/>
      <c r="BE52" s="26"/>
      <c r="BF52" s="26"/>
      <c r="BG52" s="26"/>
      <c r="BH52" s="67" t="e">
        <f>SUMIFS([1]Up!$J:$J,[1]Up!$D:$D,D52)</f>
        <v>#VALUE!</v>
      </c>
      <c r="BI52" s="82"/>
      <c r="BJ52" s="82" t="str">
        <f t="shared" si="23"/>
        <v/>
      </c>
      <c r="BK52" s="53" t="str">
        <f t="shared" si="24"/>
        <v/>
      </c>
      <c r="BL52" s="53" t="s">
        <v>154</v>
      </c>
      <c r="BM52" s="53" t="s">
        <v>1045</v>
      </c>
      <c r="BN52" s="53" t="s">
        <v>1044</v>
      </c>
      <c r="BO52" s="53" t="s">
        <v>1046</v>
      </c>
      <c r="BP52" s="53">
        <v>1</v>
      </c>
      <c r="BQ52" s="83">
        <v>46362</v>
      </c>
      <c r="BR52" s="53"/>
      <c r="BS52" s="53"/>
    </row>
    <row r="53" spans="3:71" ht="14.25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21"/>
        <v>2</v>
      </c>
      <c r="M53" s="26">
        <f t="shared" si="22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>
        <v>1</v>
      </c>
      <c r="BE53" s="26"/>
      <c r="BF53" s="26"/>
      <c r="BG53" s="26"/>
      <c r="BH53" s="67" t="e">
        <f>SUMIFS([1]Up!$J:$J,[1]Up!$D:$D,D53)</f>
        <v>#VALUE!</v>
      </c>
      <c r="BI53" s="82"/>
      <c r="BJ53" s="82" t="str">
        <f t="shared" si="23"/>
        <v/>
      </c>
      <c r="BK53" s="53" t="str">
        <f t="shared" si="24"/>
        <v/>
      </c>
      <c r="BL53" s="53" t="s">
        <v>148</v>
      </c>
      <c r="BM53" s="53" t="s">
        <v>1050</v>
      </c>
      <c r="BN53" s="53" t="s">
        <v>1048</v>
      </c>
      <c r="BO53" s="53" t="s">
        <v>1051</v>
      </c>
      <c r="BP53" s="53">
        <v>1</v>
      </c>
      <c r="BQ53" s="83">
        <v>46362</v>
      </c>
      <c r="BR53" s="53"/>
      <c r="BS53" s="53"/>
    </row>
    <row r="54" spans="3:71" ht="14.25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21"/>
        <v>0</v>
      </c>
      <c r="M54" s="26">
        <f t="shared" si="22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67" t="e">
        <f>SUMIFS([1]Up!$J:$J,[1]Up!$D:$D,D54)</f>
        <v>#VALUE!</v>
      </c>
      <c r="BI54" s="82"/>
      <c r="BJ54" s="82" t="str">
        <f t="shared" si="23"/>
        <v/>
      </c>
      <c r="BK54" s="53" t="str">
        <f t="shared" si="24"/>
        <v/>
      </c>
      <c r="BL54" s="53" t="s">
        <v>976</v>
      </c>
      <c r="BM54" s="53"/>
      <c r="BN54" s="53"/>
      <c r="BO54" s="53"/>
      <c r="BP54" s="53"/>
      <c r="BQ54" s="83"/>
      <c r="BR54" s="53"/>
      <c r="BS54" s="53"/>
    </row>
    <row r="55" spans="3:71" ht="14.25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21"/>
        <v>0</v>
      </c>
      <c r="M55" s="26">
        <f t="shared" si="22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67" t="e">
        <f>SUMIFS([1]Up!$J:$J,[1]Up!$D:$D,D55)</f>
        <v>#VALUE!</v>
      </c>
      <c r="BI55" s="82"/>
      <c r="BJ55" s="82" t="str">
        <f t="shared" si="23"/>
        <v/>
      </c>
      <c r="BK55" s="53" t="str">
        <f t="shared" si="24"/>
        <v/>
      </c>
      <c r="BL55" s="53" t="s">
        <v>976</v>
      </c>
      <c r="BM55" s="53"/>
      <c r="BN55" s="53"/>
      <c r="BO55" s="53"/>
      <c r="BP55" s="53"/>
      <c r="BQ55" s="83"/>
      <c r="BR55" s="53"/>
      <c r="BS55" s="53"/>
    </row>
    <row r="56" spans="3:71" ht="14.25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21"/>
        <v>1</v>
      </c>
      <c r="M56" s="26">
        <f t="shared" si="22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26"/>
      <c r="BD56" s="26"/>
      <c r="BE56" s="26"/>
      <c r="BF56" s="26"/>
      <c r="BG56" s="26"/>
      <c r="BH56" s="67" t="e">
        <f>SUMIFS([1]Up!$J:$J,[1]Up!$D:$D,D56)</f>
        <v>#VALUE!</v>
      </c>
      <c r="BI56" s="82"/>
      <c r="BJ56" s="82" t="str">
        <f t="shared" si="23"/>
        <v>PL30</v>
      </c>
      <c r="BK56" s="53" t="str">
        <f t="shared" si="24"/>
        <v/>
      </c>
      <c r="BL56" s="53" t="s">
        <v>148</v>
      </c>
      <c r="BM56" s="53" t="s">
        <v>1058</v>
      </c>
      <c r="BN56" s="53" t="s">
        <v>1059</v>
      </c>
      <c r="BO56" s="53" t="s">
        <v>1060</v>
      </c>
      <c r="BP56" s="53">
        <v>1</v>
      </c>
      <c r="BQ56" s="83" t="s">
        <v>2222</v>
      </c>
      <c r="BR56" s="53"/>
      <c r="BS56" s="53"/>
    </row>
    <row r="57" spans="3:71" ht="14.25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21"/>
        <v>4</v>
      </c>
      <c r="M57" s="26">
        <f t="shared" si="22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67" t="e">
        <f>SUMIFS([1]Up!$J:$J,[1]Up!$D:$D,D57)</f>
        <v>#VALUE!</v>
      </c>
      <c r="BI57" s="82"/>
      <c r="BJ57" s="82" t="str">
        <f t="shared" si="23"/>
        <v>PL10</v>
      </c>
      <c r="BK57" s="53" t="str">
        <f t="shared" si="24"/>
        <v/>
      </c>
      <c r="BL57" s="53" t="s">
        <v>148</v>
      </c>
      <c r="BM57" s="53" t="s">
        <v>1004</v>
      </c>
      <c r="BN57" s="53" t="s">
        <v>1005</v>
      </c>
      <c r="BO57" s="53" t="s">
        <v>1063</v>
      </c>
      <c r="BP57" s="53">
        <v>2</v>
      </c>
      <c r="BQ57" s="83">
        <v>46088</v>
      </c>
      <c r="BR57" s="53"/>
      <c r="BS57" s="53"/>
    </row>
    <row r="58" spans="3:71" ht="14.25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21"/>
        <v>2</v>
      </c>
      <c r="M58" s="26">
        <f t="shared" si="22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67" t="e">
        <f>SUMIFS([1]Up!$J:$J,[1]Up!$D:$D,D58)</f>
        <v>#VALUE!</v>
      </c>
      <c r="BI58" s="82"/>
      <c r="BJ58" s="82" t="str">
        <f t="shared" si="23"/>
        <v>PL10</v>
      </c>
      <c r="BK58" s="53" t="str">
        <f t="shared" si="24"/>
        <v/>
      </c>
      <c r="BL58" s="53" t="s">
        <v>148</v>
      </c>
      <c r="BM58" s="53" t="s">
        <v>1004</v>
      </c>
      <c r="BN58" s="53" t="s">
        <v>1005</v>
      </c>
      <c r="BO58" s="53" t="s">
        <v>1063</v>
      </c>
      <c r="BP58" s="53">
        <v>1</v>
      </c>
      <c r="BQ58" s="83">
        <v>46088</v>
      </c>
      <c r="BR58" s="53"/>
      <c r="BS58" s="53"/>
    </row>
    <row r="59" spans="3:71" ht="14.25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21"/>
        <v>2</v>
      </c>
      <c r="M59" s="26">
        <f t="shared" si="22"/>
        <v>2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>
        <v>1</v>
      </c>
      <c r="BE59" s="26"/>
      <c r="BF59" s="26"/>
      <c r="BG59" s="26"/>
      <c r="BH59" s="67" t="e">
        <f>SUMIFS([1]Up!$J:$J,[1]Up!$D:$D,D59)</f>
        <v>#VALUE!</v>
      </c>
      <c r="BI59" s="82"/>
      <c r="BJ59" s="82" t="str">
        <f t="shared" si="23"/>
        <v/>
      </c>
      <c r="BK59" s="53" t="str">
        <f t="shared" si="24"/>
        <v/>
      </c>
      <c r="BL59" s="53" t="s">
        <v>148</v>
      </c>
      <c r="BM59" s="53" t="s">
        <v>1050</v>
      </c>
      <c r="BN59" s="53" t="s">
        <v>1048</v>
      </c>
      <c r="BO59" s="53" t="s">
        <v>1051</v>
      </c>
      <c r="BP59" s="53">
        <v>1</v>
      </c>
      <c r="BQ59" s="83">
        <v>46362</v>
      </c>
      <c r="BR59" s="53"/>
      <c r="BS59" s="53"/>
    </row>
    <row r="60" spans="3:71" ht="14.25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21"/>
        <v>0</v>
      </c>
      <c r="M60" s="26">
        <f t="shared" si="22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67" t="e">
        <f>SUMIFS([1]Up!$J:$J,[1]Up!$D:$D,D60)</f>
        <v>#VALUE!</v>
      </c>
      <c r="BI60" s="82"/>
      <c r="BJ60" s="82" t="str">
        <f t="shared" si="23"/>
        <v/>
      </c>
      <c r="BK60" s="53" t="str">
        <f t="shared" si="24"/>
        <v/>
      </c>
      <c r="BL60" s="53" t="s">
        <v>976</v>
      </c>
      <c r="BM60" s="53"/>
      <c r="BN60" s="53"/>
      <c r="BO60" s="53"/>
      <c r="BP60" s="53"/>
      <c r="BQ60" s="83"/>
      <c r="BR60" s="53"/>
      <c r="BS60" s="53"/>
    </row>
    <row r="61" spans="3:71" ht="14.25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21"/>
        <v>0</v>
      </c>
      <c r="M61" s="26">
        <f t="shared" si="22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67" t="e">
        <f>SUMIFS([1]Up!$J:$J,[1]Up!$D:$D,D61)</f>
        <v>#VALUE!</v>
      </c>
      <c r="BI61" s="82"/>
      <c r="BJ61" s="82" t="str">
        <f t="shared" si="23"/>
        <v/>
      </c>
      <c r="BK61" s="53" t="str">
        <f t="shared" si="24"/>
        <v/>
      </c>
      <c r="BL61" s="53" t="s">
        <v>976</v>
      </c>
      <c r="BM61" s="53"/>
      <c r="BN61" s="53"/>
      <c r="BO61" s="53"/>
      <c r="BP61" s="53"/>
      <c r="BQ61" s="83"/>
      <c r="BR61" s="53"/>
      <c r="BS61" s="53"/>
    </row>
    <row r="62" spans="3:71" ht="14.25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21"/>
        <v>1</v>
      </c>
      <c r="M62" s="26">
        <f t="shared" si="22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67" t="e">
        <f>SUMIFS([1]Up!$J:$J,[1]Up!$D:$D,D62)</f>
        <v>#VALUE!</v>
      </c>
      <c r="BI62" s="82"/>
      <c r="BJ62" s="82" t="str">
        <f t="shared" si="23"/>
        <v>PL8</v>
      </c>
      <c r="BK62" s="53" t="str">
        <f t="shared" si="24"/>
        <v/>
      </c>
      <c r="BL62" s="53" t="s">
        <v>154</v>
      </c>
      <c r="BM62" s="53" t="s">
        <v>1011</v>
      </c>
      <c r="BN62" s="53" t="s">
        <v>1012</v>
      </c>
      <c r="BO62" s="53" t="s">
        <v>1013</v>
      </c>
      <c r="BP62" s="53">
        <v>1</v>
      </c>
      <c r="BQ62" s="83">
        <v>46088</v>
      </c>
      <c r="BR62" s="53"/>
      <c r="BS62" s="53"/>
    </row>
    <row r="63" spans="3:71" ht="14.25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21"/>
        <v>4</v>
      </c>
      <c r="M63" s="26">
        <f t="shared" si="2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67" t="e">
        <f>SUMIFS([1]Up!$J:$J,[1]Up!$D:$D,D63)</f>
        <v>#VALUE!</v>
      </c>
      <c r="BI63" s="82"/>
      <c r="BJ63" s="82" t="str">
        <f t="shared" si="23"/>
        <v>PL5</v>
      </c>
      <c r="BK63" s="53" t="str">
        <f t="shared" si="24"/>
        <v>Thừa 6</v>
      </c>
      <c r="BL63" s="53" t="s">
        <v>148</v>
      </c>
      <c r="BM63" s="53" t="s">
        <v>955</v>
      </c>
      <c r="BN63" s="53" t="s">
        <v>956</v>
      </c>
      <c r="BO63" s="53" t="s">
        <v>957</v>
      </c>
      <c r="BP63" s="53">
        <v>1</v>
      </c>
      <c r="BQ63" s="83" t="s">
        <v>2222</v>
      </c>
      <c r="BR63" s="53"/>
      <c r="BS63" s="53"/>
    </row>
    <row r="64" spans="3:71" ht="14.25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21"/>
        <v>0</v>
      </c>
      <c r="M64" s="26">
        <f t="shared" si="22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67" t="e">
        <f>SUMIFS([1]Up!$J:$J,[1]Up!$D:$D,D64)</f>
        <v>#VALUE!</v>
      </c>
      <c r="BI64" s="82"/>
      <c r="BJ64" s="82" t="str">
        <f t="shared" si="23"/>
        <v/>
      </c>
      <c r="BK64" s="53" t="str">
        <f t="shared" si="24"/>
        <v/>
      </c>
      <c r="BL64" s="53" t="s">
        <v>148</v>
      </c>
      <c r="BM64" s="53" t="s">
        <v>1078</v>
      </c>
      <c r="BN64" s="53" t="s">
        <v>1075</v>
      </c>
      <c r="BO64" s="53" t="s">
        <v>2104</v>
      </c>
      <c r="BP64" s="53">
        <v>5</v>
      </c>
      <c r="BQ64" s="83">
        <v>46120</v>
      </c>
      <c r="BR64" s="53"/>
      <c r="BS64" s="53"/>
    </row>
    <row r="65" spans="3:71" ht="14.25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21"/>
        <v>0</v>
      </c>
      <c r="M65" s="26">
        <f t="shared" si="22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67" t="e">
        <f>SUMIFS([1]Up!$J:$J,[1]Up!$D:$D,D65)</f>
        <v>#VALUE!</v>
      </c>
      <c r="BI65" s="82"/>
      <c r="BJ65" s="82" t="str">
        <f t="shared" si="23"/>
        <v/>
      </c>
      <c r="BK65" s="53" t="str">
        <f t="shared" si="24"/>
        <v/>
      </c>
      <c r="BL65" s="53" t="s">
        <v>154</v>
      </c>
      <c r="BM65" s="53" t="s">
        <v>1081</v>
      </c>
      <c r="BN65" s="53" t="s">
        <v>1080</v>
      </c>
      <c r="BO65" s="53" t="s">
        <v>2105</v>
      </c>
      <c r="BP65" s="53">
        <v>1</v>
      </c>
      <c r="BQ65" s="83">
        <v>46120</v>
      </c>
      <c r="BR65" s="53"/>
      <c r="BS65" s="53"/>
    </row>
    <row r="66" spans="3:71" ht="14.25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21"/>
        <v>0</v>
      </c>
      <c r="M66" s="26">
        <f t="shared" si="22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67" t="e">
        <f>SUMIFS([1]Up!$J:$J,[1]Up!$D:$D,D66)</f>
        <v>#VALUE!</v>
      </c>
      <c r="BI66" s="82"/>
      <c r="BJ66" s="82" t="str">
        <f t="shared" si="23"/>
        <v>PL12</v>
      </c>
      <c r="BK66" s="53" t="str">
        <f t="shared" si="24"/>
        <v/>
      </c>
      <c r="BL66" s="53" t="s">
        <v>154</v>
      </c>
      <c r="BM66" s="53" t="s">
        <v>1020</v>
      </c>
      <c r="BN66" s="53" t="s">
        <v>1021</v>
      </c>
      <c r="BO66" s="53" t="s">
        <v>57</v>
      </c>
      <c r="BP66" s="53">
        <v>1</v>
      </c>
      <c r="BQ66" s="83"/>
      <c r="BR66" s="53"/>
      <c r="BS66" s="53"/>
    </row>
    <row r="67" spans="3:71" ht="14.25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21"/>
        <v>0</v>
      </c>
      <c r="M67" s="26">
        <f t="shared" si="22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67" t="e">
        <f>SUMIFS([1]Up!$J:$J,[1]Up!$D:$D,D67)</f>
        <v>#VALUE!</v>
      </c>
      <c r="BI67" s="82"/>
      <c r="BJ67" s="82" t="str">
        <f t="shared" si="23"/>
        <v>PL10</v>
      </c>
      <c r="BK67" s="53" t="str">
        <f t="shared" si="24"/>
        <v/>
      </c>
      <c r="BL67" s="53" t="s">
        <v>148</v>
      </c>
      <c r="BM67" s="53" t="s">
        <v>1004</v>
      </c>
      <c r="BN67" s="53" t="s">
        <v>1005</v>
      </c>
      <c r="BO67" s="53"/>
      <c r="BP67" s="53"/>
      <c r="BQ67" s="83"/>
      <c r="BR67" s="53"/>
      <c r="BS67" s="53"/>
    </row>
    <row r="68" spans="3:71" ht="14.25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21"/>
        <v>0</v>
      </c>
      <c r="M68" s="26">
        <f t="shared" si="22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67" t="e">
        <f>SUMIFS([1]Up!$J:$J,[1]Up!$D:$D,D68)</f>
        <v>#VALUE!</v>
      </c>
      <c r="BI68" s="82"/>
      <c r="BJ68" s="82" t="str">
        <f t="shared" si="23"/>
        <v>PL12</v>
      </c>
      <c r="BK68" s="53" t="str">
        <f t="shared" si="24"/>
        <v/>
      </c>
      <c r="BL68" s="53" t="s">
        <v>148</v>
      </c>
      <c r="BM68" s="53" t="s">
        <v>1020</v>
      </c>
      <c r="BN68" s="53" t="s">
        <v>1021</v>
      </c>
      <c r="BO68" s="53" t="s">
        <v>2099</v>
      </c>
      <c r="BP68" s="53">
        <v>10</v>
      </c>
      <c r="BQ68" s="83">
        <v>46303</v>
      </c>
      <c r="BR68" s="53"/>
      <c r="BS68" s="53"/>
    </row>
    <row r="69" spans="3:71" ht="14.25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21"/>
        <v>10</v>
      </c>
      <c r="M69" s="26">
        <f t="shared" si="2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>
        <v>10</v>
      </c>
      <c r="BC69" s="26"/>
      <c r="BD69" s="26"/>
      <c r="BE69" s="26"/>
      <c r="BF69" s="26"/>
      <c r="BG69" s="26"/>
      <c r="BH69" s="67" t="e">
        <f>SUMIFS([1]Up!$J:$J,[1]Up!$D:$D,D69)</f>
        <v>#VALUE!</v>
      </c>
      <c r="BI69" s="82"/>
      <c r="BJ69" s="82" t="str">
        <f t="shared" si="23"/>
        <v>PL16</v>
      </c>
      <c r="BK69" s="53" t="str">
        <f t="shared" si="24"/>
        <v/>
      </c>
      <c r="BL69" s="53" t="s">
        <v>148</v>
      </c>
      <c r="BM69" s="53" t="s">
        <v>987</v>
      </c>
      <c r="BN69" s="53" t="s">
        <v>988</v>
      </c>
      <c r="BO69" s="53" t="s">
        <v>2103</v>
      </c>
      <c r="BP69" s="53">
        <v>10</v>
      </c>
      <c r="BQ69" s="83">
        <v>46120</v>
      </c>
      <c r="BR69" s="53"/>
      <c r="BS69" s="53"/>
    </row>
    <row r="70" spans="3:71" ht="14.25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21"/>
        <v>0</v>
      </c>
      <c r="M70" s="26">
        <f t="shared" si="22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67" t="e">
        <f>SUMIFS([1]Up!$J:$J,[1]Up!$D:$D,D70)</f>
        <v>#VALUE!</v>
      </c>
      <c r="BI70" s="82"/>
      <c r="BJ70" s="82" t="str">
        <f t="shared" si="23"/>
        <v>PL15</v>
      </c>
      <c r="BK70" s="53" t="str">
        <f t="shared" si="24"/>
        <v/>
      </c>
      <c r="BL70" s="53" t="s">
        <v>148</v>
      </c>
      <c r="BM70" s="53" t="s">
        <v>1093</v>
      </c>
      <c r="BN70" s="53" t="s">
        <v>1094</v>
      </c>
      <c r="BO70" s="53" t="s">
        <v>2100</v>
      </c>
      <c r="BP70" s="53">
        <v>2</v>
      </c>
      <c r="BQ70" s="83">
        <v>46120</v>
      </c>
      <c r="BR70" s="53"/>
      <c r="BS70" s="53"/>
    </row>
    <row r="71" spans="3:71" ht="14.25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21"/>
        <v>0</v>
      </c>
      <c r="M71" s="26">
        <f t="shared" si="22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67" t="e">
        <f>SUMIFS([1]Up!$J:$J,[1]Up!$D:$D,D71)</f>
        <v>#VALUE!</v>
      </c>
      <c r="BI71" s="82"/>
      <c r="BJ71" s="82" t="str">
        <f t="shared" si="23"/>
        <v>PL10</v>
      </c>
      <c r="BK71" s="53" t="str">
        <f t="shared" si="24"/>
        <v/>
      </c>
      <c r="BL71" s="53" t="s">
        <v>154</v>
      </c>
      <c r="BM71" s="53" t="s">
        <v>1004</v>
      </c>
      <c r="BN71" s="53" t="s">
        <v>1005</v>
      </c>
      <c r="BO71" s="53"/>
      <c r="BP71" s="53"/>
      <c r="BQ71" s="83"/>
      <c r="BR71" s="53"/>
      <c r="BS71" s="53"/>
    </row>
    <row r="72" spans="3:71" ht="14.25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21"/>
        <v>0</v>
      </c>
      <c r="M72" s="26">
        <f t="shared" si="22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67" t="e">
        <f>SUMIFS([1]Up!$J:$J,[1]Up!$D:$D,D72)</f>
        <v>#VALUE!</v>
      </c>
      <c r="BI72" s="82"/>
      <c r="BJ72" s="82" t="str">
        <f t="shared" si="23"/>
        <v>PL20</v>
      </c>
      <c r="BK72" s="53" t="str">
        <f t="shared" si="24"/>
        <v/>
      </c>
      <c r="BL72" s="53" t="s">
        <v>148</v>
      </c>
      <c r="BM72" s="53" t="s">
        <v>1099</v>
      </c>
      <c r="BN72" s="53" t="s">
        <v>1100</v>
      </c>
      <c r="BO72" s="53" t="s">
        <v>2101</v>
      </c>
      <c r="BP72" s="53">
        <v>1</v>
      </c>
      <c r="BQ72" s="83">
        <v>46303</v>
      </c>
      <c r="BR72" s="53"/>
      <c r="BS72" s="53"/>
    </row>
    <row r="73" spans="3:71" ht="14.25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21"/>
        <v>0</v>
      </c>
      <c r="M73" s="26">
        <f t="shared" si="22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67" t="e">
        <f>SUMIFS([1]Up!$J:$J,[1]Up!$D:$D,D73)</f>
        <v>#VALUE!</v>
      </c>
      <c r="BI73" s="82"/>
      <c r="BJ73" s="82" t="str">
        <f t="shared" si="23"/>
        <v>PL12</v>
      </c>
      <c r="BK73" s="53" t="str">
        <f t="shared" si="24"/>
        <v/>
      </c>
      <c r="BL73" s="53" t="s">
        <v>148</v>
      </c>
      <c r="BM73" s="53" t="s">
        <v>1020</v>
      </c>
      <c r="BN73" s="53" t="s">
        <v>1021</v>
      </c>
      <c r="BO73" s="53" t="s">
        <v>2099</v>
      </c>
      <c r="BP73" s="53">
        <v>4</v>
      </c>
      <c r="BQ73" s="83">
        <v>46303</v>
      </c>
      <c r="BR73" s="53"/>
      <c r="BS73" s="53"/>
    </row>
    <row r="74" spans="3:71" ht="14.25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21"/>
        <v>0</v>
      </c>
      <c r="M74" s="26">
        <f t="shared" si="22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67" t="e">
        <f>SUMIFS([1]Up!$J:$J,[1]Up!$D:$D,D74)</f>
        <v>#VALUE!</v>
      </c>
      <c r="BI74" s="82"/>
      <c r="BJ74" s="82" t="str">
        <f t="shared" si="23"/>
        <v>PL12</v>
      </c>
      <c r="BK74" s="53" t="str">
        <f t="shared" si="24"/>
        <v/>
      </c>
      <c r="BL74" s="53" t="s">
        <v>148</v>
      </c>
      <c r="BM74" s="53" t="s">
        <v>1020</v>
      </c>
      <c r="BN74" s="53" t="s">
        <v>1021</v>
      </c>
      <c r="BO74" s="53" t="s">
        <v>2099</v>
      </c>
      <c r="BP74" s="53">
        <v>2</v>
      </c>
      <c r="BQ74" s="83">
        <v>46303</v>
      </c>
      <c r="BR74" s="53"/>
      <c r="BS74" s="53"/>
    </row>
    <row r="75" spans="3:71" ht="14.25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21"/>
        <v>0</v>
      </c>
      <c r="M75" s="26">
        <f t="shared" si="22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67" t="e">
        <f>SUMIFS([1]Up!$J:$J,[1]Up!$D:$D,D75)</f>
        <v>#VALUE!</v>
      </c>
      <c r="BI75" s="82"/>
      <c r="BJ75" s="82" t="str">
        <f t="shared" si="23"/>
        <v>PL20</v>
      </c>
      <c r="BK75" s="53" t="str">
        <f t="shared" si="24"/>
        <v/>
      </c>
      <c r="BL75" s="53" t="s">
        <v>148</v>
      </c>
      <c r="BM75" s="53" t="s">
        <v>1099</v>
      </c>
      <c r="BN75" s="53" t="s">
        <v>1100</v>
      </c>
      <c r="BO75" s="53" t="s">
        <v>2101</v>
      </c>
      <c r="BP75" s="53">
        <v>1</v>
      </c>
      <c r="BQ75" s="83">
        <v>46303</v>
      </c>
      <c r="BR75" s="53"/>
      <c r="BS75" s="53"/>
    </row>
    <row r="76" spans="3:71" ht="14.25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21"/>
        <v>0</v>
      </c>
      <c r="M76" s="26">
        <f t="shared" si="22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67" t="e">
        <f>SUMIFS([1]Up!$J:$J,[1]Up!$D:$D,D76)</f>
        <v>#VALUE!</v>
      </c>
      <c r="BI76" s="82"/>
      <c r="BJ76" s="82" t="str">
        <f t="shared" si="23"/>
        <v>PL5</v>
      </c>
      <c r="BK76" s="53" t="str">
        <f t="shared" si="24"/>
        <v/>
      </c>
      <c r="BL76" s="53" t="s">
        <v>148</v>
      </c>
      <c r="BM76" s="53" t="s">
        <v>1107</v>
      </c>
      <c r="BN76" s="53" t="s">
        <v>956</v>
      </c>
      <c r="BO76" s="53" t="s">
        <v>2102</v>
      </c>
      <c r="BP76" s="53">
        <v>2</v>
      </c>
      <c r="BQ76" s="83">
        <v>46120</v>
      </c>
      <c r="BR76" s="53"/>
      <c r="BS76" s="53"/>
    </row>
    <row r="77" spans="3:71" ht="14.25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21"/>
        <v>0</v>
      </c>
      <c r="M77" s="26">
        <f t="shared" si="22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67" t="e">
        <f>SUMIFS([1]Up!$J:$J,[1]Up!$D:$D,D77)</f>
        <v>#VALUE!</v>
      </c>
      <c r="BI77" s="82"/>
      <c r="BJ77" s="82" t="str">
        <f t="shared" si="23"/>
        <v>PL10</v>
      </c>
      <c r="BK77" s="53" t="str">
        <f t="shared" si="24"/>
        <v/>
      </c>
      <c r="BL77" s="53" t="s">
        <v>148</v>
      </c>
      <c r="BM77" s="53" t="s">
        <v>1004</v>
      </c>
      <c r="BN77" s="53" t="s">
        <v>1005</v>
      </c>
      <c r="BO77" s="53"/>
      <c r="BP77" s="53"/>
      <c r="BQ77" s="83"/>
      <c r="BR77" s="53"/>
      <c r="BS77" s="53"/>
    </row>
    <row r="78" spans="3:71" ht="14.25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21"/>
        <v>0</v>
      </c>
      <c r="M78" s="26">
        <f t="shared" si="22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67" t="e">
        <f>SUMIFS([1]Up!$J:$J,[1]Up!$D:$D,D78)</f>
        <v>#VALUE!</v>
      </c>
      <c r="BI78" s="82"/>
      <c r="BJ78" s="82" t="str">
        <f t="shared" si="23"/>
        <v>PL12</v>
      </c>
      <c r="BK78" s="53" t="str">
        <f t="shared" si="24"/>
        <v/>
      </c>
      <c r="BL78" s="53" t="s">
        <v>154</v>
      </c>
      <c r="BM78" s="53" t="s">
        <v>1020</v>
      </c>
      <c r="BN78" s="53" t="s">
        <v>1021</v>
      </c>
      <c r="BO78" s="53" t="s">
        <v>57</v>
      </c>
      <c r="BP78" s="53">
        <v>1</v>
      </c>
      <c r="BQ78" s="83"/>
      <c r="BR78" s="53"/>
      <c r="BS78" s="53"/>
    </row>
    <row r="79" spans="3:71" ht="14.25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21"/>
        <v>0</v>
      </c>
      <c r="M79" s="26">
        <f t="shared" si="22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67" t="e">
        <f>SUMIFS([1]Up!$J:$J,[1]Up!$D:$D,D79)</f>
        <v>#VALUE!</v>
      </c>
      <c r="BI79" s="82"/>
      <c r="BJ79" s="82" t="str">
        <f t="shared" si="23"/>
        <v>PL10</v>
      </c>
      <c r="BK79" s="53" t="str">
        <f t="shared" si="24"/>
        <v/>
      </c>
      <c r="BL79" s="53" t="s">
        <v>154</v>
      </c>
      <c r="BM79" s="53" t="s">
        <v>1004</v>
      </c>
      <c r="BN79" s="53" t="s">
        <v>1005</v>
      </c>
      <c r="BO79" s="53"/>
      <c r="BP79" s="53"/>
      <c r="BQ79" s="83"/>
      <c r="BR79" s="53"/>
      <c r="BS79" s="53"/>
    </row>
    <row r="80" spans="3:71" ht="14.25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21"/>
        <v>1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67" t="e">
        <f>SUMIFS([1]Up!$J:$J,[1]Up!$D:$D,D80)</f>
        <v>#VALUE!</v>
      </c>
      <c r="BI80" s="82"/>
      <c r="BJ80" s="82" t="str">
        <f t="shared" si="23"/>
        <v>PL20</v>
      </c>
      <c r="BK80" s="53" t="str">
        <f t="shared" si="24"/>
        <v/>
      </c>
      <c r="BL80" s="53" t="s">
        <v>148</v>
      </c>
      <c r="BM80" s="53" t="s">
        <v>1099</v>
      </c>
      <c r="BN80" s="53" t="s">
        <v>1100</v>
      </c>
      <c r="BO80" s="53" t="s">
        <v>2101</v>
      </c>
      <c r="BP80" s="53">
        <v>1</v>
      </c>
      <c r="BQ80" s="83">
        <v>46303</v>
      </c>
      <c r="BR80" s="53"/>
      <c r="BS80" s="53"/>
    </row>
    <row r="81" spans="3:71" ht="14.25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21"/>
        <v>0</v>
      </c>
      <c r="M81" s="26">
        <f t="shared" si="22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67" t="e">
        <f>SUMIFS([1]Up!$J:$J,[1]Up!$D:$D,D81)</f>
        <v>#VALUE!</v>
      </c>
      <c r="BI81" s="82"/>
      <c r="BJ81" s="82" t="str">
        <f t="shared" si="23"/>
        <v>PL12</v>
      </c>
      <c r="BK81" s="53" t="str">
        <f t="shared" si="24"/>
        <v/>
      </c>
      <c r="BL81" s="53" t="s">
        <v>148</v>
      </c>
      <c r="BM81" s="53" t="s">
        <v>1020</v>
      </c>
      <c r="BN81" s="53" t="s">
        <v>1021</v>
      </c>
      <c r="BO81" s="53" t="s">
        <v>2099</v>
      </c>
      <c r="BP81" s="53">
        <v>5</v>
      </c>
      <c r="BQ81" s="83">
        <v>46303</v>
      </c>
      <c r="BR81" s="53"/>
      <c r="BS81" s="53"/>
    </row>
    <row r="82" spans="3:71" ht="14.25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21"/>
        <v>0</v>
      </c>
      <c r="M82" s="26">
        <f t="shared" si="22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67" t="e">
        <f>SUMIFS([1]Up!$J:$J,[1]Up!$D:$D,D82)</f>
        <v>#VALUE!</v>
      </c>
      <c r="BI82" s="82"/>
      <c r="BJ82" s="82" t="str">
        <f t="shared" si="23"/>
        <v>PL15</v>
      </c>
      <c r="BK82" s="53" t="str">
        <f t="shared" si="24"/>
        <v/>
      </c>
      <c r="BL82" s="53" t="s">
        <v>148</v>
      </c>
      <c r="BM82" s="53" t="s">
        <v>1093</v>
      </c>
      <c r="BN82" s="53" t="s">
        <v>1094</v>
      </c>
      <c r="BO82" s="53" t="s">
        <v>2100</v>
      </c>
      <c r="BP82" s="53">
        <v>1</v>
      </c>
      <c r="BQ82" s="83">
        <v>46120</v>
      </c>
      <c r="BR82" s="53"/>
      <c r="BS82" s="53"/>
    </row>
    <row r="83" spans="3:71" ht="14.25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21"/>
        <v>0</v>
      </c>
      <c r="M83" s="26">
        <f t="shared" si="22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67" t="e">
        <f>SUMIFS([1]Up!$J:$J,[1]Up!$D:$D,D83)</f>
        <v>#VALUE!</v>
      </c>
      <c r="BI83" s="82"/>
      <c r="BJ83" s="82" t="str">
        <f t="shared" si="23"/>
        <v>PL12</v>
      </c>
      <c r="BK83" s="53" t="str">
        <f t="shared" si="24"/>
        <v/>
      </c>
      <c r="BL83" s="53" t="s">
        <v>154</v>
      </c>
      <c r="BM83" s="53" t="s">
        <v>1020</v>
      </c>
      <c r="BN83" s="53" t="s">
        <v>1021</v>
      </c>
      <c r="BO83" s="53" t="s">
        <v>57</v>
      </c>
      <c r="BP83" s="53">
        <v>1</v>
      </c>
      <c r="BQ83" s="83"/>
      <c r="BR83" s="53"/>
      <c r="BS83" s="53"/>
    </row>
    <row r="84" spans="3:71" ht="14.25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21"/>
        <v>0</v>
      </c>
      <c r="M84" s="26">
        <f t="shared" si="22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67" t="e">
        <f>SUMIFS([1]Up!$J:$J,[1]Up!$D:$D,D84)</f>
        <v>#VALUE!</v>
      </c>
      <c r="BI84" s="82"/>
      <c r="BJ84" s="82" t="str">
        <f t="shared" si="23"/>
        <v>PL12</v>
      </c>
      <c r="BK84" s="53" t="str">
        <f t="shared" si="24"/>
        <v/>
      </c>
      <c r="BL84" s="53" t="s">
        <v>148</v>
      </c>
      <c r="BM84" s="53" t="s">
        <v>1020</v>
      </c>
      <c r="BN84" s="53" t="s">
        <v>1021</v>
      </c>
      <c r="BO84" s="53" t="s">
        <v>2099</v>
      </c>
      <c r="BP84" s="53">
        <v>5</v>
      </c>
      <c r="BQ84" s="83">
        <v>46303</v>
      </c>
      <c r="BR84" s="53"/>
      <c r="BS84" s="53"/>
    </row>
    <row r="85" spans="3:71" ht="14.25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21"/>
        <v>0</v>
      </c>
      <c r="M85" s="26">
        <f t="shared" si="22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67" t="e">
        <f>SUMIFS([1]Up!$J:$J,[1]Up!$D:$D,D85)</f>
        <v>#VALUE!</v>
      </c>
      <c r="BI85" s="82"/>
      <c r="BJ85" s="82" t="str">
        <f t="shared" si="23"/>
        <v>PL20</v>
      </c>
      <c r="BK85" s="53" t="str">
        <f t="shared" si="24"/>
        <v/>
      </c>
      <c r="BL85" s="53" t="s">
        <v>148</v>
      </c>
      <c r="BM85" s="53" t="s">
        <v>1099</v>
      </c>
      <c r="BN85" s="53" t="s">
        <v>1100</v>
      </c>
      <c r="BO85" s="53" t="s">
        <v>2101</v>
      </c>
      <c r="BP85" s="53">
        <v>1</v>
      </c>
      <c r="BQ85" s="83">
        <v>46303</v>
      </c>
      <c r="BR85" s="53"/>
      <c r="BS85" s="53"/>
    </row>
    <row r="86" spans="3:71" ht="14.25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21"/>
        <v>0</v>
      </c>
      <c r="M86" s="26">
        <f t="shared" si="2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67" t="e">
        <f>SUMIFS([1]Up!$J:$J,[1]Up!$D:$D,D86)</f>
        <v>#VALUE!</v>
      </c>
      <c r="BI86" s="82"/>
      <c r="BJ86" s="82" t="str">
        <f t="shared" si="23"/>
        <v>PL20</v>
      </c>
      <c r="BK86" s="53" t="str">
        <f t="shared" si="24"/>
        <v/>
      </c>
      <c r="BL86" s="53" t="s">
        <v>148</v>
      </c>
      <c r="BM86" s="53" t="s">
        <v>1099</v>
      </c>
      <c r="BN86" s="53" t="s">
        <v>1100</v>
      </c>
      <c r="BO86" s="53"/>
      <c r="BP86" s="53"/>
      <c r="BQ86" s="83"/>
      <c r="BR86" s="53"/>
      <c r="BS86" s="53"/>
    </row>
    <row r="87" spans="3:71" ht="14.25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21"/>
        <v>0</v>
      </c>
      <c r="M87" s="26">
        <f t="shared" si="2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67" t="e">
        <f>SUMIFS([1]Up!$J:$J,[1]Up!$D:$D,D87)</f>
        <v>#VALUE!</v>
      </c>
      <c r="BI87" s="82"/>
      <c r="BJ87" s="82" t="str">
        <f t="shared" si="23"/>
        <v>PL20</v>
      </c>
      <c r="BK87" s="53" t="str">
        <f t="shared" si="24"/>
        <v/>
      </c>
      <c r="BL87" s="53" t="s">
        <v>148</v>
      </c>
      <c r="BM87" s="53" t="s">
        <v>1093</v>
      </c>
      <c r="BN87" s="53" t="s">
        <v>1094</v>
      </c>
      <c r="BO87" s="53" t="s">
        <v>2101</v>
      </c>
      <c r="BP87" s="53">
        <v>2</v>
      </c>
      <c r="BQ87" s="83">
        <v>46303</v>
      </c>
      <c r="BR87" s="53"/>
      <c r="BS87" s="53"/>
    </row>
    <row r="88" spans="3:71" ht="14.25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21"/>
        <v>0</v>
      </c>
      <c r="M88" s="26">
        <f t="shared" si="22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67" t="e">
        <f>SUMIFS([1]Up!$J:$J,[1]Up!$D:$D,D88)</f>
        <v>#VALUE!</v>
      </c>
      <c r="BI88" s="82"/>
      <c r="BJ88" s="82" t="str">
        <f t="shared" si="23"/>
        <v/>
      </c>
      <c r="BK88" s="53" t="str">
        <f t="shared" si="24"/>
        <v/>
      </c>
      <c r="BL88" s="53" t="s">
        <v>154</v>
      </c>
      <c r="BM88" s="53" t="s">
        <v>1081</v>
      </c>
      <c r="BN88" s="53" t="s">
        <v>1080</v>
      </c>
      <c r="BO88" s="53" t="s">
        <v>2105</v>
      </c>
      <c r="BP88" s="53">
        <v>5</v>
      </c>
      <c r="BQ88" s="83">
        <v>46120</v>
      </c>
      <c r="BR88" s="53"/>
      <c r="BS88" s="53"/>
    </row>
    <row r="89" spans="3:71" ht="14.25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21"/>
        <v>0</v>
      </c>
      <c r="M89" s="26">
        <f t="shared" si="22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67" t="e">
        <f>SUMIFS([1]Up!$J:$J,[1]Up!$D:$D,D89)</f>
        <v>#VALUE!</v>
      </c>
      <c r="BI89" s="82"/>
      <c r="BJ89" s="82" t="str">
        <f t="shared" si="23"/>
        <v/>
      </c>
      <c r="BK89" s="53" t="str">
        <f t="shared" si="24"/>
        <v/>
      </c>
      <c r="BL89" s="53" t="s">
        <v>154</v>
      </c>
      <c r="BM89" s="53"/>
      <c r="BN89" s="53" t="s">
        <v>1128</v>
      </c>
      <c r="BO89" s="53" t="s">
        <v>2112</v>
      </c>
      <c r="BP89" s="53">
        <v>1</v>
      </c>
      <c r="BQ89" s="83">
        <v>46120</v>
      </c>
      <c r="BR89" s="53"/>
      <c r="BS89" s="53"/>
    </row>
    <row r="90" spans="3:71" ht="14.25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21"/>
        <v>0</v>
      </c>
      <c r="M90" s="26">
        <f t="shared" si="22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67" t="e">
        <f>SUMIFS([1]Up!$J:$J,[1]Up!$D:$D,D90)</f>
        <v>#VALUE!</v>
      </c>
      <c r="BI90" s="82"/>
      <c r="BJ90" s="82" t="str">
        <f t="shared" si="23"/>
        <v>PL12</v>
      </c>
      <c r="BK90" s="53" t="str">
        <f t="shared" si="24"/>
        <v/>
      </c>
      <c r="BL90" s="53" t="s">
        <v>154</v>
      </c>
      <c r="BM90" s="53" t="s">
        <v>1020</v>
      </c>
      <c r="BN90" s="53" t="s">
        <v>1021</v>
      </c>
      <c r="BO90" s="53" t="s">
        <v>57</v>
      </c>
      <c r="BP90" s="53">
        <v>1</v>
      </c>
      <c r="BQ90" s="83"/>
      <c r="BR90" s="53"/>
      <c r="BS90" s="53"/>
    </row>
    <row r="91" spans="3:71" ht="14.25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21"/>
        <v>0</v>
      </c>
      <c r="M91" s="26">
        <f t="shared" si="22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67" t="e">
        <f>SUMIFS([1]Up!$J:$J,[1]Up!$D:$D,D91)</f>
        <v>#VALUE!</v>
      </c>
      <c r="BI91" s="82"/>
      <c r="BJ91" s="82" t="str">
        <f t="shared" si="23"/>
        <v>PL10</v>
      </c>
      <c r="BK91" s="53" t="str">
        <f t="shared" si="24"/>
        <v/>
      </c>
      <c r="BL91" s="53" t="s">
        <v>148</v>
      </c>
      <c r="BM91" s="53" t="s">
        <v>1004</v>
      </c>
      <c r="BN91" s="53" t="s">
        <v>1005</v>
      </c>
      <c r="BO91" s="53"/>
      <c r="BP91" s="53"/>
      <c r="BQ91" s="83"/>
      <c r="BR91" s="53"/>
      <c r="BS91" s="53"/>
    </row>
    <row r="92" spans="3:71" ht="14.25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21"/>
        <v>0</v>
      </c>
      <c r="M92" s="26">
        <f t="shared" si="2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67" t="e">
        <f>SUMIFS([1]Up!$J:$J,[1]Up!$D:$D,D92)</f>
        <v>#VALUE!</v>
      </c>
      <c r="BI92" s="82"/>
      <c r="BJ92" s="82" t="str">
        <f t="shared" si="23"/>
        <v>PL10</v>
      </c>
      <c r="BK92" s="53" t="str">
        <f t="shared" si="24"/>
        <v/>
      </c>
      <c r="BL92" s="53" t="s">
        <v>148</v>
      </c>
      <c r="BM92" s="53" t="s">
        <v>1004</v>
      </c>
      <c r="BN92" s="53" t="s">
        <v>1005</v>
      </c>
      <c r="BO92" s="53"/>
      <c r="BP92" s="53"/>
      <c r="BQ92" s="83"/>
      <c r="BR92" s="53"/>
      <c r="BS92" s="53"/>
    </row>
    <row r="93" spans="3:71" ht="14.25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21"/>
        <v>0</v>
      </c>
      <c r="M93" s="26">
        <f t="shared" si="22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67" t="e">
        <f>SUMIFS([1]Up!$J:$J,[1]Up!$D:$D,D93)</f>
        <v>#VALUE!</v>
      </c>
      <c r="BI93" s="82"/>
      <c r="BJ93" s="82" t="str">
        <f t="shared" si="23"/>
        <v>PL10</v>
      </c>
      <c r="BK93" s="53" t="str">
        <f t="shared" si="24"/>
        <v/>
      </c>
      <c r="BL93" s="53" t="s">
        <v>154</v>
      </c>
      <c r="BM93" s="53" t="s">
        <v>1004</v>
      </c>
      <c r="BN93" s="53" t="s">
        <v>1005</v>
      </c>
      <c r="BO93" s="53"/>
      <c r="BP93" s="53"/>
      <c r="BQ93" s="83"/>
      <c r="BR93" s="53"/>
      <c r="BS93" s="53"/>
    </row>
    <row r="94" spans="3:71" ht="14.25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5">MIN(SUM(N94:BG94),I94)</f>
        <v>1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67" t="e">
        <f>SUMIFS([1]Up!$J:$J,[1]Up!$D:$D,D94)</f>
        <v>#VALUE!</v>
      </c>
      <c r="BI94" s="82"/>
      <c r="BJ94" s="82" t="str">
        <f t="shared" ref="BJ94:BJ157" si="26">IFERROR(IF(C94="Plate",LEFT(E94,FIND("*",E94,1)-1),""),IF(C94="Plate",LEFT(E94,FIND("x",E94,1)-1),""))</f>
        <v>PL20</v>
      </c>
      <c r="BK94" s="53" t="str">
        <f t="shared" ref="BK94:BK157" si="27">IF(ROUND(SUM(N94:BG94)-I94,0)&gt;0,"Thừa "&amp;SUM(N94:BG94)-I94,"")</f>
        <v/>
      </c>
      <c r="BL94" s="53" t="s">
        <v>148</v>
      </c>
      <c r="BM94" s="53" t="s">
        <v>1099</v>
      </c>
      <c r="BN94" s="53" t="s">
        <v>1100</v>
      </c>
      <c r="BO94" s="53" t="s">
        <v>2101</v>
      </c>
      <c r="BP94" s="53">
        <v>1</v>
      </c>
      <c r="BQ94" s="83">
        <v>46303</v>
      </c>
      <c r="BR94" s="53"/>
      <c r="BS94" s="53"/>
    </row>
    <row r="95" spans="3:71" ht="14.25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5"/>
        <v>0</v>
      </c>
      <c r="M95" s="26">
        <f t="shared" si="22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67" t="e">
        <f>SUMIFS([1]Up!$J:$J,[1]Up!$D:$D,D95)</f>
        <v>#VALUE!</v>
      </c>
      <c r="BI95" s="82"/>
      <c r="BJ95" s="82" t="str">
        <f t="shared" si="26"/>
        <v>PL10</v>
      </c>
      <c r="BK95" s="53" t="str">
        <f t="shared" si="27"/>
        <v/>
      </c>
      <c r="BL95" s="53" t="s">
        <v>154</v>
      </c>
      <c r="BM95" s="53" t="s">
        <v>1004</v>
      </c>
      <c r="BN95" s="53" t="s">
        <v>1005</v>
      </c>
      <c r="BO95" s="53"/>
      <c r="BP95" s="53"/>
      <c r="BQ95" s="83"/>
      <c r="BR95" s="53"/>
      <c r="BS95" s="53"/>
    </row>
    <row r="96" spans="3:71" ht="14.25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5"/>
        <v>0</v>
      </c>
      <c r="M96" s="26">
        <f t="shared" si="22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67" t="e">
        <f>SUMIFS([1]Up!$J:$J,[1]Up!$D:$D,D96)</f>
        <v>#VALUE!</v>
      </c>
      <c r="BI96" s="82"/>
      <c r="BJ96" s="82" t="str">
        <f t="shared" si="26"/>
        <v>PL10</v>
      </c>
      <c r="BK96" s="53" t="str">
        <f t="shared" si="27"/>
        <v/>
      </c>
      <c r="BL96" s="53" t="s">
        <v>154</v>
      </c>
      <c r="BM96" s="53" t="s">
        <v>1004</v>
      </c>
      <c r="BN96" s="53" t="s">
        <v>1005</v>
      </c>
      <c r="BO96" s="53"/>
      <c r="BP96" s="53"/>
      <c r="BQ96" s="83"/>
      <c r="BR96" s="53"/>
      <c r="BS96" s="53"/>
    </row>
    <row r="97" spans="3:71" ht="14.25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5"/>
        <v>0</v>
      </c>
      <c r="M97" s="26">
        <f t="shared" si="22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67" t="e">
        <f>SUMIFS([1]Up!$J:$J,[1]Up!$D:$D,D97)</f>
        <v>#VALUE!</v>
      </c>
      <c r="BI97" s="82"/>
      <c r="BJ97" s="82" t="str">
        <f t="shared" si="26"/>
        <v>PL10</v>
      </c>
      <c r="BK97" s="53" t="str">
        <f t="shared" si="27"/>
        <v/>
      </c>
      <c r="BL97" s="53" t="s">
        <v>154</v>
      </c>
      <c r="BM97" s="53" t="s">
        <v>1004</v>
      </c>
      <c r="BN97" s="53" t="s">
        <v>1005</v>
      </c>
      <c r="BO97" s="53"/>
      <c r="BP97" s="53"/>
      <c r="BQ97" s="83"/>
      <c r="BR97" s="53"/>
      <c r="BS97" s="53"/>
    </row>
    <row r="98" spans="3:71" ht="14.25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5"/>
        <v>0</v>
      </c>
      <c r="M98" s="26">
        <f t="shared" si="22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67" t="e">
        <f>SUMIFS([1]Up!$J:$J,[1]Up!$D:$D,D98)</f>
        <v>#VALUE!</v>
      </c>
      <c r="BI98" s="82"/>
      <c r="BJ98" s="82" t="str">
        <f t="shared" si="26"/>
        <v>PL12</v>
      </c>
      <c r="BK98" s="53" t="str">
        <f t="shared" si="27"/>
        <v/>
      </c>
      <c r="BL98" s="53" t="s">
        <v>148</v>
      </c>
      <c r="BM98" s="53" t="s">
        <v>1020</v>
      </c>
      <c r="BN98" s="53" t="s">
        <v>1021</v>
      </c>
      <c r="BO98" s="53" t="s">
        <v>2099</v>
      </c>
      <c r="BP98" s="53">
        <v>5</v>
      </c>
      <c r="BQ98" s="83">
        <v>46303</v>
      </c>
      <c r="BR98" s="53"/>
      <c r="BS98" s="53"/>
    </row>
    <row r="99" spans="3:71" ht="14.25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5"/>
        <v>0</v>
      </c>
      <c r="M99" s="26">
        <f t="shared" si="22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67" t="e">
        <f>SUMIFS([1]Up!$J:$J,[1]Up!$D:$D,D99)</f>
        <v>#VALUE!</v>
      </c>
      <c r="BI99" s="82"/>
      <c r="BJ99" s="82" t="str">
        <f t="shared" si="26"/>
        <v>PL15</v>
      </c>
      <c r="BK99" s="53" t="str">
        <f t="shared" si="27"/>
        <v/>
      </c>
      <c r="BL99" s="53" t="s">
        <v>148</v>
      </c>
      <c r="BM99" s="53" t="s">
        <v>1093</v>
      </c>
      <c r="BN99" s="53" t="s">
        <v>1094</v>
      </c>
      <c r="BO99" s="53" t="s">
        <v>2100</v>
      </c>
      <c r="BP99" s="53">
        <v>1</v>
      </c>
      <c r="BQ99" s="83">
        <v>46120</v>
      </c>
      <c r="BR99" s="53"/>
      <c r="BS99" s="53"/>
    </row>
    <row r="100" spans="3:71" ht="14.25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5"/>
        <v>0</v>
      </c>
      <c r="M100" s="26">
        <f t="shared" si="22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67" t="e">
        <f>SUMIFS([1]Up!$J:$J,[1]Up!$D:$D,D100)</f>
        <v>#VALUE!</v>
      </c>
      <c r="BI100" s="82"/>
      <c r="BJ100" s="82" t="str">
        <f t="shared" si="26"/>
        <v>PL15</v>
      </c>
      <c r="BK100" s="53" t="str">
        <f t="shared" si="27"/>
        <v/>
      </c>
      <c r="BL100" s="53" t="s">
        <v>148</v>
      </c>
      <c r="BM100" s="53" t="s">
        <v>1093</v>
      </c>
      <c r="BN100" s="53" t="s">
        <v>1094</v>
      </c>
      <c r="BO100" s="53" t="s">
        <v>2100</v>
      </c>
      <c r="BP100" s="53">
        <v>1</v>
      </c>
      <c r="BQ100" s="83">
        <v>46120</v>
      </c>
      <c r="BR100" s="53"/>
      <c r="BS100" s="53"/>
    </row>
    <row r="101" spans="3:71" ht="14.25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5"/>
        <v>0</v>
      </c>
      <c r="M101" s="26">
        <f t="shared" si="22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67" t="e">
        <f>SUMIFS([1]Up!$J:$J,[1]Up!$D:$D,D101)</f>
        <v>#VALUE!</v>
      </c>
      <c r="BI101" s="82"/>
      <c r="BJ101" s="82" t="str">
        <f t="shared" si="26"/>
        <v/>
      </c>
      <c r="BK101" s="53" t="str">
        <f t="shared" si="27"/>
        <v/>
      </c>
      <c r="BL101" s="53" t="s">
        <v>148</v>
      </c>
      <c r="BM101" s="53" t="s">
        <v>1078</v>
      </c>
      <c r="BN101" s="53" t="s">
        <v>1075</v>
      </c>
      <c r="BO101" s="53" t="s">
        <v>2104</v>
      </c>
      <c r="BP101" s="53">
        <v>5</v>
      </c>
      <c r="BQ101" s="83">
        <v>46120</v>
      </c>
      <c r="BR101" s="53"/>
      <c r="BS101" s="53"/>
    </row>
    <row r="102" spans="3:71" ht="14.25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5"/>
        <v>0</v>
      </c>
      <c r="M102" s="26">
        <f t="shared" si="22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67" t="e">
        <f>SUMIFS([1]Up!$J:$J,[1]Up!$D:$D,D102)</f>
        <v>#VALUE!</v>
      </c>
      <c r="BI102" s="82"/>
      <c r="BJ102" s="82" t="str">
        <f t="shared" si="26"/>
        <v>PL10</v>
      </c>
      <c r="BK102" s="53" t="str">
        <f t="shared" si="27"/>
        <v/>
      </c>
      <c r="BL102" s="53" t="s">
        <v>154</v>
      </c>
      <c r="BM102" s="53" t="s">
        <v>1004</v>
      </c>
      <c r="BN102" s="53" t="s">
        <v>1005</v>
      </c>
      <c r="BO102" s="53"/>
      <c r="BP102" s="53"/>
      <c r="BQ102" s="83"/>
      <c r="BR102" s="53"/>
      <c r="BS102" s="53"/>
    </row>
    <row r="103" spans="3:71" ht="14.25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5"/>
        <v>0</v>
      </c>
      <c r="M103" s="26">
        <f t="shared" si="22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67" t="e">
        <f>SUMIFS([1]Up!$J:$J,[1]Up!$D:$D,D103)</f>
        <v>#VALUE!</v>
      </c>
      <c r="BI103" s="82"/>
      <c r="BJ103" s="82" t="str">
        <f t="shared" si="26"/>
        <v>PL10</v>
      </c>
      <c r="BK103" s="53" t="str">
        <f t="shared" si="27"/>
        <v/>
      </c>
      <c r="BL103" s="53" t="s">
        <v>154</v>
      </c>
      <c r="BM103" s="53" t="s">
        <v>1004</v>
      </c>
      <c r="BN103" s="53" t="s">
        <v>1005</v>
      </c>
      <c r="BO103" s="53"/>
      <c r="BP103" s="53"/>
      <c r="BQ103" s="83"/>
      <c r="BR103" s="53"/>
      <c r="BS103" s="53"/>
    </row>
    <row r="104" spans="3:71" ht="14.25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5"/>
        <v>0</v>
      </c>
      <c r="M104" s="26">
        <f t="shared" si="22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67" t="e">
        <f>SUMIFS([1]Up!$J:$J,[1]Up!$D:$D,D104)</f>
        <v>#VALUE!</v>
      </c>
      <c r="BI104" s="82"/>
      <c r="BJ104" s="82" t="str">
        <f t="shared" si="26"/>
        <v>PL10</v>
      </c>
      <c r="BK104" s="53" t="str">
        <f t="shared" si="27"/>
        <v/>
      </c>
      <c r="BL104" s="53" t="s">
        <v>154</v>
      </c>
      <c r="BM104" s="53" t="s">
        <v>1004</v>
      </c>
      <c r="BN104" s="53" t="s">
        <v>1005</v>
      </c>
      <c r="BO104" s="53"/>
      <c r="BP104" s="53"/>
      <c r="BQ104" s="83"/>
      <c r="BR104" s="53"/>
      <c r="BS104" s="53"/>
    </row>
    <row r="105" spans="3:71" ht="14.25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5"/>
        <v>0</v>
      </c>
      <c r="M105" s="26">
        <f t="shared" si="22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67" t="e">
        <f>SUMIFS([1]Up!$J:$J,[1]Up!$D:$D,D105)</f>
        <v>#VALUE!</v>
      </c>
      <c r="BI105" s="82"/>
      <c r="BJ105" s="82" t="str">
        <f t="shared" si="26"/>
        <v>PL12</v>
      </c>
      <c r="BK105" s="53" t="str">
        <f t="shared" si="27"/>
        <v/>
      </c>
      <c r="BL105" s="53" t="s">
        <v>154</v>
      </c>
      <c r="BM105" s="53" t="s">
        <v>1020</v>
      </c>
      <c r="BN105" s="53" t="s">
        <v>1021</v>
      </c>
      <c r="BO105" s="53" t="s">
        <v>2099</v>
      </c>
      <c r="BP105" s="53">
        <v>2</v>
      </c>
      <c r="BQ105" s="83">
        <v>46303</v>
      </c>
      <c r="BR105" s="53"/>
      <c r="BS105" s="53"/>
    </row>
    <row r="106" spans="3:71" ht="14.25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5"/>
        <v>0</v>
      </c>
      <c r="M106" s="26">
        <f t="shared" si="22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67" t="e">
        <f>SUMIFS([1]Up!$J:$J,[1]Up!$D:$D,D106)</f>
        <v>#VALUE!</v>
      </c>
      <c r="BI106" s="82"/>
      <c r="BJ106" s="82" t="str">
        <f t="shared" si="26"/>
        <v>PL15</v>
      </c>
      <c r="BK106" s="53" t="str">
        <f t="shared" si="27"/>
        <v/>
      </c>
      <c r="BL106" s="53" t="s">
        <v>148</v>
      </c>
      <c r="BM106" s="53" t="s">
        <v>1093</v>
      </c>
      <c r="BN106" s="53" t="s">
        <v>1094</v>
      </c>
      <c r="BO106" s="53" t="s">
        <v>2100</v>
      </c>
      <c r="BP106" s="53">
        <v>2</v>
      </c>
      <c r="BQ106" s="83">
        <v>46120</v>
      </c>
      <c r="BR106" s="53"/>
      <c r="BS106" s="53"/>
    </row>
    <row r="107" spans="3:71" ht="14.25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5"/>
        <v>0</v>
      </c>
      <c r="M107" s="26">
        <f t="shared" si="22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67" t="e">
        <f>SUMIFS([1]Up!$J:$J,[1]Up!$D:$D,D107)</f>
        <v>#VALUE!</v>
      </c>
      <c r="BI107" s="82"/>
      <c r="BJ107" s="82" t="str">
        <f t="shared" si="26"/>
        <v>PL10</v>
      </c>
      <c r="BK107" s="53" t="str">
        <f t="shared" si="27"/>
        <v/>
      </c>
      <c r="BL107" s="53" t="s">
        <v>148</v>
      </c>
      <c r="BM107" s="53" t="s">
        <v>1004</v>
      </c>
      <c r="BN107" s="53" t="s">
        <v>1005</v>
      </c>
      <c r="BO107" s="53"/>
      <c r="BP107" s="53"/>
      <c r="BQ107" s="83"/>
      <c r="BR107" s="53"/>
      <c r="BS107" s="53"/>
    </row>
    <row r="108" spans="3:71" ht="14.25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5"/>
        <v>0</v>
      </c>
      <c r="M108" s="26">
        <f t="shared" si="22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67" t="e">
        <f>SUMIFS([1]Up!$J:$J,[1]Up!$D:$D,D108)</f>
        <v>#VALUE!</v>
      </c>
      <c r="BI108" s="82"/>
      <c r="BJ108" s="82" t="str">
        <f t="shared" si="26"/>
        <v>PL12</v>
      </c>
      <c r="BK108" s="53" t="str">
        <f t="shared" si="27"/>
        <v/>
      </c>
      <c r="BL108" s="53" t="s">
        <v>148</v>
      </c>
      <c r="BM108" s="53" t="s">
        <v>1020</v>
      </c>
      <c r="BN108" s="53" t="s">
        <v>1021</v>
      </c>
      <c r="BO108" s="53" t="s">
        <v>2099</v>
      </c>
      <c r="BP108" s="53">
        <v>2</v>
      </c>
      <c r="BQ108" s="83">
        <v>46303</v>
      </c>
      <c r="BR108" s="53"/>
      <c r="BS108" s="53"/>
    </row>
    <row r="109" spans="3:71" ht="14.25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5"/>
        <v>6</v>
      </c>
      <c r="M109" s="26">
        <f t="shared" si="2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>
        <v>6</v>
      </c>
      <c r="BC109" s="26"/>
      <c r="BD109" s="26"/>
      <c r="BE109" s="26"/>
      <c r="BF109" s="26"/>
      <c r="BG109" s="26"/>
      <c r="BH109" s="67" t="e">
        <f>SUMIFS([1]Up!$J:$J,[1]Up!$D:$D,D109)</f>
        <v>#VALUE!</v>
      </c>
      <c r="BI109" s="82"/>
      <c r="BJ109" s="82" t="str">
        <f t="shared" si="26"/>
        <v>PL16</v>
      </c>
      <c r="BK109" s="53" t="str">
        <f t="shared" si="27"/>
        <v/>
      </c>
      <c r="BL109" s="53" t="s">
        <v>148</v>
      </c>
      <c r="BM109" s="53" t="s">
        <v>987</v>
      </c>
      <c r="BN109" s="53" t="s">
        <v>988</v>
      </c>
      <c r="BO109" s="53" t="s">
        <v>2103</v>
      </c>
      <c r="BP109" s="53">
        <v>6</v>
      </c>
      <c r="BQ109" s="83">
        <v>46120</v>
      </c>
      <c r="BR109" s="53"/>
      <c r="BS109" s="53"/>
    </row>
    <row r="110" spans="3:71" ht="14.25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5"/>
        <v>2</v>
      </c>
      <c r="M110" s="26">
        <f t="shared" si="2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2</v>
      </c>
      <c r="BC110" s="26"/>
      <c r="BD110" s="26"/>
      <c r="BE110" s="26"/>
      <c r="BF110" s="26"/>
      <c r="BG110" s="26"/>
      <c r="BH110" s="67" t="e">
        <f>SUMIFS([1]Up!$J:$J,[1]Up!$D:$D,D110)</f>
        <v>#VALUE!</v>
      </c>
      <c r="BI110" s="82"/>
      <c r="BJ110" s="82" t="str">
        <f t="shared" si="26"/>
        <v>PL16</v>
      </c>
      <c r="BK110" s="53" t="str">
        <f t="shared" si="27"/>
        <v/>
      </c>
      <c r="BL110" s="53" t="s">
        <v>148</v>
      </c>
      <c r="BM110" s="53" t="s">
        <v>987</v>
      </c>
      <c r="BN110" s="53" t="s">
        <v>988</v>
      </c>
      <c r="BO110" s="53" t="s">
        <v>2103</v>
      </c>
      <c r="BP110" s="53">
        <v>2</v>
      </c>
      <c r="BQ110" s="83">
        <v>46120</v>
      </c>
      <c r="BR110" s="53"/>
      <c r="BS110" s="53"/>
    </row>
    <row r="111" spans="3:71" ht="14.25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5"/>
        <v>0</v>
      </c>
      <c r="M111" s="26">
        <f t="shared" si="22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67" t="e">
        <f>SUMIFS([1]Up!$J:$J,[1]Up!$D:$D,D111)</f>
        <v>#VALUE!</v>
      </c>
      <c r="BI111" s="82"/>
      <c r="BJ111" s="82" t="str">
        <f t="shared" si="26"/>
        <v>PL10</v>
      </c>
      <c r="BK111" s="53" t="str">
        <f t="shared" si="27"/>
        <v/>
      </c>
      <c r="BL111" s="53" t="s">
        <v>154</v>
      </c>
      <c r="BM111" s="53" t="s">
        <v>1004</v>
      </c>
      <c r="BN111" s="53" t="s">
        <v>1005</v>
      </c>
      <c r="BO111" s="53"/>
      <c r="BP111" s="53"/>
      <c r="BQ111" s="83"/>
      <c r="BR111" s="53"/>
      <c r="BS111" s="53"/>
    </row>
    <row r="112" spans="3:71" ht="14.25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5"/>
        <v>0</v>
      </c>
      <c r="M112" s="26">
        <f t="shared" si="22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67" t="e">
        <f>SUMIFS([1]Up!$J:$J,[1]Up!$D:$D,D112)</f>
        <v>#VALUE!</v>
      </c>
      <c r="BI112" s="82"/>
      <c r="BJ112" s="82" t="str">
        <f t="shared" si="26"/>
        <v>PL12</v>
      </c>
      <c r="BK112" s="53" t="str">
        <f t="shared" si="27"/>
        <v/>
      </c>
      <c r="BL112" s="53" t="s">
        <v>154</v>
      </c>
      <c r="BM112" s="53" t="s">
        <v>1020</v>
      </c>
      <c r="BN112" s="53" t="s">
        <v>1021</v>
      </c>
      <c r="BO112" s="53" t="s">
        <v>57</v>
      </c>
      <c r="BP112" s="53">
        <v>1</v>
      </c>
      <c r="BQ112" s="83"/>
      <c r="BR112" s="53"/>
      <c r="BS112" s="53"/>
    </row>
    <row r="113" spans="3:71" ht="14.25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5"/>
        <v>0</v>
      </c>
      <c r="M113" s="26">
        <f t="shared" si="22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67" t="e">
        <f>SUMIFS([1]Up!$J:$J,[1]Up!$D:$D,D113)</f>
        <v>#VALUE!</v>
      </c>
      <c r="BI113" s="82"/>
      <c r="BJ113" s="82" t="str">
        <f t="shared" si="26"/>
        <v>PL10</v>
      </c>
      <c r="BK113" s="53" t="str">
        <f t="shared" si="27"/>
        <v/>
      </c>
      <c r="BL113" s="53" t="s">
        <v>154</v>
      </c>
      <c r="BM113" s="53" t="s">
        <v>1004</v>
      </c>
      <c r="BN113" s="53" t="s">
        <v>1005</v>
      </c>
      <c r="BO113" s="53"/>
      <c r="BP113" s="53"/>
      <c r="BQ113" s="83"/>
      <c r="BR113" s="53"/>
      <c r="BS113" s="53"/>
    </row>
    <row r="114" spans="3:71" ht="14.25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5"/>
        <v>0</v>
      </c>
      <c r="M114" s="26">
        <f t="shared" si="22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67" t="e">
        <f>SUMIFS([1]Up!$J:$J,[1]Up!$D:$D,D114)</f>
        <v>#VALUE!</v>
      </c>
      <c r="BI114" s="82"/>
      <c r="BJ114" s="82" t="str">
        <f t="shared" si="26"/>
        <v>PL10</v>
      </c>
      <c r="BK114" s="53" t="str">
        <f t="shared" si="27"/>
        <v/>
      </c>
      <c r="BL114" s="53" t="s">
        <v>148</v>
      </c>
      <c r="BM114" s="53" t="s">
        <v>1004</v>
      </c>
      <c r="BN114" s="53" t="s">
        <v>1005</v>
      </c>
      <c r="BO114" s="53"/>
      <c r="BP114" s="53"/>
      <c r="BQ114" s="83"/>
      <c r="BR114" s="53"/>
      <c r="BS114" s="53"/>
    </row>
    <row r="115" spans="3:71" ht="14.25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5"/>
        <v>0</v>
      </c>
      <c r="M115" s="26">
        <f t="shared" si="22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67" t="e">
        <f>SUMIFS([1]Up!$J:$J,[1]Up!$D:$D,D115)</f>
        <v>#VALUE!</v>
      </c>
      <c r="BI115" s="82"/>
      <c r="BJ115" s="82" t="str">
        <f t="shared" si="26"/>
        <v>PL12</v>
      </c>
      <c r="BK115" s="53" t="str">
        <f t="shared" si="27"/>
        <v/>
      </c>
      <c r="BL115" s="53" t="s">
        <v>148</v>
      </c>
      <c r="BM115" s="53" t="s">
        <v>1020</v>
      </c>
      <c r="BN115" s="53" t="s">
        <v>1021</v>
      </c>
      <c r="BO115" s="53" t="s">
        <v>2099</v>
      </c>
      <c r="BP115" s="53">
        <v>1</v>
      </c>
      <c r="BQ115" s="83">
        <v>46303</v>
      </c>
      <c r="BR115" s="53"/>
      <c r="BS115" s="53"/>
    </row>
    <row r="116" spans="3:71" ht="14.25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5"/>
        <v>0</v>
      </c>
      <c r="M116" s="26">
        <f t="shared" si="22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67" t="e">
        <f>SUMIFS([1]Up!$J:$J,[1]Up!$D:$D,D116)</f>
        <v>#VALUE!</v>
      </c>
      <c r="BI116" s="82"/>
      <c r="BJ116" s="82" t="str">
        <f t="shared" si="26"/>
        <v>PL10</v>
      </c>
      <c r="BK116" s="53" t="str">
        <f t="shared" si="27"/>
        <v/>
      </c>
      <c r="BL116" s="53" t="s">
        <v>154</v>
      </c>
      <c r="BM116" s="53" t="s">
        <v>1004</v>
      </c>
      <c r="BN116" s="53" t="s">
        <v>1005</v>
      </c>
      <c r="BO116" s="53"/>
      <c r="BP116" s="53"/>
      <c r="BQ116" s="83"/>
      <c r="BR116" s="53"/>
      <c r="BS116" s="53"/>
    </row>
    <row r="117" spans="3:71" ht="14.25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5"/>
        <v>0</v>
      </c>
      <c r="M117" s="26">
        <f t="shared" si="22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67" t="e">
        <f>SUMIFS([1]Up!$J:$J,[1]Up!$D:$D,D117)</f>
        <v>#VALUE!</v>
      </c>
      <c r="BI117" s="82"/>
      <c r="BJ117" s="82" t="str">
        <f t="shared" si="26"/>
        <v>PL10</v>
      </c>
      <c r="BK117" s="53" t="str">
        <f t="shared" si="27"/>
        <v/>
      </c>
      <c r="BL117" s="53" t="s">
        <v>154</v>
      </c>
      <c r="BM117" s="53" t="s">
        <v>1004</v>
      </c>
      <c r="BN117" s="53" t="s">
        <v>1005</v>
      </c>
      <c r="BO117" s="53"/>
      <c r="BP117" s="53"/>
      <c r="BQ117" s="83"/>
      <c r="BR117" s="53"/>
      <c r="BS117" s="53"/>
    </row>
    <row r="118" spans="3:71" ht="14.25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5"/>
        <v>0</v>
      </c>
      <c r="M118" s="26">
        <f t="shared" si="22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67" t="e">
        <f>SUMIFS([1]Up!$J:$J,[1]Up!$D:$D,D118)</f>
        <v>#VALUE!</v>
      </c>
      <c r="BI118" s="82"/>
      <c r="BJ118" s="82" t="str">
        <f t="shared" si="26"/>
        <v>PL12</v>
      </c>
      <c r="BK118" s="53" t="str">
        <f t="shared" si="27"/>
        <v/>
      </c>
      <c r="BL118" s="53" t="s">
        <v>154</v>
      </c>
      <c r="BM118" s="53" t="s">
        <v>1020</v>
      </c>
      <c r="BN118" s="53" t="s">
        <v>1021</v>
      </c>
      <c r="BO118" s="53" t="s">
        <v>2099</v>
      </c>
      <c r="BP118" s="53">
        <v>1</v>
      </c>
      <c r="BQ118" s="83">
        <v>46303</v>
      </c>
      <c r="BR118" s="53"/>
      <c r="BS118" s="53"/>
    </row>
    <row r="119" spans="3:71" ht="14.25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5"/>
        <v>0</v>
      </c>
      <c r="M119" s="26">
        <f t="shared" si="22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67" t="e">
        <f>SUMIFS([1]Up!$J:$J,[1]Up!$D:$D,D119)</f>
        <v>#VALUE!</v>
      </c>
      <c r="BI119" s="82"/>
      <c r="BJ119" s="82" t="str">
        <f t="shared" si="26"/>
        <v>PL10</v>
      </c>
      <c r="BK119" s="53" t="str">
        <f t="shared" si="27"/>
        <v/>
      </c>
      <c r="BL119" s="53" t="s">
        <v>148</v>
      </c>
      <c r="BM119" s="53" t="s">
        <v>1004</v>
      </c>
      <c r="BN119" s="53" t="s">
        <v>1005</v>
      </c>
      <c r="BO119" s="53"/>
      <c r="BP119" s="53"/>
      <c r="BQ119" s="83"/>
      <c r="BR119" s="53"/>
      <c r="BS119" s="53"/>
    </row>
    <row r="120" spans="3:71" ht="14.25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5"/>
        <v>0</v>
      </c>
      <c r="M120" s="26">
        <f t="shared" si="22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67" t="e">
        <f>SUMIFS([1]Up!$J:$J,[1]Up!$D:$D,D120)</f>
        <v>#VALUE!</v>
      </c>
      <c r="BI120" s="82"/>
      <c r="BJ120" s="82" t="str">
        <f t="shared" si="26"/>
        <v>PL12</v>
      </c>
      <c r="BK120" s="53" t="str">
        <f t="shared" si="27"/>
        <v/>
      </c>
      <c r="BL120" s="53" t="s">
        <v>148</v>
      </c>
      <c r="BM120" s="53" t="s">
        <v>1020</v>
      </c>
      <c r="BN120" s="53" t="s">
        <v>1021</v>
      </c>
      <c r="BO120" s="53" t="s">
        <v>2099</v>
      </c>
      <c r="BP120" s="53">
        <v>1</v>
      </c>
      <c r="BQ120" s="83">
        <v>46303</v>
      </c>
      <c r="BR120" s="53"/>
      <c r="BS120" s="53"/>
    </row>
    <row r="121" spans="3:71" ht="14.25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5"/>
        <v>0</v>
      </c>
      <c r="M121" s="26">
        <f t="shared" si="22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67" t="e">
        <f>SUMIFS([1]Up!$J:$J,[1]Up!$D:$D,D121)</f>
        <v>#VALUE!</v>
      </c>
      <c r="BI121" s="82"/>
      <c r="BJ121" s="82" t="str">
        <f t="shared" si="26"/>
        <v>PL20</v>
      </c>
      <c r="BK121" s="53" t="str">
        <f t="shared" si="27"/>
        <v/>
      </c>
      <c r="BL121" s="53" t="s">
        <v>148</v>
      </c>
      <c r="BM121" s="53" t="s">
        <v>1099</v>
      </c>
      <c r="BN121" s="53" t="s">
        <v>1100</v>
      </c>
      <c r="BO121" s="53" t="s">
        <v>2101</v>
      </c>
      <c r="BP121" s="53">
        <v>2</v>
      </c>
      <c r="BQ121" s="83">
        <v>46303</v>
      </c>
      <c r="BR121" s="53"/>
      <c r="BS121" s="53"/>
    </row>
    <row r="122" spans="3:71" ht="14.25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5"/>
        <v>0</v>
      </c>
      <c r="M122" s="26">
        <f t="shared" si="22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67" t="e">
        <f>SUMIFS([1]Up!$J:$J,[1]Up!$D:$D,D122)</f>
        <v>#VALUE!</v>
      </c>
      <c r="BI122" s="82"/>
      <c r="BJ122" s="82" t="str">
        <f t="shared" si="26"/>
        <v>PL15</v>
      </c>
      <c r="BK122" s="53" t="str">
        <f t="shared" si="27"/>
        <v/>
      </c>
      <c r="BL122" s="53" t="s">
        <v>148</v>
      </c>
      <c r="BM122" s="53" t="s">
        <v>1093</v>
      </c>
      <c r="BN122" s="53" t="s">
        <v>1094</v>
      </c>
      <c r="BO122" s="53" t="s">
        <v>2100</v>
      </c>
      <c r="BP122" s="53">
        <v>2</v>
      </c>
      <c r="BQ122" s="83">
        <v>46120</v>
      </c>
      <c r="BR122" s="53"/>
      <c r="BS122" s="53"/>
    </row>
    <row r="123" spans="3:71" ht="14.25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5"/>
        <v>0</v>
      </c>
      <c r="M123" s="26">
        <f t="shared" si="22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67" t="e">
        <f>SUMIFS([1]Up!$J:$J,[1]Up!$D:$D,D123)</f>
        <v>#VALUE!</v>
      </c>
      <c r="BI123" s="82"/>
      <c r="BJ123" s="82" t="str">
        <f t="shared" si="26"/>
        <v>PL10</v>
      </c>
      <c r="BK123" s="53" t="str">
        <f t="shared" si="27"/>
        <v/>
      </c>
      <c r="BL123" s="53" t="s">
        <v>154</v>
      </c>
      <c r="BM123" s="53" t="s">
        <v>1004</v>
      </c>
      <c r="BN123" s="53" t="s">
        <v>1005</v>
      </c>
      <c r="BO123" s="53"/>
      <c r="BP123" s="53"/>
      <c r="BQ123" s="83"/>
      <c r="BR123" s="53"/>
      <c r="BS123" s="53"/>
    </row>
    <row r="124" spans="3:71" ht="14.25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5"/>
        <v>0</v>
      </c>
      <c r="M124" s="26">
        <f t="shared" si="22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67" t="e">
        <f>SUMIFS([1]Up!$J:$J,[1]Up!$D:$D,D124)</f>
        <v>#VALUE!</v>
      </c>
      <c r="BI124" s="82"/>
      <c r="BJ124" s="82" t="str">
        <f t="shared" si="26"/>
        <v>PL10</v>
      </c>
      <c r="BK124" s="53" t="str">
        <f t="shared" si="27"/>
        <v/>
      </c>
      <c r="BL124" s="53" t="s">
        <v>154</v>
      </c>
      <c r="BM124" s="53" t="s">
        <v>1004</v>
      </c>
      <c r="BN124" s="53" t="s">
        <v>1005</v>
      </c>
      <c r="BO124" s="53"/>
      <c r="BP124" s="53"/>
      <c r="BQ124" s="83"/>
      <c r="BR124" s="53"/>
      <c r="BS124" s="53"/>
    </row>
    <row r="125" spans="3:71" ht="14.25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5"/>
        <v>0</v>
      </c>
      <c r="M125" s="26">
        <f t="shared" si="22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67" t="e">
        <f>SUMIFS([1]Up!$J:$J,[1]Up!$D:$D,D125)</f>
        <v>#VALUE!</v>
      </c>
      <c r="BI125" s="82"/>
      <c r="BJ125" s="82" t="str">
        <f t="shared" si="26"/>
        <v>PL12</v>
      </c>
      <c r="BK125" s="53" t="str">
        <f t="shared" si="27"/>
        <v/>
      </c>
      <c r="BL125" s="53" t="s">
        <v>154</v>
      </c>
      <c r="BM125" s="53" t="s">
        <v>1020</v>
      </c>
      <c r="BN125" s="53" t="s">
        <v>1021</v>
      </c>
      <c r="BO125" s="53" t="s">
        <v>57</v>
      </c>
      <c r="BP125" s="53">
        <v>1</v>
      </c>
      <c r="BQ125" s="83"/>
      <c r="BR125" s="53"/>
      <c r="BS125" s="53"/>
    </row>
    <row r="126" spans="3:71" ht="14.25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5"/>
        <v>0</v>
      </c>
      <c r="M126" s="26">
        <f t="shared" si="22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67" t="e">
        <f>SUMIFS([1]Up!$J:$J,[1]Up!$D:$D,D126)</f>
        <v>#VALUE!</v>
      </c>
      <c r="BI126" s="82"/>
      <c r="BJ126" s="82" t="str">
        <f t="shared" si="26"/>
        <v>PL10</v>
      </c>
      <c r="BK126" s="53" t="str">
        <f t="shared" si="27"/>
        <v/>
      </c>
      <c r="BL126" s="53" t="s">
        <v>148</v>
      </c>
      <c r="BM126" s="53" t="s">
        <v>1004</v>
      </c>
      <c r="BN126" s="53" t="s">
        <v>1005</v>
      </c>
      <c r="BO126" s="53"/>
      <c r="BP126" s="53"/>
      <c r="BQ126" s="83"/>
      <c r="BR126" s="53"/>
      <c r="BS126" s="53"/>
    </row>
    <row r="127" spans="3:71" ht="14.25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5"/>
        <v>0</v>
      </c>
      <c r="M127" s="26">
        <f t="shared" si="22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67" t="e">
        <f>SUMIFS([1]Up!$J:$J,[1]Up!$D:$D,D127)</f>
        <v>#VALUE!</v>
      </c>
      <c r="BI127" s="82"/>
      <c r="BJ127" s="82" t="str">
        <f t="shared" si="26"/>
        <v>PL12</v>
      </c>
      <c r="BK127" s="53" t="str">
        <f t="shared" si="27"/>
        <v/>
      </c>
      <c r="BL127" s="53" t="s">
        <v>148</v>
      </c>
      <c r="BM127" s="53" t="s">
        <v>1020</v>
      </c>
      <c r="BN127" s="53" t="s">
        <v>1021</v>
      </c>
      <c r="BO127" s="53" t="s">
        <v>2099</v>
      </c>
      <c r="BP127" s="53">
        <v>1</v>
      </c>
      <c r="BQ127" s="83">
        <v>46303</v>
      </c>
      <c r="BR127" s="53"/>
      <c r="BS127" s="53"/>
    </row>
    <row r="128" spans="3:71" ht="14.25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5"/>
        <v>0</v>
      </c>
      <c r="M128" s="26">
        <f t="shared" si="22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67" t="e">
        <f>SUMIFS([1]Up!$J:$J,[1]Up!$D:$D,D128)</f>
        <v>#VALUE!</v>
      </c>
      <c r="BI128" s="82"/>
      <c r="BJ128" s="82" t="str">
        <f t="shared" si="26"/>
        <v/>
      </c>
      <c r="BK128" s="53" t="str">
        <f t="shared" si="27"/>
        <v/>
      </c>
      <c r="BL128" s="53" t="s">
        <v>148</v>
      </c>
      <c r="BM128" s="53" t="s">
        <v>1078</v>
      </c>
      <c r="BN128" s="53" t="s">
        <v>1075</v>
      </c>
      <c r="BO128" s="53" t="s">
        <v>2104</v>
      </c>
      <c r="BP128" s="53">
        <v>2</v>
      </c>
      <c r="BQ128" s="83">
        <v>46120</v>
      </c>
      <c r="BR128" s="53"/>
      <c r="BS128" s="53"/>
    </row>
    <row r="129" spans="3:71" ht="14.25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5"/>
        <v>0</v>
      </c>
      <c r="M129" s="26">
        <f t="shared" si="22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67" t="e">
        <f>SUMIFS([1]Up!$J:$J,[1]Up!$D:$D,D129)</f>
        <v>#VALUE!</v>
      </c>
      <c r="BI129" s="82"/>
      <c r="BJ129" s="82" t="str">
        <f t="shared" si="26"/>
        <v>PL10</v>
      </c>
      <c r="BK129" s="53" t="str">
        <f t="shared" si="27"/>
        <v/>
      </c>
      <c r="BL129" s="53" t="s">
        <v>154</v>
      </c>
      <c r="BM129" s="53" t="s">
        <v>1004</v>
      </c>
      <c r="BN129" s="53" t="s">
        <v>1005</v>
      </c>
      <c r="BO129" s="53"/>
      <c r="BP129" s="53"/>
      <c r="BQ129" s="83"/>
      <c r="BR129" s="53"/>
      <c r="BS129" s="53"/>
    </row>
    <row r="130" spans="3:71" ht="14.25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5"/>
        <v>0</v>
      </c>
      <c r="M130" s="26">
        <f t="shared" si="22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67" t="e">
        <f>SUMIFS([1]Up!$J:$J,[1]Up!$D:$D,D130)</f>
        <v>#VALUE!</v>
      </c>
      <c r="BI130" s="82"/>
      <c r="BJ130" s="82" t="str">
        <f t="shared" si="26"/>
        <v>PL20</v>
      </c>
      <c r="BK130" s="53" t="str">
        <f t="shared" si="27"/>
        <v/>
      </c>
      <c r="BL130" s="53" t="s">
        <v>148</v>
      </c>
      <c r="BM130" s="53" t="s">
        <v>1099</v>
      </c>
      <c r="BN130" s="53" t="s">
        <v>1100</v>
      </c>
      <c r="BO130" s="53" t="s">
        <v>2101</v>
      </c>
      <c r="BP130" s="53">
        <v>2</v>
      </c>
      <c r="BQ130" s="83">
        <v>46303</v>
      </c>
      <c r="BR130" s="53"/>
      <c r="BS130" s="53"/>
    </row>
    <row r="131" spans="3:71" ht="14.25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5"/>
        <v>0</v>
      </c>
      <c r="M131" s="26">
        <f t="shared" si="2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67" t="e">
        <f>SUMIFS([1]Up!$J:$J,[1]Up!$D:$D,D131)</f>
        <v>#VALUE!</v>
      </c>
      <c r="BI131" s="82"/>
      <c r="BJ131" s="82" t="str">
        <f t="shared" si="26"/>
        <v/>
      </c>
      <c r="BK131" s="53" t="str">
        <f t="shared" si="27"/>
        <v/>
      </c>
      <c r="BL131" s="53" t="s">
        <v>148</v>
      </c>
      <c r="BM131" s="53" t="s">
        <v>1099</v>
      </c>
      <c r="BN131" s="53" t="s">
        <v>1100</v>
      </c>
      <c r="BO131" s="53"/>
      <c r="BP131" s="53"/>
      <c r="BQ131" s="83"/>
      <c r="BR131" s="53"/>
      <c r="BS131" s="53"/>
    </row>
    <row r="132" spans="3:71" ht="14.25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5"/>
        <v>0</v>
      </c>
      <c r="M132" s="26">
        <f t="shared" si="22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67" t="e">
        <f>SUMIFS([1]Up!$J:$J,[1]Up!$D:$D,D132)</f>
        <v>#VALUE!</v>
      </c>
      <c r="BI132" s="82"/>
      <c r="BJ132" s="82" t="str">
        <f t="shared" si="26"/>
        <v>PL30</v>
      </c>
      <c r="BK132" s="53" t="str">
        <f t="shared" si="27"/>
        <v/>
      </c>
      <c r="BL132" s="53" t="s">
        <v>148</v>
      </c>
      <c r="BM132" s="53" t="s">
        <v>1058</v>
      </c>
      <c r="BN132" s="53" t="s">
        <v>1059</v>
      </c>
      <c r="BO132" s="53" t="s">
        <v>2119</v>
      </c>
      <c r="BP132" s="53">
        <v>1</v>
      </c>
      <c r="BQ132" s="83">
        <v>46120</v>
      </c>
      <c r="BR132" s="53"/>
      <c r="BS132" s="53"/>
    </row>
    <row r="133" spans="3:71" ht="14.25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5"/>
        <v>0</v>
      </c>
      <c r="M133" s="26">
        <f t="shared" si="22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67" t="e">
        <f>SUMIFS([1]Up!$J:$J,[1]Up!$D:$D,D133)</f>
        <v>#VALUE!</v>
      </c>
      <c r="BI133" s="82"/>
      <c r="BJ133" s="82" t="str">
        <f t="shared" si="26"/>
        <v>PL15</v>
      </c>
      <c r="BK133" s="53" t="str">
        <f t="shared" si="27"/>
        <v/>
      </c>
      <c r="BL133" s="53" t="s">
        <v>148</v>
      </c>
      <c r="BM133" s="53" t="s">
        <v>1093</v>
      </c>
      <c r="BN133" s="53" t="s">
        <v>1094</v>
      </c>
      <c r="BO133" s="53" t="s">
        <v>2100</v>
      </c>
      <c r="BP133" s="53">
        <v>2</v>
      </c>
      <c r="BQ133" s="83">
        <v>46120</v>
      </c>
      <c r="BR133" s="53"/>
      <c r="BS133" s="53"/>
    </row>
    <row r="134" spans="3:71" ht="14.25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5"/>
        <v>0</v>
      </c>
      <c r="M134" s="26">
        <f t="shared" si="22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67" t="e">
        <f>SUMIFS([1]Up!$J:$J,[1]Up!$D:$D,D134)</f>
        <v>#VALUE!</v>
      </c>
      <c r="BI134" s="82"/>
      <c r="BJ134" s="82" t="str">
        <f t="shared" si="26"/>
        <v>PL10</v>
      </c>
      <c r="BK134" s="53" t="str">
        <f t="shared" si="27"/>
        <v/>
      </c>
      <c r="BL134" s="53" t="s">
        <v>148</v>
      </c>
      <c r="BM134" s="53" t="s">
        <v>1004</v>
      </c>
      <c r="BN134" s="53" t="s">
        <v>1005</v>
      </c>
      <c r="BO134" s="53"/>
      <c r="BP134" s="53"/>
      <c r="BQ134" s="83"/>
      <c r="BR134" s="53"/>
      <c r="BS134" s="53"/>
    </row>
    <row r="135" spans="3:71" ht="14.25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5"/>
        <v>4</v>
      </c>
      <c r="M135" s="26">
        <f t="shared" si="2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>
        <v>4</v>
      </c>
      <c r="BC135" s="26"/>
      <c r="BD135" s="26"/>
      <c r="BE135" s="26"/>
      <c r="BF135" s="26"/>
      <c r="BG135" s="26"/>
      <c r="BH135" s="67" t="e">
        <f>SUMIFS([1]Up!$J:$J,[1]Up!$D:$D,D135)</f>
        <v>#VALUE!</v>
      </c>
      <c r="BI135" s="82"/>
      <c r="BJ135" s="82" t="str">
        <f t="shared" si="26"/>
        <v>PL16</v>
      </c>
      <c r="BK135" s="53" t="str">
        <f t="shared" si="27"/>
        <v/>
      </c>
      <c r="BL135" s="53" t="s">
        <v>148</v>
      </c>
      <c r="BM135" s="53" t="s">
        <v>987</v>
      </c>
      <c r="BN135" s="53" t="s">
        <v>988</v>
      </c>
      <c r="BO135" s="53" t="s">
        <v>2103</v>
      </c>
      <c r="BP135" s="53">
        <v>4</v>
      </c>
      <c r="BQ135" s="83">
        <v>46120</v>
      </c>
      <c r="BR135" s="53"/>
      <c r="BS135" s="53"/>
    </row>
    <row r="136" spans="3:71" ht="14.25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5"/>
        <v>0</v>
      </c>
      <c r="M136" s="26">
        <f t="shared" si="22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67" t="e">
        <f>SUMIFS([1]Up!$J:$J,[1]Up!$D:$D,D136)</f>
        <v>#VALUE!</v>
      </c>
      <c r="BI136" s="82"/>
      <c r="BJ136" s="82" t="str">
        <f t="shared" si="26"/>
        <v>PL15</v>
      </c>
      <c r="BK136" s="53" t="str">
        <f t="shared" si="27"/>
        <v/>
      </c>
      <c r="BL136" s="53" t="s">
        <v>148</v>
      </c>
      <c r="BM136" s="53" t="s">
        <v>1093</v>
      </c>
      <c r="BN136" s="53" t="s">
        <v>1094</v>
      </c>
      <c r="BO136" s="53" t="s">
        <v>2100</v>
      </c>
      <c r="BP136" s="53">
        <v>2</v>
      </c>
      <c r="BQ136" s="83">
        <v>46120</v>
      </c>
      <c r="BR136" s="53"/>
      <c r="BS136" s="53"/>
    </row>
    <row r="137" spans="3:71" ht="14.25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5"/>
        <v>2</v>
      </c>
      <c r="M137" s="26">
        <f t="shared" si="2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>
        <v>2</v>
      </c>
      <c r="BC137" s="26"/>
      <c r="BD137" s="26"/>
      <c r="BE137" s="26"/>
      <c r="BF137" s="26"/>
      <c r="BG137" s="26"/>
      <c r="BH137" s="67" t="e">
        <f>SUMIFS([1]Up!$J:$J,[1]Up!$D:$D,D137)</f>
        <v>#VALUE!</v>
      </c>
      <c r="BI137" s="82"/>
      <c r="BJ137" s="82" t="str">
        <f t="shared" si="26"/>
        <v>PL16</v>
      </c>
      <c r="BK137" s="53" t="str">
        <f t="shared" si="27"/>
        <v/>
      </c>
      <c r="BL137" s="53" t="s">
        <v>148</v>
      </c>
      <c r="BM137" s="53" t="s">
        <v>987</v>
      </c>
      <c r="BN137" s="53" t="s">
        <v>988</v>
      </c>
      <c r="BO137" s="53" t="s">
        <v>2103</v>
      </c>
      <c r="BP137" s="53">
        <v>2</v>
      </c>
      <c r="BQ137" s="83">
        <v>46120</v>
      </c>
      <c r="BR137" s="53"/>
      <c r="BS137" s="53"/>
    </row>
    <row r="138" spans="3:71" ht="14.25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5"/>
        <v>0</v>
      </c>
      <c r="M138" s="26">
        <f t="shared" si="22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67" t="e">
        <f>SUMIFS([1]Up!$J:$J,[1]Up!$D:$D,D138)</f>
        <v>#VALUE!</v>
      </c>
      <c r="BI138" s="82"/>
      <c r="BJ138" s="82" t="str">
        <f t="shared" si="26"/>
        <v>PL20</v>
      </c>
      <c r="BK138" s="53" t="str">
        <f t="shared" si="27"/>
        <v/>
      </c>
      <c r="BL138" s="53" t="s">
        <v>148</v>
      </c>
      <c r="BM138" s="53" t="s">
        <v>1099</v>
      </c>
      <c r="BN138" s="53" t="s">
        <v>1100</v>
      </c>
      <c r="BO138" s="53" t="s">
        <v>2101</v>
      </c>
      <c r="BP138" s="53">
        <v>2</v>
      </c>
      <c r="BQ138" s="83">
        <v>46303</v>
      </c>
      <c r="BR138" s="53"/>
      <c r="BS138" s="53"/>
    </row>
    <row r="139" spans="3:71" ht="14.25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5"/>
        <v>0</v>
      </c>
      <c r="M139" s="26">
        <f t="shared" si="22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67" t="e">
        <f>SUMIFS([1]Up!$J:$J,[1]Up!$D:$D,D139)</f>
        <v>#VALUE!</v>
      </c>
      <c r="BI139" s="82"/>
      <c r="BJ139" s="82" t="str">
        <f t="shared" si="26"/>
        <v>PL15</v>
      </c>
      <c r="BK139" s="53" t="str">
        <f t="shared" si="27"/>
        <v/>
      </c>
      <c r="BL139" s="53" t="s">
        <v>148</v>
      </c>
      <c r="BM139" s="53" t="s">
        <v>1093</v>
      </c>
      <c r="BN139" s="53" t="s">
        <v>1094</v>
      </c>
      <c r="BO139" s="53" t="s">
        <v>2100</v>
      </c>
      <c r="BP139" s="53">
        <v>2</v>
      </c>
      <c r="BQ139" s="83">
        <v>46120</v>
      </c>
      <c r="BR139" s="53"/>
      <c r="BS139" s="53"/>
    </row>
    <row r="140" spans="3:71" ht="14.25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5"/>
        <v>0</v>
      </c>
      <c r="M140" s="26">
        <f t="shared" si="22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67" t="e">
        <f>SUMIFS([1]Up!$J:$J,[1]Up!$D:$D,D140)</f>
        <v>#VALUE!</v>
      </c>
      <c r="BI140" s="82"/>
      <c r="BJ140" s="82" t="str">
        <f t="shared" si="26"/>
        <v>PL10</v>
      </c>
      <c r="BK140" s="53" t="str">
        <f t="shared" si="27"/>
        <v/>
      </c>
      <c r="BL140" s="53" t="s">
        <v>154</v>
      </c>
      <c r="BM140" s="53" t="s">
        <v>1004</v>
      </c>
      <c r="BN140" s="53" t="s">
        <v>1005</v>
      </c>
      <c r="BO140" s="53"/>
      <c r="BP140" s="53"/>
      <c r="BQ140" s="83"/>
      <c r="BR140" s="53"/>
      <c r="BS140" s="53"/>
    </row>
    <row r="141" spans="3:71" ht="14.25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5"/>
        <v>0</v>
      </c>
      <c r="M141" s="26">
        <f t="shared" si="22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67" t="e">
        <f>SUMIFS([1]Up!$J:$J,[1]Up!$D:$D,D141)</f>
        <v>#VALUE!</v>
      </c>
      <c r="BI141" s="82"/>
      <c r="BJ141" s="82" t="str">
        <f t="shared" si="26"/>
        <v>PL10</v>
      </c>
      <c r="BK141" s="53" t="str">
        <f t="shared" si="27"/>
        <v/>
      </c>
      <c r="BL141" s="53" t="s">
        <v>148</v>
      </c>
      <c r="BM141" s="53" t="s">
        <v>1004</v>
      </c>
      <c r="BN141" s="53" t="s">
        <v>1005</v>
      </c>
      <c r="BO141" s="53"/>
      <c r="BP141" s="53"/>
      <c r="BQ141" s="83"/>
      <c r="BR141" s="53"/>
      <c r="BS141" s="53"/>
    </row>
    <row r="142" spans="3:71" ht="14.25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5"/>
        <v>0</v>
      </c>
      <c r="M142" s="26">
        <f t="shared" si="22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67" t="e">
        <f>SUMIFS([1]Up!$J:$J,[1]Up!$D:$D,D142)</f>
        <v>#VALUE!</v>
      </c>
      <c r="BI142" s="82"/>
      <c r="BJ142" s="82" t="str">
        <f t="shared" si="26"/>
        <v>PL10</v>
      </c>
      <c r="BK142" s="53" t="str">
        <f t="shared" si="27"/>
        <v/>
      </c>
      <c r="BL142" s="53" t="s">
        <v>148</v>
      </c>
      <c r="BM142" s="53" t="s">
        <v>1004</v>
      </c>
      <c r="BN142" s="53" t="s">
        <v>1005</v>
      </c>
      <c r="BO142" s="53"/>
      <c r="BP142" s="53"/>
      <c r="BQ142" s="83"/>
      <c r="BR142" s="53"/>
      <c r="BS142" s="53"/>
    </row>
    <row r="143" spans="3:71" ht="14.25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5"/>
        <v>0</v>
      </c>
      <c r="M143" s="26">
        <f t="shared" si="22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67" t="e">
        <f>SUMIFS([1]Up!$J:$J,[1]Up!$D:$D,D143)</f>
        <v>#VALUE!</v>
      </c>
      <c r="BI143" s="82"/>
      <c r="BJ143" s="82" t="str">
        <f t="shared" si="26"/>
        <v>PL10</v>
      </c>
      <c r="BK143" s="53" t="str">
        <f t="shared" si="27"/>
        <v/>
      </c>
      <c r="BL143" s="53" t="s">
        <v>148</v>
      </c>
      <c r="BM143" s="53" t="s">
        <v>1004</v>
      </c>
      <c r="BN143" s="53" t="s">
        <v>1005</v>
      </c>
      <c r="BO143" s="53"/>
      <c r="BP143" s="53"/>
      <c r="BQ143" s="83"/>
      <c r="BR143" s="53"/>
      <c r="BS143" s="53"/>
    </row>
    <row r="144" spans="3:71" ht="14.25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5"/>
        <v>0</v>
      </c>
      <c r="M144" s="26">
        <f t="shared" si="22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67" t="e">
        <f>SUMIFS([1]Up!$J:$J,[1]Up!$D:$D,D144)</f>
        <v>#VALUE!</v>
      </c>
      <c r="BI144" s="82"/>
      <c r="BJ144" s="82" t="str">
        <f t="shared" si="26"/>
        <v>PL15</v>
      </c>
      <c r="BK144" s="53" t="str">
        <f t="shared" si="27"/>
        <v/>
      </c>
      <c r="BL144" s="53" t="s">
        <v>148</v>
      </c>
      <c r="BM144" s="53" t="s">
        <v>1093</v>
      </c>
      <c r="BN144" s="53" t="s">
        <v>1094</v>
      </c>
      <c r="BO144" s="53" t="s">
        <v>2100</v>
      </c>
      <c r="BP144" s="53">
        <v>1</v>
      </c>
      <c r="BQ144" s="83">
        <v>46120</v>
      </c>
      <c r="BR144" s="53"/>
      <c r="BS144" s="53"/>
    </row>
    <row r="145" spans="3:71" ht="14.25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5"/>
        <v>0</v>
      </c>
      <c r="M145" s="26">
        <f t="shared" si="22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67" t="e">
        <f>SUMIFS([1]Up!$J:$J,[1]Up!$D:$D,D145)</f>
        <v>#VALUE!</v>
      </c>
      <c r="BI145" s="82"/>
      <c r="BJ145" s="82" t="str">
        <f t="shared" si="26"/>
        <v>PL10</v>
      </c>
      <c r="BK145" s="53" t="str">
        <f t="shared" si="27"/>
        <v/>
      </c>
      <c r="BL145" s="53" t="s">
        <v>148</v>
      </c>
      <c r="BM145" s="53" t="s">
        <v>1004</v>
      </c>
      <c r="BN145" s="53" t="s">
        <v>1005</v>
      </c>
      <c r="BO145" s="53"/>
      <c r="BP145" s="53"/>
      <c r="BQ145" s="83"/>
      <c r="BR145" s="53"/>
      <c r="BS145" s="53"/>
    </row>
    <row r="146" spans="3:71" ht="14.25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5"/>
        <v>0</v>
      </c>
      <c r="M146" s="26">
        <f t="shared" si="22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67" t="e">
        <f>SUMIFS([1]Up!$J:$J,[1]Up!$D:$D,D146)</f>
        <v>#VALUE!</v>
      </c>
      <c r="BI146" s="82"/>
      <c r="BJ146" s="82" t="str">
        <f t="shared" si="26"/>
        <v>PL20</v>
      </c>
      <c r="BK146" s="53" t="str">
        <f t="shared" si="27"/>
        <v/>
      </c>
      <c r="BL146" s="53" t="s">
        <v>148</v>
      </c>
      <c r="BM146" s="53" t="s">
        <v>1099</v>
      </c>
      <c r="BN146" s="53" t="s">
        <v>1100</v>
      </c>
      <c r="BO146" s="53" t="s">
        <v>57</v>
      </c>
      <c r="BP146" s="53">
        <v>2</v>
      </c>
      <c r="BQ146" s="83"/>
      <c r="BR146" s="53"/>
      <c r="BS146" s="53"/>
    </row>
    <row r="147" spans="3:71" ht="14.25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5"/>
        <v>0</v>
      </c>
      <c r="M147" s="26">
        <f t="shared" si="22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67" t="e">
        <f>SUMIFS([1]Up!$J:$J,[1]Up!$D:$D,D147)</f>
        <v>#VALUE!</v>
      </c>
      <c r="BI147" s="82"/>
      <c r="BJ147" s="82" t="str">
        <f t="shared" si="26"/>
        <v>PL10</v>
      </c>
      <c r="BK147" s="53" t="str">
        <f t="shared" si="27"/>
        <v/>
      </c>
      <c r="BL147" s="53" t="s">
        <v>154</v>
      </c>
      <c r="BM147" s="53" t="s">
        <v>1004</v>
      </c>
      <c r="BN147" s="53" t="s">
        <v>1005</v>
      </c>
      <c r="BO147" s="53"/>
      <c r="BP147" s="53"/>
      <c r="BQ147" s="83"/>
      <c r="BR147" s="53"/>
      <c r="BS147" s="53"/>
    </row>
    <row r="148" spans="3:71" ht="14.25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5"/>
        <v>0</v>
      </c>
      <c r="M148" s="26">
        <f t="shared" si="22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67" t="e">
        <f>SUMIFS([1]Up!$J:$J,[1]Up!$D:$D,D148)</f>
        <v>#VALUE!</v>
      </c>
      <c r="BI148" s="82"/>
      <c r="BJ148" s="82" t="str">
        <f t="shared" si="26"/>
        <v/>
      </c>
      <c r="BK148" s="53" t="str">
        <f t="shared" si="27"/>
        <v/>
      </c>
      <c r="BL148" s="53" t="s">
        <v>148</v>
      </c>
      <c r="BM148" s="53" t="s">
        <v>1078</v>
      </c>
      <c r="BN148" s="53" t="s">
        <v>1075</v>
      </c>
      <c r="BO148" s="53" t="s">
        <v>2104</v>
      </c>
      <c r="BP148" s="53">
        <v>6</v>
      </c>
      <c r="BQ148" s="83">
        <v>46120</v>
      </c>
      <c r="BR148" s="53"/>
      <c r="BS148" s="53"/>
    </row>
    <row r="149" spans="3:71" ht="14.25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5"/>
        <v>0</v>
      </c>
      <c r="M149" s="26">
        <f t="shared" si="22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67" t="e">
        <f>SUMIFS([1]Up!$J:$J,[1]Up!$D:$D,D149)</f>
        <v>#VALUE!</v>
      </c>
      <c r="BI149" s="82"/>
      <c r="BJ149" s="82" t="str">
        <f t="shared" si="26"/>
        <v>PL10</v>
      </c>
      <c r="BK149" s="53" t="str">
        <f t="shared" si="27"/>
        <v/>
      </c>
      <c r="BL149" s="53" t="s">
        <v>154</v>
      </c>
      <c r="BM149" s="53" t="s">
        <v>1004</v>
      </c>
      <c r="BN149" s="53" t="s">
        <v>1005</v>
      </c>
      <c r="BO149" s="53"/>
      <c r="BP149" s="53"/>
      <c r="BQ149" s="83"/>
      <c r="BR149" s="53"/>
      <c r="BS149" s="53"/>
    </row>
    <row r="150" spans="3:71" ht="14.25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5"/>
        <v>0</v>
      </c>
      <c r="M150" s="26">
        <f t="shared" si="2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67" t="e">
        <f>SUMIFS([1]Up!$J:$J,[1]Up!$D:$D,D150)</f>
        <v>#VALUE!</v>
      </c>
      <c r="BI150" s="82"/>
      <c r="BJ150" s="82" t="str">
        <f t="shared" si="26"/>
        <v>PL20</v>
      </c>
      <c r="BK150" s="53" t="str">
        <f t="shared" si="27"/>
        <v/>
      </c>
      <c r="BL150" s="53" t="s">
        <v>148</v>
      </c>
      <c r="BM150" s="53" t="s">
        <v>1099</v>
      </c>
      <c r="BN150" s="53" t="s">
        <v>1100</v>
      </c>
      <c r="BO150" s="53" t="s">
        <v>2101</v>
      </c>
      <c r="BP150" s="53">
        <v>2</v>
      </c>
      <c r="BQ150" s="83">
        <v>46303</v>
      </c>
      <c r="BR150" s="53"/>
      <c r="BS150" s="53"/>
    </row>
    <row r="151" spans="3:71" ht="14.25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5"/>
        <v>0</v>
      </c>
      <c r="M151" s="26">
        <f t="shared" si="22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67" t="e">
        <f>SUMIFS([1]Up!$J:$J,[1]Up!$D:$D,D151)</f>
        <v>#VALUE!</v>
      </c>
      <c r="BI151" s="82"/>
      <c r="BJ151" s="82" t="str">
        <f t="shared" si="26"/>
        <v>PL15</v>
      </c>
      <c r="BK151" s="53" t="str">
        <f t="shared" si="27"/>
        <v/>
      </c>
      <c r="BL151" s="53" t="s">
        <v>148</v>
      </c>
      <c r="BM151" s="53" t="s">
        <v>1093</v>
      </c>
      <c r="BN151" s="53" t="s">
        <v>1094</v>
      </c>
      <c r="BO151" s="53" t="s">
        <v>2100</v>
      </c>
      <c r="BP151" s="53">
        <v>2</v>
      </c>
      <c r="BQ151" s="83">
        <v>46120</v>
      </c>
      <c r="BR151" s="53"/>
      <c r="BS151" s="53"/>
    </row>
    <row r="152" spans="3:71" ht="14.25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5"/>
        <v>0</v>
      </c>
      <c r="M152" s="26">
        <f t="shared" si="22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67" t="e">
        <f>SUMIFS([1]Up!$J:$J,[1]Up!$D:$D,D152)</f>
        <v>#VALUE!</v>
      </c>
      <c r="BI152" s="82"/>
      <c r="BJ152" s="82" t="str">
        <f t="shared" si="26"/>
        <v>PL15</v>
      </c>
      <c r="BK152" s="53" t="str">
        <f t="shared" si="27"/>
        <v/>
      </c>
      <c r="BL152" s="53" t="s">
        <v>148</v>
      </c>
      <c r="BM152" s="53" t="s">
        <v>1093</v>
      </c>
      <c r="BN152" s="53" t="s">
        <v>1094</v>
      </c>
      <c r="BO152" s="53" t="s">
        <v>2100</v>
      </c>
      <c r="BP152" s="53">
        <v>2</v>
      </c>
      <c r="BQ152" s="83">
        <v>46120</v>
      </c>
      <c r="BR152" s="53"/>
      <c r="BS152" s="53"/>
    </row>
    <row r="153" spans="3:71" ht="14.25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5"/>
        <v>0</v>
      </c>
      <c r="M153" s="26">
        <f t="shared" si="22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67" t="e">
        <f>SUMIFS([1]Up!$J:$J,[1]Up!$D:$D,D153)</f>
        <v>#VALUE!</v>
      </c>
      <c r="BI153" s="82"/>
      <c r="BJ153" s="82" t="str">
        <f t="shared" si="26"/>
        <v>PL10</v>
      </c>
      <c r="BK153" s="53" t="str">
        <f t="shared" si="27"/>
        <v/>
      </c>
      <c r="BL153" s="53" t="s">
        <v>148</v>
      </c>
      <c r="BM153" s="53" t="s">
        <v>1004</v>
      </c>
      <c r="BN153" s="53" t="s">
        <v>1005</v>
      </c>
      <c r="BO153" s="53"/>
      <c r="BP153" s="53"/>
      <c r="BQ153" s="83"/>
      <c r="BR153" s="53"/>
      <c r="BS153" s="53"/>
    </row>
    <row r="154" spans="3:71" ht="14.25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5"/>
        <v>0</v>
      </c>
      <c r="M154" s="26">
        <f t="shared" si="22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67" t="e">
        <f>SUMIFS([1]Up!$J:$J,[1]Up!$D:$D,D154)</f>
        <v>#VALUE!</v>
      </c>
      <c r="BI154" s="82"/>
      <c r="BJ154" s="82" t="str">
        <f t="shared" si="26"/>
        <v>PL10</v>
      </c>
      <c r="BK154" s="53" t="str">
        <f t="shared" si="27"/>
        <v/>
      </c>
      <c r="BL154" s="53" t="s">
        <v>148</v>
      </c>
      <c r="BM154" s="53" t="s">
        <v>1004</v>
      </c>
      <c r="BN154" s="53" t="s">
        <v>1005</v>
      </c>
      <c r="BO154" s="53"/>
      <c r="BP154" s="53"/>
      <c r="BQ154" s="83"/>
      <c r="BR154" s="53"/>
      <c r="BS154" s="53"/>
    </row>
    <row r="155" spans="3:71" ht="14.25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5"/>
        <v>0</v>
      </c>
      <c r="M155" s="26">
        <f t="shared" si="22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67" t="e">
        <f>SUMIFS([1]Up!$J:$J,[1]Up!$D:$D,D155)</f>
        <v>#VALUE!</v>
      </c>
      <c r="BI155" s="82"/>
      <c r="BJ155" s="82" t="str">
        <f t="shared" si="26"/>
        <v>PL15</v>
      </c>
      <c r="BK155" s="53" t="str">
        <f t="shared" si="27"/>
        <v/>
      </c>
      <c r="BL155" s="53" t="s">
        <v>148</v>
      </c>
      <c r="BM155" s="53" t="s">
        <v>1093</v>
      </c>
      <c r="BN155" s="53" t="s">
        <v>1094</v>
      </c>
      <c r="BO155" s="53" t="s">
        <v>2100</v>
      </c>
      <c r="BP155" s="53">
        <v>3</v>
      </c>
      <c r="BQ155" s="83">
        <v>46120</v>
      </c>
      <c r="BR155" s="53"/>
      <c r="BS155" s="53"/>
    </row>
    <row r="156" spans="3:71" ht="14.25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5"/>
        <v>0</v>
      </c>
      <c r="M156" s="26">
        <f t="shared" si="22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67" t="e">
        <f>SUMIFS([1]Up!$J:$J,[1]Up!$D:$D,D156)</f>
        <v>#VALUE!</v>
      </c>
      <c r="BI156" s="82"/>
      <c r="BJ156" s="82" t="str">
        <f t="shared" si="26"/>
        <v>PL10</v>
      </c>
      <c r="BK156" s="53" t="str">
        <f t="shared" si="27"/>
        <v/>
      </c>
      <c r="BL156" s="53" t="s">
        <v>148</v>
      </c>
      <c r="BM156" s="53" t="s">
        <v>1093</v>
      </c>
      <c r="BN156" s="53" t="s">
        <v>1094</v>
      </c>
      <c r="BO156" s="53"/>
      <c r="BP156" s="53"/>
      <c r="BQ156" s="83"/>
      <c r="BR156" s="53"/>
      <c r="BS156" s="53"/>
    </row>
    <row r="157" spans="3:71" ht="14.25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5"/>
        <v>0</v>
      </c>
      <c r="M157" s="26">
        <f t="shared" si="22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67" t="e">
        <f>SUMIFS([1]Up!$J:$J,[1]Up!$D:$D,D157)</f>
        <v>#VALUE!</v>
      </c>
      <c r="BI157" s="82"/>
      <c r="BJ157" s="82" t="str">
        <f t="shared" si="26"/>
        <v>PL10</v>
      </c>
      <c r="BK157" s="53" t="str">
        <f t="shared" si="27"/>
        <v/>
      </c>
      <c r="BL157" s="53" t="s">
        <v>148</v>
      </c>
      <c r="BM157" s="53" t="s">
        <v>1004</v>
      </c>
      <c r="BN157" s="53" t="s">
        <v>1005</v>
      </c>
      <c r="BO157" s="53"/>
      <c r="BP157" s="53"/>
      <c r="BQ157" s="83"/>
      <c r="BR157" s="53"/>
      <c r="BS157" s="53"/>
    </row>
    <row r="158" spans="3:71" ht="14.25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8">MIN(SUM(N158:BG158),I158)</f>
        <v>2</v>
      </c>
      <c r="M158" s="26">
        <f t="shared" si="2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>
        <v>2</v>
      </c>
      <c r="BC158" s="26"/>
      <c r="BD158" s="26"/>
      <c r="BE158" s="26"/>
      <c r="BF158" s="26"/>
      <c r="BG158" s="26"/>
      <c r="BH158" s="67" t="e">
        <f>SUMIFS([1]Up!$J:$J,[1]Up!$D:$D,D158)</f>
        <v>#VALUE!</v>
      </c>
      <c r="BI158" s="82"/>
      <c r="BJ158" s="82" t="str">
        <f t="shared" ref="BJ158:BJ221" si="29">IFERROR(IF(C158="Plate",LEFT(E158,FIND("*",E158,1)-1),""),IF(C158="Plate",LEFT(E158,FIND("x",E158,1)-1),""))</f>
        <v>PL16</v>
      </c>
      <c r="BK158" s="53" t="str">
        <f t="shared" ref="BK158:BK221" si="30">IF(ROUND(SUM(N158:BG158)-I158,0)&gt;0,"Thừa "&amp;SUM(N158:BG158)-I158,"")</f>
        <v/>
      </c>
      <c r="BL158" s="53" t="s">
        <v>148</v>
      </c>
      <c r="BM158" s="53" t="s">
        <v>987</v>
      </c>
      <c r="BN158" s="53" t="s">
        <v>988</v>
      </c>
      <c r="BO158" s="53" t="s">
        <v>2103</v>
      </c>
      <c r="BP158" s="53">
        <v>2</v>
      </c>
      <c r="BQ158" s="83">
        <v>46120</v>
      </c>
      <c r="BR158" s="53"/>
      <c r="BS158" s="53"/>
    </row>
    <row r="159" spans="3:71" ht="14.25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8"/>
        <v>10</v>
      </c>
      <c r="M159" s="26">
        <f t="shared" si="2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>
        <v>10</v>
      </c>
      <c r="BC159" s="26"/>
      <c r="BD159" s="26"/>
      <c r="BE159" s="26"/>
      <c r="BF159" s="26"/>
      <c r="BG159" s="26"/>
      <c r="BH159" s="67" t="e">
        <f>SUMIFS([1]Up!$J:$J,[1]Up!$D:$D,D159)</f>
        <v>#VALUE!</v>
      </c>
      <c r="BI159" s="82"/>
      <c r="BJ159" s="82" t="str">
        <f t="shared" si="29"/>
        <v>PL16</v>
      </c>
      <c r="BK159" s="53" t="str">
        <f t="shared" si="30"/>
        <v/>
      </c>
      <c r="BL159" s="53" t="s">
        <v>148</v>
      </c>
      <c r="BM159" s="53" t="s">
        <v>987</v>
      </c>
      <c r="BN159" s="53" t="s">
        <v>988</v>
      </c>
      <c r="BO159" s="53" t="s">
        <v>2103</v>
      </c>
      <c r="BP159" s="53">
        <v>10</v>
      </c>
      <c r="BQ159" s="83">
        <v>46120</v>
      </c>
      <c r="BR159" s="53"/>
      <c r="BS159" s="53"/>
    </row>
    <row r="160" spans="3:71" ht="14.25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8"/>
        <v>0</v>
      </c>
      <c r="M160" s="26">
        <f t="shared" si="22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67" t="e">
        <f>SUMIFS([1]Up!$J:$J,[1]Up!$D:$D,D160)</f>
        <v>#VALUE!</v>
      </c>
      <c r="BI160" s="82"/>
      <c r="BJ160" s="82" t="str">
        <f t="shared" si="29"/>
        <v/>
      </c>
      <c r="BK160" s="53" t="str">
        <f t="shared" si="30"/>
        <v/>
      </c>
      <c r="BL160" s="53" t="s">
        <v>148</v>
      </c>
      <c r="BM160" s="53" t="s">
        <v>1078</v>
      </c>
      <c r="BN160" s="53" t="s">
        <v>1075</v>
      </c>
      <c r="BO160" s="53" t="s">
        <v>2104</v>
      </c>
      <c r="BP160" s="53">
        <v>3</v>
      </c>
      <c r="BQ160" s="83">
        <v>46120</v>
      </c>
      <c r="BR160" s="53"/>
      <c r="BS160" s="53"/>
    </row>
    <row r="161" spans="3:71" ht="14.25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8"/>
        <v>0</v>
      </c>
      <c r="M161" s="26">
        <f t="shared" si="2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67" t="e">
        <f>SUMIFS([1]Up!$J:$J,[1]Up!$D:$D,D161)</f>
        <v>#VALUE!</v>
      </c>
      <c r="BI161" s="82"/>
      <c r="BJ161" s="82" t="str">
        <f t="shared" si="29"/>
        <v>PL8</v>
      </c>
      <c r="BK161" s="53" t="str">
        <f t="shared" si="30"/>
        <v/>
      </c>
      <c r="BL161" s="53" t="s">
        <v>154</v>
      </c>
      <c r="BM161" s="53" t="s">
        <v>1011</v>
      </c>
      <c r="BN161" s="53" t="s">
        <v>1012</v>
      </c>
      <c r="BO161" s="53" t="s">
        <v>57</v>
      </c>
      <c r="BP161" s="53">
        <v>1</v>
      </c>
      <c r="BQ161" s="83"/>
      <c r="BR161" s="53"/>
      <c r="BS161" s="53"/>
    </row>
    <row r="162" spans="3:71" ht="14.25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8"/>
        <v>0</v>
      </c>
      <c r="M162" s="26">
        <f t="shared" si="2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67" t="e">
        <f>SUMIFS([1]Up!$J:$J,[1]Up!$D:$D,D162)</f>
        <v>#VALUE!</v>
      </c>
      <c r="BI162" s="82"/>
      <c r="BJ162" s="82" t="str">
        <f t="shared" si="29"/>
        <v>PL15</v>
      </c>
      <c r="BK162" s="53" t="str">
        <f t="shared" si="30"/>
        <v/>
      </c>
      <c r="BL162" s="53" t="s">
        <v>148</v>
      </c>
      <c r="BM162" s="53" t="s">
        <v>1093</v>
      </c>
      <c r="BN162" s="53" t="s">
        <v>1094</v>
      </c>
      <c r="BO162" s="53" t="s">
        <v>2100</v>
      </c>
      <c r="BP162" s="53">
        <v>2</v>
      </c>
      <c r="BQ162" s="83">
        <v>46120</v>
      </c>
      <c r="BR162" s="53"/>
      <c r="BS162" s="53"/>
    </row>
    <row r="163" spans="3:71" ht="14.25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8"/>
        <v>0</v>
      </c>
      <c r="M163" s="26">
        <f t="shared" si="2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67" t="e">
        <f>SUMIFS([1]Up!$J:$J,[1]Up!$D:$D,D163)</f>
        <v>#VALUE!</v>
      </c>
      <c r="BI163" s="82"/>
      <c r="BJ163" s="82" t="str">
        <f t="shared" si="29"/>
        <v>PL10</v>
      </c>
      <c r="BK163" s="53" t="str">
        <f t="shared" si="30"/>
        <v/>
      </c>
      <c r="BL163" s="53" t="s">
        <v>154</v>
      </c>
      <c r="BM163" s="53" t="s">
        <v>1004</v>
      </c>
      <c r="BN163" s="53" t="s">
        <v>1005</v>
      </c>
      <c r="BO163" s="53"/>
      <c r="BP163" s="53"/>
      <c r="BQ163" s="83"/>
      <c r="BR163" s="53"/>
      <c r="BS163" s="53"/>
    </row>
    <row r="164" spans="3:71" ht="14.25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8"/>
        <v>0</v>
      </c>
      <c r="M164" s="26">
        <f t="shared" si="2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67" t="e">
        <f>SUMIFS([1]Up!$J:$J,[1]Up!$D:$D,D164)</f>
        <v>#VALUE!</v>
      </c>
      <c r="BI164" s="82"/>
      <c r="BJ164" s="82" t="str">
        <f t="shared" si="29"/>
        <v>PL8</v>
      </c>
      <c r="BK164" s="53" t="str">
        <f t="shared" si="30"/>
        <v/>
      </c>
      <c r="BL164" s="53" t="s">
        <v>148</v>
      </c>
      <c r="BM164" s="53" t="s">
        <v>1011</v>
      </c>
      <c r="BN164" s="53" t="s">
        <v>1012</v>
      </c>
      <c r="BO164" s="53" t="s">
        <v>57</v>
      </c>
      <c r="BP164" s="53">
        <v>2</v>
      </c>
      <c r="BQ164" s="83"/>
      <c r="BR164" s="53"/>
      <c r="BS164" s="53"/>
    </row>
    <row r="165" spans="3:71" ht="14.25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8"/>
        <v>0</v>
      </c>
      <c r="M165" s="26">
        <f t="shared" si="2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67" t="e">
        <f>SUMIFS([1]Up!$J:$J,[1]Up!$D:$D,D165)</f>
        <v>#VALUE!</v>
      </c>
      <c r="BI165" s="82"/>
      <c r="BJ165" s="82" t="str">
        <f t="shared" si="29"/>
        <v>PL8</v>
      </c>
      <c r="BK165" s="53" t="str">
        <f t="shared" si="30"/>
        <v/>
      </c>
      <c r="BL165" s="53" t="s">
        <v>148</v>
      </c>
      <c r="BM165" s="53" t="s">
        <v>1011</v>
      </c>
      <c r="BN165" s="53" t="s">
        <v>1012</v>
      </c>
      <c r="BO165" s="53" t="s">
        <v>57</v>
      </c>
      <c r="BP165" s="53">
        <v>1</v>
      </c>
      <c r="BQ165" s="83"/>
      <c r="BR165" s="53"/>
      <c r="BS165" s="53"/>
    </row>
    <row r="166" spans="3:71" ht="14.25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8"/>
        <v>0</v>
      </c>
      <c r="M166" s="26">
        <f t="shared" si="2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67" t="e">
        <f>SUMIFS([1]Up!$J:$J,[1]Up!$D:$D,D166)</f>
        <v>#VALUE!</v>
      </c>
      <c r="BI166" s="82"/>
      <c r="BJ166" s="82" t="str">
        <f t="shared" si="29"/>
        <v>PL15</v>
      </c>
      <c r="BK166" s="53" t="str">
        <f t="shared" si="30"/>
        <v/>
      </c>
      <c r="BL166" s="53" t="s">
        <v>148</v>
      </c>
      <c r="BM166" s="53" t="s">
        <v>1093</v>
      </c>
      <c r="BN166" s="53" t="s">
        <v>1094</v>
      </c>
      <c r="BO166" s="53" t="s">
        <v>2100</v>
      </c>
      <c r="BP166" s="53">
        <v>2</v>
      </c>
      <c r="BQ166" s="83">
        <v>46120</v>
      </c>
      <c r="BR166" s="53"/>
      <c r="BS166" s="53"/>
    </row>
    <row r="167" spans="3:71" ht="14.25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8"/>
        <v>0</v>
      </c>
      <c r="M167" s="26">
        <f t="shared" si="22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67" t="e">
        <f>SUMIFS([1]Up!$J:$J,[1]Up!$D:$D,D167)</f>
        <v>#VALUE!</v>
      </c>
      <c r="BI167" s="82"/>
      <c r="BJ167" s="82" t="str">
        <f t="shared" si="29"/>
        <v>PL15</v>
      </c>
      <c r="BK167" s="53" t="str">
        <f t="shared" si="30"/>
        <v/>
      </c>
      <c r="BL167" s="53" t="s">
        <v>148</v>
      </c>
      <c r="BM167" s="53" t="s">
        <v>1093</v>
      </c>
      <c r="BN167" s="53" t="s">
        <v>1094</v>
      </c>
      <c r="BO167" s="53" t="s">
        <v>2100</v>
      </c>
      <c r="BP167" s="53">
        <v>2</v>
      </c>
      <c r="BQ167" s="83">
        <v>46120</v>
      </c>
      <c r="BR167" s="53"/>
      <c r="BS167" s="53"/>
    </row>
    <row r="168" spans="3:71" ht="14.25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8"/>
        <v>4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>
        <v>4</v>
      </c>
      <c r="BC168" s="26"/>
      <c r="BD168" s="26"/>
      <c r="BE168" s="26"/>
      <c r="BF168" s="26"/>
      <c r="BG168" s="26"/>
      <c r="BH168" s="67" t="e">
        <f>SUMIFS([1]Up!$J:$J,[1]Up!$D:$D,D168)</f>
        <v>#VALUE!</v>
      </c>
      <c r="BI168" s="82"/>
      <c r="BJ168" s="82" t="str">
        <f t="shared" si="29"/>
        <v>PL16</v>
      </c>
      <c r="BK168" s="53" t="str">
        <f t="shared" si="30"/>
        <v/>
      </c>
      <c r="BL168" s="53" t="s">
        <v>148</v>
      </c>
      <c r="BM168" s="53" t="s">
        <v>987</v>
      </c>
      <c r="BN168" s="53" t="s">
        <v>988</v>
      </c>
      <c r="BO168" s="53" t="s">
        <v>2103</v>
      </c>
      <c r="BP168" s="53">
        <v>4</v>
      </c>
      <c r="BQ168" s="83">
        <v>46120</v>
      </c>
      <c r="BR168" s="53"/>
      <c r="BS168" s="53"/>
    </row>
    <row r="169" spans="3:71" ht="14.25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8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>
        <v>2</v>
      </c>
      <c r="BC169" s="26"/>
      <c r="BD169" s="26"/>
      <c r="BE169" s="26"/>
      <c r="BF169" s="26"/>
      <c r="BG169" s="26"/>
      <c r="BH169" s="67" t="e">
        <f>SUMIFS([1]Up!$J:$J,[1]Up!$D:$D,D169)</f>
        <v>#VALUE!</v>
      </c>
      <c r="BI169" s="82"/>
      <c r="BJ169" s="82" t="str">
        <f t="shared" si="29"/>
        <v>PL16</v>
      </c>
      <c r="BK169" s="53" t="str">
        <f t="shared" si="30"/>
        <v/>
      </c>
      <c r="BL169" s="53" t="s">
        <v>148</v>
      </c>
      <c r="BM169" s="53" t="s">
        <v>987</v>
      </c>
      <c r="BN169" s="53" t="s">
        <v>988</v>
      </c>
      <c r="BO169" s="53" t="s">
        <v>2103</v>
      </c>
      <c r="BP169" s="53">
        <v>2</v>
      </c>
      <c r="BQ169" s="83">
        <v>46120</v>
      </c>
      <c r="BR169" s="53"/>
      <c r="BS169" s="53"/>
    </row>
    <row r="170" spans="3:71" ht="14.25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8"/>
        <v>0</v>
      </c>
      <c r="M170" s="26">
        <f t="shared" si="2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67" t="e">
        <f>SUMIFS([1]Up!$J:$J,[1]Up!$D:$D,D170)</f>
        <v>#VALUE!</v>
      </c>
      <c r="BI170" s="82"/>
      <c r="BJ170" s="82" t="str">
        <f t="shared" si="29"/>
        <v>PL20</v>
      </c>
      <c r="BK170" s="53" t="str">
        <f t="shared" si="30"/>
        <v/>
      </c>
      <c r="BL170" s="53" t="s">
        <v>148</v>
      </c>
      <c r="BM170" s="53" t="s">
        <v>1099</v>
      </c>
      <c r="BN170" s="53" t="s">
        <v>1100</v>
      </c>
      <c r="BO170" s="53" t="s">
        <v>2101</v>
      </c>
      <c r="BP170" s="53">
        <v>2</v>
      </c>
      <c r="BQ170" s="83">
        <v>46303</v>
      </c>
      <c r="BR170" s="53"/>
      <c r="BS170" s="53"/>
    </row>
    <row r="171" spans="3:71" ht="14.25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8"/>
        <v>0</v>
      </c>
      <c r="M171" s="26">
        <f t="shared" si="2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67" t="e">
        <f>SUMIFS([1]Up!$J:$J,[1]Up!$D:$D,D171)</f>
        <v>#VALUE!</v>
      </c>
      <c r="BI171" s="82"/>
      <c r="BJ171" s="82" t="str">
        <f t="shared" si="29"/>
        <v/>
      </c>
      <c r="BK171" s="53" t="str">
        <f t="shared" si="30"/>
        <v/>
      </c>
      <c r="BL171" s="53" t="s">
        <v>148</v>
      </c>
      <c r="BM171" s="53" t="s">
        <v>1078</v>
      </c>
      <c r="BN171" s="53" t="s">
        <v>1075</v>
      </c>
      <c r="BO171" s="53" t="s">
        <v>2104</v>
      </c>
      <c r="BP171" s="53">
        <v>5</v>
      </c>
      <c r="BQ171" s="83">
        <v>46120</v>
      </c>
      <c r="BR171" s="53"/>
      <c r="BS171" s="53"/>
    </row>
    <row r="172" spans="3:71" ht="14.25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8"/>
        <v>0</v>
      </c>
      <c r="M172" s="26">
        <f t="shared" si="2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67" t="e">
        <f>SUMIFS([1]Up!$J:$J,[1]Up!$D:$D,D172)</f>
        <v>#VALUE!</v>
      </c>
      <c r="BI172" s="82"/>
      <c r="BJ172" s="82" t="str">
        <f t="shared" si="29"/>
        <v>PL8</v>
      </c>
      <c r="BK172" s="53" t="str">
        <f t="shared" si="30"/>
        <v/>
      </c>
      <c r="BL172" s="53" t="s">
        <v>154</v>
      </c>
      <c r="BM172" s="53" t="s">
        <v>1011</v>
      </c>
      <c r="BN172" s="53" t="s">
        <v>1012</v>
      </c>
      <c r="BO172" s="53" t="s">
        <v>57</v>
      </c>
      <c r="BP172" s="53">
        <v>1</v>
      </c>
      <c r="BQ172" s="83"/>
      <c r="BR172" s="53"/>
      <c r="BS172" s="53"/>
    </row>
    <row r="173" spans="3:71" ht="14.25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8"/>
        <v>0</v>
      </c>
      <c r="M173" s="26">
        <f t="shared" si="2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67" t="e">
        <f>SUMIFS([1]Up!$J:$J,[1]Up!$D:$D,D173)</f>
        <v>#VALUE!</v>
      </c>
      <c r="BI173" s="82"/>
      <c r="BJ173" s="82" t="str">
        <f t="shared" si="29"/>
        <v>PL8</v>
      </c>
      <c r="BK173" s="53" t="str">
        <f t="shared" si="30"/>
        <v/>
      </c>
      <c r="BL173" s="53" t="s">
        <v>148</v>
      </c>
      <c r="BM173" s="53" t="s">
        <v>1011</v>
      </c>
      <c r="BN173" s="53" t="s">
        <v>1012</v>
      </c>
      <c r="BO173" s="53" t="s">
        <v>57</v>
      </c>
      <c r="BP173" s="53">
        <v>2</v>
      </c>
      <c r="BQ173" s="83"/>
      <c r="BR173" s="53"/>
      <c r="BS173" s="53"/>
    </row>
    <row r="174" spans="3:71" ht="14.25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8"/>
        <v>0</v>
      </c>
      <c r="M174" s="26">
        <f t="shared" si="2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67" t="e">
        <f>SUMIFS([1]Up!$J:$J,[1]Up!$D:$D,D174)</f>
        <v>#VALUE!</v>
      </c>
      <c r="BI174" s="82"/>
      <c r="BJ174" s="82" t="str">
        <f t="shared" si="29"/>
        <v>PL8</v>
      </c>
      <c r="BK174" s="53" t="str">
        <f t="shared" si="30"/>
        <v/>
      </c>
      <c r="BL174" s="53" t="s">
        <v>148</v>
      </c>
      <c r="BM174" s="53" t="s">
        <v>1011</v>
      </c>
      <c r="BN174" s="53" t="s">
        <v>1012</v>
      </c>
      <c r="BO174" s="53" t="s">
        <v>2123</v>
      </c>
      <c r="BP174" s="53">
        <v>2</v>
      </c>
      <c r="BQ174" s="83">
        <v>46334</v>
      </c>
      <c r="BR174" s="53"/>
      <c r="BS174" s="53"/>
    </row>
    <row r="175" spans="3:71" ht="14.25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8"/>
        <v>0</v>
      </c>
      <c r="M175" s="26">
        <f t="shared" si="2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67" t="e">
        <f>SUMIFS([1]Up!$J:$J,[1]Up!$D:$D,D175)</f>
        <v>#VALUE!</v>
      </c>
      <c r="BI175" s="82"/>
      <c r="BJ175" s="82" t="str">
        <f t="shared" si="29"/>
        <v>PL15</v>
      </c>
      <c r="BK175" s="53" t="str">
        <f t="shared" si="30"/>
        <v/>
      </c>
      <c r="BL175" s="53" t="s">
        <v>148</v>
      </c>
      <c r="BM175" s="53" t="s">
        <v>1093</v>
      </c>
      <c r="BN175" s="53" t="s">
        <v>1094</v>
      </c>
      <c r="BO175" s="53" t="s">
        <v>2100</v>
      </c>
      <c r="BP175" s="53">
        <v>2</v>
      </c>
      <c r="BQ175" s="83">
        <v>46120</v>
      </c>
      <c r="BR175" s="53"/>
      <c r="BS175" s="53"/>
    </row>
    <row r="176" spans="3:71" ht="14.25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8"/>
        <v>0</v>
      </c>
      <c r="M176" s="26">
        <f t="shared" si="2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67" t="e">
        <f>SUMIFS([1]Up!$J:$J,[1]Up!$D:$D,D176)</f>
        <v>#VALUE!</v>
      </c>
      <c r="BI176" s="82"/>
      <c r="BJ176" s="82" t="str">
        <f t="shared" si="29"/>
        <v>PL15</v>
      </c>
      <c r="BK176" s="53" t="str">
        <f t="shared" si="30"/>
        <v/>
      </c>
      <c r="BL176" s="53" t="s">
        <v>148</v>
      </c>
      <c r="BM176" s="53" t="s">
        <v>1093</v>
      </c>
      <c r="BN176" s="53" t="s">
        <v>1094</v>
      </c>
      <c r="BO176" s="53" t="s">
        <v>2100</v>
      </c>
      <c r="BP176" s="53">
        <v>2</v>
      </c>
      <c r="BQ176" s="83">
        <v>46120</v>
      </c>
      <c r="BR176" s="53"/>
      <c r="BS176" s="53"/>
    </row>
    <row r="177" spans="3:71" ht="14.25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8"/>
        <v>0</v>
      </c>
      <c r="M177" s="26">
        <f t="shared" si="22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67" t="e">
        <f>SUMIFS([1]Up!$J:$J,[1]Up!$D:$D,D177)</f>
        <v>#VALUE!</v>
      </c>
      <c r="BI177" s="82"/>
      <c r="BJ177" s="82" t="str">
        <f t="shared" si="29"/>
        <v>PL20</v>
      </c>
      <c r="BK177" s="53" t="str">
        <f t="shared" si="30"/>
        <v/>
      </c>
      <c r="BL177" s="53" t="s">
        <v>148</v>
      </c>
      <c r="BM177" s="53" t="s">
        <v>1099</v>
      </c>
      <c r="BN177" s="53" t="s">
        <v>1100</v>
      </c>
      <c r="BO177" s="53" t="s">
        <v>2101</v>
      </c>
      <c r="BP177" s="53">
        <v>2</v>
      </c>
      <c r="BQ177" s="83">
        <v>46303</v>
      </c>
      <c r="BR177" s="53"/>
      <c r="BS177" s="53"/>
    </row>
    <row r="178" spans="3:71" ht="14.25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8"/>
        <v>0</v>
      </c>
      <c r="M178" s="26">
        <f t="shared" si="2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67" t="e">
        <f>SUMIFS([1]Up!$J:$J,[1]Up!$D:$D,D178)</f>
        <v>#VALUE!</v>
      </c>
      <c r="BI178" s="82"/>
      <c r="BJ178" s="82" t="str">
        <f t="shared" si="29"/>
        <v>PL15</v>
      </c>
      <c r="BK178" s="53" t="str">
        <f t="shared" si="30"/>
        <v/>
      </c>
      <c r="BL178" s="53" t="s">
        <v>148</v>
      </c>
      <c r="BM178" s="53" t="s">
        <v>1093</v>
      </c>
      <c r="BN178" s="53" t="s">
        <v>1094</v>
      </c>
      <c r="BO178" s="53" t="s">
        <v>2100</v>
      </c>
      <c r="BP178" s="53">
        <v>2</v>
      </c>
      <c r="BQ178" s="83">
        <v>46120</v>
      </c>
      <c r="BR178" s="53"/>
      <c r="BS178" s="53"/>
    </row>
    <row r="179" spans="3:71" ht="14.25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8"/>
        <v>0</v>
      </c>
      <c r="M179" s="26">
        <f t="shared" si="2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67" t="e">
        <f>SUMIFS([1]Up!$J:$J,[1]Up!$D:$D,D179)</f>
        <v>#VALUE!</v>
      </c>
      <c r="BI179" s="82"/>
      <c r="BJ179" s="82" t="str">
        <f t="shared" si="29"/>
        <v>PL5</v>
      </c>
      <c r="BK179" s="53" t="str">
        <f t="shared" si="30"/>
        <v/>
      </c>
      <c r="BL179" s="53" t="s">
        <v>148</v>
      </c>
      <c r="BM179" s="53" t="s">
        <v>1107</v>
      </c>
      <c r="BN179" s="53" t="s">
        <v>956</v>
      </c>
      <c r="BO179" s="53" t="s">
        <v>2102</v>
      </c>
      <c r="BP179" s="53">
        <v>2</v>
      </c>
      <c r="BQ179" s="83">
        <v>46120</v>
      </c>
      <c r="BR179" s="53"/>
      <c r="BS179" s="53"/>
    </row>
    <row r="180" spans="3:71" ht="14.25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8"/>
        <v>0</v>
      </c>
      <c r="M180" s="26">
        <f t="shared" si="22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67" t="e">
        <f>SUMIFS([1]Up!$J:$J,[1]Up!$D:$D,D180)</f>
        <v>#VALUE!</v>
      </c>
      <c r="BI180" s="82"/>
      <c r="BJ180" s="82" t="str">
        <f t="shared" si="29"/>
        <v>PL8</v>
      </c>
      <c r="BK180" s="53" t="str">
        <f t="shared" si="30"/>
        <v/>
      </c>
      <c r="BL180" s="53" t="s">
        <v>148</v>
      </c>
      <c r="BM180" s="53" t="s">
        <v>1011</v>
      </c>
      <c r="BN180" s="53" t="s">
        <v>1012</v>
      </c>
      <c r="BO180" s="53" t="s">
        <v>57</v>
      </c>
      <c r="BP180" s="53">
        <v>3</v>
      </c>
      <c r="BQ180" s="83"/>
      <c r="BR180" s="53"/>
      <c r="BS180" s="53"/>
    </row>
    <row r="181" spans="3:71" ht="14.25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8"/>
        <v>0</v>
      </c>
      <c r="M181" s="26">
        <f t="shared" si="2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67" t="e">
        <f>SUMIFS([1]Up!$J:$J,[1]Up!$D:$D,D181)</f>
        <v>#VALUE!</v>
      </c>
      <c r="BI181" s="82"/>
      <c r="BJ181" s="82" t="str">
        <f t="shared" si="29"/>
        <v>PL20</v>
      </c>
      <c r="BK181" s="53" t="str">
        <f t="shared" si="30"/>
        <v/>
      </c>
      <c r="BL181" s="53" t="s">
        <v>148</v>
      </c>
      <c r="BM181" s="53" t="s">
        <v>1099</v>
      </c>
      <c r="BN181" s="53" t="s">
        <v>1100</v>
      </c>
      <c r="BO181" s="53" t="s">
        <v>2101</v>
      </c>
      <c r="BP181" s="53">
        <v>1</v>
      </c>
      <c r="BQ181" s="83">
        <v>46303</v>
      </c>
      <c r="BR181" s="53"/>
      <c r="BS181" s="53"/>
    </row>
    <row r="182" spans="3:71" ht="14.25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8"/>
        <v>0</v>
      </c>
      <c r="M182" s="26">
        <f t="shared" si="2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67" t="e">
        <f>SUMIFS([1]Up!$J:$J,[1]Up!$D:$D,D182)</f>
        <v>#VALUE!</v>
      </c>
      <c r="BI182" s="82"/>
      <c r="BJ182" s="82" t="str">
        <f t="shared" si="29"/>
        <v>PL20</v>
      </c>
      <c r="BK182" s="53" t="str">
        <f t="shared" si="30"/>
        <v/>
      </c>
      <c r="BL182" s="53" t="s">
        <v>148</v>
      </c>
      <c r="BM182" s="53" t="s">
        <v>1099</v>
      </c>
      <c r="BN182" s="53" t="s">
        <v>1100</v>
      </c>
      <c r="BO182" s="53" t="s">
        <v>2101</v>
      </c>
      <c r="BP182" s="53">
        <v>1</v>
      </c>
      <c r="BQ182" s="83">
        <v>46303</v>
      </c>
      <c r="BR182" s="53"/>
      <c r="BS182" s="53"/>
    </row>
    <row r="183" spans="3:71" ht="14.25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8"/>
        <v>3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>
        <v>3</v>
      </c>
      <c r="BC183" s="26"/>
      <c r="BD183" s="26"/>
      <c r="BE183" s="26"/>
      <c r="BF183" s="26"/>
      <c r="BG183" s="26"/>
      <c r="BH183" s="67" t="e">
        <f>SUMIFS([1]Up!$J:$J,[1]Up!$D:$D,D183)</f>
        <v>#VALUE!</v>
      </c>
      <c r="BI183" s="82"/>
      <c r="BJ183" s="82" t="str">
        <f t="shared" si="29"/>
        <v>PL16</v>
      </c>
      <c r="BK183" s="53" t="str">
        <f t="shared" si="30"/>
        <v/>
      </c>
      <c r="BL183" s="53" t="s">
        <v>148</v>
      </c>
      <c r="BM183" s="53" t="s">
        <v>987</v>
      </c>
      <c r="BN183" s="53" t="s">
        <v>988</v>
      </c>
      <c r="BO183" s="53" t="s">
        <v>2103</v>
      </c>
      <c r="BP183" s="53">
        <v>3</v>
      </c>
      <c r="BQ183" s="83">
        <v>46120</v>
      </c>
      <c r="BR183" s="53"/>
      <c r="BS183" s="53"/>
    </row>
    <row r="184" spans="3:71" ht="14.25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8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>
        <v>1</v>
      </c>
      <c r="BC184" s="26"/>
      <c r="BD184" s="26"/>
      <c r="BE184" s="26"/>
      <c r="BF184" s="26"/>
      <c r="BG184" s="26"/>
      <c r="BH184" s="67" t="e">
        <f>SUMIFS([1]Up!$J:$J,[1]Up!$D:$D,D184)</f>
        <v>#VALUE!</v>
      </c>
      <c r="BI184" s="82"/>
      <c r="BJ184" s="82" t="str">
        <f t="shared" si="29"/>
        <v>PL16</v>
      </c>
      <c r="BK184" s="53" t="str">
        <f t="shared" si="30"/>
        <v/>
      </c>
      <c r="BL184" s="53" t="s">
        <v>148</v>
      </c>
      <c r="BM184" s="53" t="s">
        <v>987</v>
      </c>
      <c r="BN184" s="53" t="s">
        <v>988</v>
      </c>
      <c r="BO184" s="53" t="s">
        <v>2103</v>
      </c>
      <c r="BP184" s="53">
        <v>1</v>
      </c>
      <c r="BQ184" s="83">
        <v>46120</v>
      </c>
      <c r="BR184" s="53"/>
      <c r="BS184" s="53"/>
    </row>
    <row r="185" spans="3:71" ht="14.25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8"/>
        <v>0</v>
      </c>
      <c r="M185" s="26">
        <f t="shared" si="22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67" t="e">
        <f>SUMIFS([1]Up!$J:$J,[1]Up!$D:$D,D185)</f>
        <v>#VALUE!</v>
      </c>
      <c r="BI185" s="82"/>
      <c r="BJ185" s="82" t="str">
        <f t="shared" si="29"/>
        <v>PL15</v>
      </c>
      <c r="BK185" s="53" t="str">
        <f t="shared" si="30"/>
        <v/>
      </c>
      <c r="BL185" s="53" t="s">
        <v>148</v>
      </c>
      <c r="BM185" s="53" t="s">
        <v>1093</v>
      </c>
      <c r="BN185" s="53" t="s">
        <v>1094</v>
      </c>
      <c r="BO185" s="53" t="s">
        <v>2100</v>
      </c>
      <c r="BP185" s="53">
        <v>2</v>
      </c>
      <c r="BQ185" s="83">
        <v>46120</v>
      </c>
      <c r="BR185" s="53"/>
      <c r="BS185" s="53"/>
    </row>
    <row r="186" spans="3:71" ht="14.25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8"/>
        <v>2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>
        <v>2</v>
      </c>
      <c r="BC186" s="26"/>
      <c r="BD186" s="26"/>
      <c r="BE186" s="26"/>
      <c r="BF186" s="26"/>
      <c r="BG186" s="26"/>
      <c r="BH186" s="67" t="e">
        <f>SUMIFS([1]Up!$J:$J,[1]Up!$D:$D,D186)</f>
        <v>#VALUE!</v>
      </c>
      <c r="BI186" s="82"/>
      <c r="BJ186" s="82" t="str">
        <f t="shared" si="29"/>
        <v>PL16</v>
      </c>
      <c r="BK186" s="53" t="str">
        <f t="shared" si="30"/>
        <v/>
      </c>
      <c r="BL186" s="53" t="s">
        <v>148</v>
      </c>
      <c r="BM186" s="53" t="s">
        <v>987</v>
      </c>
      <c r="BN186" s="53" t="s">
        <v>988</v>
      </c>
      <c r="BO186" s="53" t="s">
        <v>2103</v>
      </c>
      <c r="BP186" s="53">
        <v>2</v>
      </c>
      <c r="BQ186" s="83">
        <v>46120</v>
      </c>
      <c r="BR186" s="53"/>
      <c r="BS186" s="53"/>
    </row>
    <row r="187" spans="3:71" ht="14.25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8"/>
        <v>10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>
        <v>10</v>
      </c>
      <c r="BC187" s="26"/>
      <c r="BD187" s="26"/>
      <c r="BE187" s="26"/>
      <c r="BF187" s="26"/>
      <c r="BG187" s="26"/>
      <c r="BH187" s="67" t="e">
        <f>SUMIFS([1]Up!$J:$J,[1]Up!$D:$D,D187)</f>
        <v>#VALUE!</v>
      </c>
      <c r="BI187" s="82"/>
      <c r="BJ187" s="82" t="str">
        <f t="shared" si="29"/>
        <v>PL16</v>
      </c>
      <c r="BK187" s="53" t="str">
        <f t="shared" si="30"/>
        <v/>
      </c>
      <c r="BL187" s="53" t="s">
        <v>148</v>
      </c>
      <c r="BM187" s="53" t="s">
        <v>987</v>
      </c>
      <c r="BN187" s="53" t="s">
        <v>988</v>
      </c>
      <c r="BO187" s="53" t="s">
        <v>2103</v>
      </c>
      <c r="BP187" s="53">
        <v>10</v>
      </c>
      <c r="BQ187" s="83">
        <v>46120</v>
      </c>
      <c r="BR187" s="53"/>
      <c r="BS187" s="53"/>
    </row>
    <row r="188" spans="3:71" ht="14.25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8"/>
        <v>4</v>
      </c>
      <c r="M188" s="26">
        <f t="shared" si="22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67" t="e">
        <f>SUMIFS([1]Up!$J:$J,[1]Up!$D:$D,D188)</f>
        <v>#VALUE!</v>
      </c>
      <c r="BI188" s="82"/>
      <c r="BJ188" s="82" t="str">
        <f t="shared" si="29"/>
        <v/>
      </c>
      <c r="BK188" s="53" t="str">
        <f t="shared" si="30"/>
        <v/>
      </c>
      <c r="BL188" s="53" t="s">
        <v>148</v>
      </c>
      <c r="BM188" s="53" t="s">
        <v>1078</v>
      </c>
      <c r="BN188" s="53" t="s">
        <v>1075</v>
      </c>
      <c r="BO188" s="53" t="s">
        <v>1289</v>
      </c>
      <c r="BP188" s="53">
        <v>4</v>
      </c>
      <c r="BQ188" s="83">
        <v>46362</v>
      </c>
      <c r="BR188" s="53"/>
      <c r="BS188" s="53"/>
    </row>
    <row r="189" spans="3:71" ht="14.25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8"/>
        <v>2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67" t="e">
        <f>SUMIFS([1]Up!$J:$J,[1]Up!$D:$D,D189)</f>
        <v>#VALUE!</v>
      </c>
      <c r="BI189" s="82"/>
      <c r="BJ189" s="82" t="str">
        <f t="shared" si="29"/>
        <v/>
      </c>
      <c r="BK189" s="53" t="str">
        <f t="shared" si="30"/>
        <v/>
      </c>
      <c r="BL189" s="53" t="s">
        <v>154</v>
      </c>
      <c r="BM189" s="53" t="s">
        <v>1081</v>
      </c>
      <c r="BN189" s="53" t="s">
        <v>1080</v>
      </c>
      <c r="BO189" s="53" t="s">
        <v>1291</v>
      </c>
      <c r="BP189" s="53">
        <v>2</v>
      </c>
      <c r="BQ189" s="83">
        <v>46362</v>
      </c>
      <c r="BR189" s="53"/>
      <c r="BS189" s="53"/>
    </row>
    <row r="190" spans="3:71" ht="14.25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8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67" t="e">
        <f>SUMIFS([1]Up!$J:$J,[1]Up!$D:$D,D190)</f>
        <v>#VALUE!</v>
      </c>
      <c r="BI190" s="82" t="s">
        <v>2231</v>
      </c>
      <c r="BJ190" s="82" t="str">
        <f t="shared" si="29"/>
        <v>PL12</v>
      </c>
      <c r="BK190" s="53" t="str">
        <f t="shared" si="30"/>
        <v>Thừa 5</v>
      </c>
      <c r="BL190" s="53" t="s">
        <v>154</v>
      </c>
      <c r="BM190" s="53" t="s">
        <v>1020</v>
      </c>
      <c r="BN190" s="53" t="s">
        <v>1021</v>
      </c>
      <c r="BO190" s="53" t="s">
        <v>57</v>
      </c>
      <c r="BP190" s="53">
        <v>1</v>
      </c>
      <c r="BQ190" s="83"/>
      <c r="BR190" s="53"/>
      <c r="BS190" s="53"/>
    </row>
    <row r="191" spans="3:71" ht="14.25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8"/>
        <v>2</v>
      </c>
      <c r="M191" s="26">
        <f t="shared" si="22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67" t="e">
        <f>SUMIFS([1]Up!$J:$J,[1]Up!$D:$D,D191)</f>
        <v>#VALUE!</v>
      </c>
      <c r="BI191" s="82"/>
      <c r="BJ191" s="82" t="str">
        <f t="shared" si="29"/>
        <v>PL10</v>
      </c>
      <c r="BK191" s="53" t="str">
        <f t="shared" si="30"/>
        <v/>
      </c>
      <c r="BL191" s="53" t="s">
        <v>148</v>
      </c>
      <c r="BM191" s="53" t="s">
        <v>1004</v>
      </c>
      <c r="BN191" s="53" t="s">
        <v>1005</v>
      </c>
      <c r="BO191" s="53" t="s">
        <v>1063</v>
      </c>
      <c r="BP191" s="53">
        <v>2</v>
      </c>
      <c r="BQ191" s="83">
        <v>46088</v>
      </c>
      <c r="BR191" s="53"/>
      <c r="BS191" s="53"/>
    </row>
    <row r="192" spans="3:71" ht="14.25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8"/>
        <v>4</v>
      </c>
      <c r="M192" s="26">
        <f t="shared" si="22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67" t="e">
        <f>SUMIFS([1]Up!$J:$J,[1]Up!$D:$D,D192)</f>
        <v>#VALUE!</v>
      </c>
      <c r="BI192" s="82"/>
      <c r="BJ192" s="82" t="str">
        <f t="shared" si="29"/>
        <v>PL12</v>
      </c>
      <c r="BK192" s="53" t="str">
        <f t="shared" si="30"/>
        <v/>
      </c>
      <c r="BL192" s="53" t="s">
        <v>148</v>
      </c>
      <c r="BM192" s="53" t="s">
        <v>1020</v>
      </c>
      <c r="BN192" s="53" t="s">
        <v>1021</v>
      </c>
      <c r="BO192" s="53" t="s">
        <v>1022</v>
      </c>
      <c r="BP192" s="53">
        <v>4</v>
      </c>
      <c r="BQ192" s="83">
        <v>46088</v>
      </c>
      <c r="BR192" s="53"/>
      <c r="BS192" s="53"/>
    </row>
    <row r="193" spans="3:71" ht="14.25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8"/>
        <v>4</v>
      </c>
      <c r="M193" s="26">
        <f t="shared" si="22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67" t="e">
        <f>SUMIFS([1]Up!$J:$J,[1]Up!$D:$D,D193)</f>
        <v>#VALUE!</v>
      </c>
      <c r="BI193" s="82"/>
      <c r="BJ193" s="82" t="str">
        <f t="shared" si="29"/>
        <v>PL12</v>
      </c>
      <c r="BK193" s="53" t="str">
        <f t="shared" si="30"/>
        <v/>
      </c>
      <c r="BL193" s="53" t="s">
        <v>148</v>
      </c>
      <c r="BM193" s="53" t="s">
        <v>1020</v>
      </c>
      <c r="BN193" s="53" t="s">
        <v>1021</v>
      </c>
      <c r="BO193" s="53" t="s">
        <v>1022</v>
      </c>
      <c r="BP193" s="53">
        <v>4</v>
      </c>
      <c r="BQ193" s="83">
        <v>46088</v>
      </c>
      <c r="BR193" s="53"/>
      <c r="BS193" s="53"/>
    </row>
    <row r="194" spans="3:71" ht="14.25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8"/>
        <v>8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67" t="e">
        <f>SUMIFS([1]Up!$J:$J,[1]Up!$D:$D,D194)</f>
        <v>#VALUE!</v>
      </c>
      <c r="BI194" s="82"/>
      <c r="BJ194" s="82" t="str">
        <f t="shared" si="29"/>
        <v>PL16</v>
      </c>
      <c r="BK194" s="53" t="str">
        <f t="shared" si="30"/>
        <v/>
      </c>
      <c r="BL194" s="53" t="s">
        <v>148</v>
      </c>
      <c r="BM194" s="53" t="s">
        <v>987</v>
      </c>
      <c r="BN194" s="53" t="s">
        <v>988</v>
      </c>
      <c r="BO194" s="53" t="s">
        <v>989</v>
      </c>
      <c r="BP194" s="53">
        <v>8</v>
      </c>
      <c r="BQ194" s="83" t="s">
        <v>2222</v>
      </c>
      <c r="BR194" s="53"/>
      <c r="BS194" s="53"/>
    </row>
    <row r="195" spans="3:71" ht="14.25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8"/>
        <v>2</v>
      </c>
      <c r="M195" s="26">
        <f t="shared" si="22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67" t="e">
        <f>SUMIFS([1]Up!$J:$J,[1]Up!$D:$D,D195)</f>
        <v>#VALUE!</v>
      </c>
      <c r="BI195" s="82"/>
      <c r="BJ195" s="82" t="str">
        <f t="shared" si="29"/>
        <v>PL15</v>
      </c>
      <c r="BK195" s="53" t="str">
        <f t="shared" si="30"/>
        <v/>
      </c>
      <c r="BL195" s="53" t="s">
        <v>148</v>
      </c>
      <c r="BM195" s="53" t="s">
        <v>1093</v>
      </c>
      <c r="BN195" s="53" t="s">
        <v>1094</v>
      </c>
      <c r="BO195" s="53" t="s">
        <v>1303</v>
      </c>
      <c r="BP195" s="53">
        <v>2</v>
      </c>
      <c r="BQ195" s="83">
        <v>46088</v>
      </c>
      <c r="BR195" s="53"/>
      <c r="BS195" s="53"/>
    </row>
    <row r="196" spans="3:71" ht="14.25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8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67" t="e">
        <f>SUMIFS([1]Up!$J:$J,[1]Up!$D:$D,D196)</f>
        <v>#VALUE!</v>
      </c>
      <c r="BI196" s="82"/>
      <c r="BJ196" s="82" t="str">
        <f t="shared" si="29"/>
        <v>PL10</v>
      </c>
      <c r="BK196" s="53" t="str">
        <f t="shared" si="30"/>
        <v/>
      </c>
      <c r="BL196" s="53" t="s">
        <v>154</v>
      </c>
      <c r="BM196" s="53" t="s">
        <v>1004</v>
      </c>
      <c r="BN196" s="53" t="s">
        <v>1005</v>
      </c>
      <c r="BO196" s="53" t="s">
        <v>1063</v>
      </c>
      <c r="BP196" s="53">
        <v>1</v>
      </c>
      <c r="BQ196" s="83">
        <v>46088</v>
      </c>
      <c r="BR196" s="53"/>
      <c r="BS196" s="53"/>
    </row>
    <row r="197" spans="3:71" ht="14.25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8"/>
        <v>1</v>
      </c>
      <c r="M197" s="26">
        <f t="shared" si="22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67" t="e">
        <f>SUMIFS([1]Up!$J:$J,[1]Up!$D:$D,D197)</f>
        <v>#VALUE!</v>
      </c>
      <c r="BI197" s="82"/>
      <c r="BJ197" s="82" t="str">
        <f t="shared" si="29"/>
        <v>PL20</v>
      </c>
      <c r="BK197" s="53" t="str">
        <f t="shared" si="30"/>
        <v/>
      </c>
      <c r="BL197" s="53" t="s">
        <v>148</v>
      </c>
      <c r="BM197" s="53" t="s">
        <v>1099</v>
      </c>
      <c r="BN197" s="53" t="s">
        <v>1100</v>
      </c>
      <c r="BO197" s="53" t="s">
        <v>1307</v>
      </c>
      <c r="BP197" s="53">
        <v>1</v>
      </c>
      <c r="BQ197" s="83">
        <v>46242</v>
      </c>
      <c r="BR197" s="53"/>
      <c r="BS197" s="53"/>
    </row>
    <row r="198" spans="3:71" ht="14.25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8"/>
        <v>1</v>
      </c>
      <c r="M198" s="26">
        <f t="shared" si="22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67" t="e">
        <f>SUMIFS([1]Up!$J:$J,[1]Up!$D:$D,D198)</f>
        <v>#VALUE!</v>
      </c>
      <c r="BI198" s="82"/>
      <c r="BJ198" s="82" t="str">
        <f t="shared" si="29"/>
        <v>PL20</v>
      </c>
      <c r="BK198" s="53" t="str">
        <f t="shared" si="30"/>
        <v/>
      </c>
      <c r="BL198" s="53" t="s">
        <v>148</v>
      </c>
      <c r="BM198" s="53" t="s">
        <v>1099</v>
      </c>
      <c r="BN198" s="53" t="s">
        <v>1100</v>
      </c>
      <c r="BO198" s="53" t="s">
        <v>1307</v>
      </c>
      <c r="BP198" s="53">
        <v>1</v>
      </c>
      <c r="BQ198" s="83">
        <v>46242</v>
      </c>
      <c r="BR198" s="53"/>
      <c r="BS198" s="53"/>
    </row>
    <row r="199" spans="3:71" ht="14.25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8"/>
        <v>1</v>
      </c>
      <c r="M199" s="26">
        <f t="shared" si="22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67" t="e">
        <f>SUMIFS([1]Up!$J:$J,[1]Up!$D:$D,D199)</f>
        <v>#VALUE!</v>
      </c>
      <c r="BI199" s="82"/>
      <c r="BJ199" s="82" t="str">
        <f t="shared" si="29"/>
        <v>PL10</v>
      </c>
      <c r="BK199" s="53" t="str">
        <f t="shared" si="30"/>
        <v/>
      </c>
      <c r="BL199" s="53" t="s">
        <v>148</v>
      </c>
      <c r="BM199" s="53" t="s">
        <v>1004</v>
      </c>
      <c r="BN199" s="53" t="s">
        <v>1005</v>
      </c>
      <c r="BO199" s="53" t="s">
        <v>1063</v>
      </c>
      <c r="BP199" s="53">
        <v>1</v>
      </c>
      <c r="BQ199" s="83">
        <v>46088</v>
      </c>
      <c r="BR199" s="53"/>
      <c r="BS199" s="53"/>
    </row>
    <row r="200" spans="3:71" ht="14.25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8"/>
        <v>2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67" t="e">
        <f>SUMIFS([1]Up!$J:$J,[1]Up!$D:$D,D200)</f>
        <v>#VALUE!</v>
      </c>
      <c r="BI200" s="82"/>
      <c r="BJ200" s="82" t="str">
        <f t="shared" si="29"/>
        <v>PL5</v>
      </c>
      <c r="BK200" s="53" t="str">
        <f t="shared" si="30"/>
        <v/>
      </c>
      <c r="BL200" s="53" t="s">
        <v>148</v>
      </c>
      <c r="BM200" s="53" t="s">
        <v>1107</v>
      </c>
      <c r="BN200" s="53" t="s">
        <v>956</v>
      </c>
      <c r="BO200" s="53" t="s">
        <v>1312</v>
      </c>
      <c r="BP200" s="53">
        <v>2</v>
      </c>
      <c r="BQ200" s="83" t="s">
        <v>2222</v>
      </c>
      <c r="BR200" s="53"/>
      <c r="BS200" s="53"/>
    </row>
    <row r="201" spans="3:71" ht="14.25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8"/>
        <v>4</v>
      </c>
      <c r="M201" s="26">
        <f t="shared" si="22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67" t="e">
        <f>SUMIFS([1]Up!$J:$J,[1]Up!$D:$D,D201)</f>
        <v>#VALUE!</v>
      </c>
      <c r="BI201" s="82"/>
      <c r="BJ201" s="82" t="str">
        <f t="shared" si="29"/>
        <v>PL12</v>
      </c>
      <c r="BK201" s="53" t="str">
        <f t="shared" si="30"/>
        <v/>
      </c>
      <c r="BL201" s="53" t="s">
        <v>148</v>
      </c>
      <c r="BM201" s="53" t="s">
        <v>1020</v>
      </c>
      <c r="BN201" s="53" t="s">
        <v>1021</v>
      </c>
      <c r="BO201" s="53" t="s">
        <v>1022</v>
      </c>
      <c r="BP201" s="53">
        <v>4</v>
      </c>
      <c r="BQ201" s="83">
        <v>46088</v>
      </c>
      <c r="BR201" s="53"/>
      <c r="BS201" s="53"/>
    </row>
    <row r="202" spans="3:71" ht="14.25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8"/>
        <v>2</v>
      </c>
      <c r="M202" s="26">
        <f t="shared" si="22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67" t="e">
        <f>SUMIFS([1]Up!$J:$J,[1]Up!$D:$D,D202)</f>
        <v>#VALUE!</v>
      </c>
      <c r="BI202" s="82"/>
      <c r="BJ202" s="82" t="str">
        <f t="shared" si="29"/>
        <v>PL12</v>
      </c>
      <c r="BK202" s="53" t="str">
        <f t="shared" si="30"/>
        <v/>
      </c>
      <c r="BL202" s="53" t="s">
        <v>148</v>
      </c>
      <c r="BM202" s="53" t="s">
        <v>1020</v>
      </c>
      <c r="BN202" s="53" t="s">
        <v>1021</v>
      </c>
      <c r="BO202" s="53" t="s">
        <v>1022</v>
      </c>
      <c r="BP202" s="53">
        <v>2</v>
      </c>
      <c r="BQ202" s="83">
        <v>46088</v>
      </c>
      <c r="BR202" s="53"/>
      <c r="BS202" s="53"/>
    </row>
    <row r="203" spans="3:71" ht="14.25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8"/>
        <v>1</v>
      </c>
      <c r="M203" s="26">
        <f t="shared" si="2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67" t="e">
        <f>SUMIFS([1]Up!$J:$J,[1]Up!$D:$D,D203)</f>
        <v>#VALUE!</v>
      </c>
      <c r="BI203" s="82"/>
      <c r="BJ203" s="82" t="str">
        <f t="shared" si="29"/>
        <v>PL20</v>
      </c>
      <c r="BK203" s="53" t="str">
        <f t="shared" si="30"/>
        <v/>
      </c>
      <c r="BL203" s="53" t="s">
        <v>148</v>
      </c>
      <c r="BM203" s="53" t="s">
        <v>1099</v>
      </c>
      <c r="BN203" s="53" t="s">
        <v>1100</v>
      </c>
      <c r="BO203" s="53" t="s">
        <v>1317</v>
      </c>
      <c r="BP203" s="53">
        <v>1</v>
      </c>
      <c r="BQ203" s="83">
        <v>46242</v>
      </c>
      <c r="BR203" s="53"/>
      <c r="BS203" s="53"/>
    </row>
    <row r="204" spans="3:71" ht="14.25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8"/>
        <v>2</v>
      </c>
      <c r="M204" s="26">
        <f t="shared" si="22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67" t="e">
        <f>SUMIFS([1]Up!$J:$J,[1]Up!$D:$D,D204)</f>
        <v>#VALUE!</v>
      </c>
      <c r="BI204" s="82"/>
      <c r="BJ204" s="82" t="str">
        <f t="shared" si="29"/>
        <v>PL12</v>
      </c>
      <c r="BK204" s="53" t="str">
        <f t="shared" si="30"/>
        <v/>
      </c>
      <c r="BL204" s="53" t="s">
        <v>148</v>
      </c>
      <c r="BM204" s="53" t="s">
        <v>1020</v>
      </c>
      <c r="BN204" s="53" t="s">
        <v>1021</v>
      </c>
      <c r="BO204" s="53" t="s">
        <v>1022</v>
      </c>
      <c r="BP204" s="53">
        <v>2</v>
      </c>
      <c r="BQ204" s="83">
        <v>46088</v>
      </c>
      <c r="BR204" s="53"/>
      <c r="BS204" s="53"/>
    </row>
    <row r="205" spans="3:71" ht="14.25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8"/>
        <v>2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>
        <v>2</v>
      </c>
      <c r="BH205" s="67" t="e">
        <f>SUMIFS([1]Up!$J:$J,[1]Up!$D:$D,D205)</f>
        <v>#VALUE!</v>
      </c>
      <c r="BI205" s="82"/>
      <c r="BJ205" s="82" t="str">
        <f t="shared" si="29"/>
        <v>PL10</v>
      </c>
      <c r="BK205" s="53" t="str">
        <f t="shared" si="30"/>
        <v/>
      </c>
      <c r="BL205" s="53" t="s">
        <v>154</v>
      </c>
      <c r="BM205" s="53" t="s">
        <v>1004</v>
      </c>
      <c r="BN205" s="53" t="s">
        <v>1005</v>
      </c>
      <c r="BO205" s="53" t="s">
        <v>1063</v>
      </c>
      <c r="BP205" s="53">
        <v>2</v>
      </c>
      <c r="BQ205" s="83">
        <v>46088</v>
      </c>
      <c r="BR205" s="53"/>
      <c r="BS205" s="53"/>
    </row>
    <row r="206" spans="3:71" ht="14.25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8"/>
        <v>1</v>
      </c>
      <c r="M206" s="26">
        <f t="shared" si="22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67" t="e">
        <f>SUMIFS([1]Up!$J:$J,[1]Up!$D:$D,D206)</f>
        <v>#VALUE!</v>
      </c>
      <c r="BI206" s="82" t="s">
        <v>2070</v>
      </c>
      <c r="BJ206" s="82" t="str">
        <f t="shared" si="29"/>
        <v>PL12</v>
      </c>
      <c r="BK206" s="53" t="str">
        <f t="shared" si="30"/>
        <v>Thừa 4</v>
      </c>
      <c r="BL206" s="53" t="s">
        <v>154</v>
      </c>
      <c r="BM206" s="53" t="s">
        <v>1020</v>
      </c>
      <c r="BN206" s="53" t="s">
        <v>1021</v>
      </c>
      <c r="BO206" s="53" t="s">
        <v>57</v>
      </c>
      <c r="BP206" s="53">
        <v>1</v>
      </c>
      <c r="BQ206" s="83"/>
      <c r="BR206" s="53"/>
      <c r="BS206" s="53"/>
    </row>
    <row r="207" spans="3:71" ht="14.25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8"/>
        <v>2</v>
      </c>
      <c r="M207" s="26">
        <f t="shared" si="22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67" t="e">
        <f>SUMIFS([1]Up!$J:$J,[1]Up!$D:$D,D207)</f>
        <v>#VALUE!</v>
      </c>
      <c r="BI207" s="82"/>
      <c r="BJ207" s="82" t="str">
        <f t="shared" si="29"/>
        <v>PL12</v>
      </c>
      <c r="BK207" s="53" t="str">
        <f t="shared" si="30"/>
        <v/>
      </c>
      <c r="BL207" s="53" t="s">
        <v>148</v>
      </c>
      <c r="BM207" s="53" t="s">
        <v>1020</v>
      </c>
      <c r="BN207" s="53" t="s">
        <v>1021</v>
      </c>
      <c r="BO207" s="53" t="s">
        <v>1022</v>
      </c>
      <c r="BP207" s="53">
        <v>2</v>
      </c>
      <c r="BQ207" s="83">
        <v>46088</v>
      </c>
      <c r="BR207" s="53"/>
      <c r="BS207" s="53"/>
    </row>
    <row r="208" spans="3:71" ht="14.25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8"/>
        <v>2</v>
      </c>
      <c r="M208" s="26">
        <f t="shared" si="22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67" t="e">
        <f>SUMIFS([1]Up!$J:$J,[1]Up!$D:$D,D208)</f>
        <v>#VALUE!</v>
      </c>
      <c r="BI208" s="82"/>
      <c r="BJ208" s="82" t="str">
        <f t="shared" si="29"/>
        <v>PL12</v>
      </c>
      <c r="BK208" s="53" t="str">
        <f t="shared" si="30"/>
        <v/>
      </c>
      <c r="BL208" s="53" t="s">
        <v>148</v>
      </c>
      <c r="BM208" s="53" t="s">
        <v>1020</v>
      </c>
      <c r="BN208" s="53" t="s">
        <v>1021</v>
      </c>
      <c r="BO208" s="53" t="s">
        <v>1022</v>
      </c>
      <c r="BP208" s="53">
        <v>2</v>
      </c>
      <c r="BQ208" s="83">
        <v>46088</v>
      </c>
      <c r="BR208" s="53"/>
      <c r="BS208" s="53"/>
    </row>
    <row r="209" spans="3:71" ht="14.25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8"/>
        <v>2</v>
      </c>
      <c r="M209" s="26">
        <f t="shared" si="22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67" t="e">
        <f>SUMIFS([1]Up!$J:$J,[1]Up!$D:$D,D209)</f>
        <v>#VALUE!</v>
      </c>
      <c r="BI209" s="82"/>
      <c r="BJ209" s="82" t="str">
        <f t="shared" si="29"/>
        <v>PL15</v>
      </c>
      <c r="BK209" s="53" t="str">
        <f t="shared" si="30"/>
        <v/>
      </c>
      <c r="BL209" s="53" t="s">
        <v>148</v>
      </c>
      <c r="BM209" s="53" t="s">
        <v>1093</v>
      </c>
      <c r="BN209" s="53" t="s">
        <v>1094</v>
      </c>
      <c r="BO209" s="53" t="s">
        <v>1303</v>
      </c>
      <c r="BP209" s="53">
        <v>2</v>
      </c>
      <c r="BQ209" s="83">
        <v>46088</v>
      </c>
      <c r="BR209" s="53"/>
      <c r="BS209" s="53"/>
    </row>
    <row r="210" spans="3:71" ht="14.25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8"/>
        <v>1</v>
      </c>
      <c r="M210" s="26">
        <f t="shared" si="22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67" t="e">
        <f>SUMIFS([1]Up!$J:$J,[1]Up!$D:$D,D210)</f>
        <v>#VALUE!</v>
      </c>
      <c r="BI210" s="82"/>
      <c r="BJ210" s="82" t="str">
        <f t="shared" si="29"/>
        <v>PL15</v>
      </c>
      <c r="BK210" s="53" t="str">
        <f t="shared" si="30"/>
        <v/>
      </c>
      <c r="BL210" s="53" t="s">
        <v>148</v>
      </c>
      <c r="BM210" s="53" t="s">
        <v>1093</v>
      </c>
      <c r="BN210" s="53" t="s">
        <v>1094</v>
      </c>
      <c r="BO210" s="53" t="s">
        <v>1303</v>
      </c>
      <c r="BP210" s="53">
        <v>1</v>
      </c>
      <c r="BQ210" s="83">
        <v>46088</v>
      </c>
      <c r="BR210" s="53"/>
      <c r="BS210" s="53"/>
    </row>
    <row r="211" spans="3:71" ht="14.25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8"/>
        <v>4</v>
      </c>
      <c r="M211" s="26">
        <f t="shared" si="22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67" t="e">
        <f>SUMIFS([1]Up!$J:$J,[1]Up!$D:$D,D211)</f>
        <v>#VALUE!</v>
      </c>
      <c r="BI211" s="82"/>
      <c r="BJ211" s="82" t="str">
        <f t="shared" si="29"/>
        <v>PL12</v>
      </c>
      <c r="BK211" s="53" t="str">
        <f t="shared" si="30"/>
        <v/>
      </c>
      <c r="BL211" s="53" t="s">
        <v>148</v>
      </c>
      <c r="BM211" s="53" t="s">
        <v>1020</v>
      </c>
      <c r="BN211" s="53" t="s">
        <v>1021</v>
      </c>
      <c r="BO211" s="53" t="s">
        <v>1022</v>
      </c>
      <c r="BP211" s="53">
        <v>4</v>
      </c>
      <c r="BQ211" s="83">
        <v>46088</v>
      </c>
      <c r="BR211" s="53"/>
      <c r="BS211" s="53"/>
    </row>
    <row r="212" spans="3:71" ht="14.25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8"/>
        <v>1</v>
      </c>
      <c r="M212" s="26">
        <f t="shared" si="22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67" t="e">
        <f>SUMIFS([1]Up!$J:$J,[1]Up!$D:$D,D212)</f>
        <v>#VALUE!</v>
      </c>
      <c r="BI212" s="82" t="s">
        <v>2070</v>
      </c>
      <c r="BJ212" s="82" t="str">
        <f t="shared" si="29"/>
        <v>PL12</v>
      </c>
      <c r="BK212" s="53" t="str">
        <f t="shared" si="30"/>
        <v>Thừa 4</v>
      </c>
      <c r="BL212" s="53" t="s">
        <v>154</v>
      </c>
      <c r="BM212" s="53" t="s">
        <v>1020</v>
      </c>
      <c r="BN212" s="53" t="s">
        <v>1021</v>
      </c>
      <c r="BO212" s="53" t="s">
        <v>57</v>
      </c>
      <c r="BP212" s="53">
        <v>1</v>
      </c>
      <c r="BQ212" s="83"/>
      <c r="BR212" s="53"/>
      <c r="BS212" s="53"/>
    </row>
    <row r="213" spans="3:71" ht="14.25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8"/>
        <v>2</v>
      </c>
      <c r="M213" s="26">
        <f t="shared" si="22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67" t="e">
        <f>SUMIFS([1]Up!$J:$J,[1]Up!$D:$D,D213)</f>
        <v>#VALUE!</v>
      </c>
      <c r="BI213" s="82"/>
      <c r="BJ213" s="82" t="str">
        <f t="shared" si="29"/>
        <v>PL15</v>
      </c>
      <c r="BK213" s="53" t="str">
        <f t="shared" si="30"/>
        <v/>
      </c>
      <c r="BL213" s="53" t="s">
        <v>148</v>
      </c>
      <c r="BM213" s="53" t="s">
        <v>1093</v>
      </c>
      <c r="BN213" s="53" t="s">
        <v>1094</v>
      </c>
      <c r="BO213" s="53" t="s">
        <v>1303</v>
      </c>
      <c r="BP213" s="53">
        <v>2</v>
      </c>
      <c r="BQ213" s="83">
        <v>46088</v>
      </c>
      <c r="BR213" s="53"/>
      <c r="BS213" s="53"/>
    </row>
    <row r="214" spans="3:71" ht="14.25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8"/>
        <v>2</v>
      </c>
      <c r="M214" s="26">
        <f t="shared" si="22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67" t="e">
        <f>SUMIFS([1]Up!$J:$J,[1]Up!$D:$D,D214)</f>
        <v>#VALUE!</v>
      </c>
      <c r="BI214" s="82"/>
      <c r="BJ214" s="82" t="str">
        <f t="shared" si="29"/>
        <v>PL20</v>
      </c>
      <c r="BK214" s="53" t="str">
        <f t="shared" si="30"/>
        <v/>
      </c>
      <c r="BL214" s="53" t="s">
        <v>148</v>
      </c>
      <c r="BM214" s="53" t="s">
        <v>1099</v>
      </c>
      <c r="BN214" s="53" t="s">
        <v>1100</v>
      </c>
      <c r="BO214" s="53" t="s">
        <v>1307</v>
      </c>
      <c r="BP214" s="53">
        <v>2</v>
      </c>
      <c r="BQ214" s="83">
        <v>46242</v>
      </c>
      <c r="BR214" s="53"/>
      <c r="BS214" s="53"/>
    </row>
    <row r="215" spans="3:71" ht="14.25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8"/>
        <v>1</v>
      </c>
      <c r="M215" s="26">
        <f t="shared" si="2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67" t="e">
        <f>SUMIFS([1]Up!$J:$J,[1]Up!$D:$D,D215)</f>
        <v>#VALUE!</v>
      </c>
      <c r="BI215" s="82"/>
      <c r="BJ215" s="82" t="str">
        <f t="shared" si="29"/>
        <v>PL20</v>
      </c>
      <c r="BK215" s="53" t="str">
        <f t="shared" si="30"/>
        <v/>
      </c>
      <c r="BL215" s="53" t="s">
        <v>148</v>
      </c>
      <c r="BM215" s="53" t="s">
        <v>1099</v>
      </c>
      <c r="BN215" s="53" t="s">
        <v>1100</v>
      </c>
      <c r="BO215" s="53" t="s">
        <v>1317</v>
      </c>
      <c r="BP215" s="53">
        <v>1</v>
      </c>
      <c r="BQ215" s="83">
        <v>46242</v>
      </c>
      <c r="BR215" s="53"/>
      <c r="BS215" s="53"/>
    </row>
    <row r="216" spans="3:71" ht="14.25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8"/>
        <v>5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67" t="e">
        <f>SUMIFS([1]Up!$J:$J,[1]Up!$D:$D,D216)</f>
        <v>#VALUE!</v>
      </c>
      <c r="BI216" s="82"/>
      <c r="BJ216" s="82" t="str">
        <f t="shared" si="29"/>
        <v/>
      </c>
      <c r="BK216" s="53" t="str">
        <f t="shared" si="30"/>
        <v/>
      </c>
      <c r="BL216" s="53" t="s">
        <v>154</v>
      </c>
      <c r="BM216" s="53" t="s">
        <v>1081</v>
      </c>
      <c r="BN216" s="53" t="s">
        <v>1080</v>
      </c>
      <c r="BO216" s="53" t="s">
        <v>1291</v>
      </c>
      <c r="BP216" s="53">
        <v>5</v>
      </c>
      <c r="BQ216" s="83">
        <v>46362</v>
      </c>
      <c r="BR216" s="53"/>
      <c r="BS216" s="53"/>
    </row>
    <row r="217" spans="3:71" ht="14.25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8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67" t="e">
        <f>SUMIFS([1]Up!$J:$J,[1]Up!$D:$D,D217)</f>
        <v>#VALUE!</v>
      </c>
      <c r="BI217" s="82"/>
      <c r="BJ217" s="82" t="str">
        <f t="shared" si="29"/>
        <v/>
      </c>
      <c r="BK217" s="53" t="str">
        <f t="shared" si="30"/>
        <v/>
      </c>
      <c r="BL217" s="53" t="s">
        <v>154</v>
      </c>
      <c r="BM217" s="53"/>
      <c r="BN217" s="53" t="s">
        <v>1128</v>
      </c>
      <c r="BO217" s="53" t="s">
        <v>1338</v>
      </c>
      <c r="BP217" s="53">
        <v>1</v>
      </c>
      <c r="BQ217" s="83" t="s">
        <v>2223</v>
      </c>
      <c r="BR217" s="53"/>
      <c r="BS217" s="53"/>
    </row>
    <row r="218" spans="3:71" ht="14.25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8"/>
        <v>1</v>
      </c>
      <c r="M218" s="26">
        <f t="shared" si="22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67" t="e">
        <f>SUMIFS([1]Up!$J:$J,[1]Up!$D:$D,D218)</f>
        <v>#VALUE!</v>
      </c>
      <c r="BI218" s="82" t="s">
        <v>2084</v>
      </c>
      <c r="BJ218" s="82" t="str">
        <f t="shared" si="29"/>
        <v>PL12</v>
      </c>
      <c r="BK218" s="53" t="str">
        <f t="shared" si="30"/>
        <v>Thừa 4</v>
      </c>
      <c r="BL218" s="53" t="s">
        <v>154</v>
      </c>
      <c r="BM218" s="53" t="s">
        <v>1020</v>
      </c>
      <c r="BN218" s="53" t="s">
        <v>1021</v>
      </c>
      <c r="BO218" s="53" t="s">
        <v>57</v>
      </c>
      <c r="BP218" s="53">
        <v>1</v>
      </c>
      <c r="BQ218" s="83"/>
      <c r="BR218" s="53"/>
      <c r="BS218" s="53"/>
    </row>
    <row r="219" spans="3:71" ht="14.25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8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67" t="e">
        <f>SUMIFS([1]Up!$J:$J,[1]Up!$D:$D,D219)</f>
        <v>#VALUE!</v>
      </c>
      <c r="BI219" s="82"/>
      <c r="BJ219" s="82" t="str">
        <f t="shared" si="29"/>
        <v>PL20</v>
      </c>
      <c r="BK219" s="53" t="str">
        <f t="shared" si="30"/>
        <v/>
      </c>
      <c r="BL219" s="53" t="s">
        <v>148</v>
      </c>
      <c r="BM219" s="53" t="s">
        <v>1099</v>
      </c>
      <c r="BN219" s="53" t="s">
        <v>1100</v>
      </c>
      <c r="BO219" s="53" t="s">
        <v>1317</v>
      </c>
      <c r="BP219" s="53">
        <v>1</v>
      </c>
      <c r="BQ219" s="83">
        <v>46242</v>
      </c>
      <c r="BR219" s="53"/>
      <c r="BS219" s="53"/>
    </row>
    <row r="220" spans="3:71" ht="14.25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8"/>
        <v>4</v>
      </c>
      <c r="M220" s="26">
        <f t="shared" si="22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67" t="e">
        <f>SUMIFS([1]Up!$J:$J,[1]Up!$D:$D,D220)</f>
        <v>#VALUE!</v>
      </c>
      <c r="BI220" s="82"/>
      <c r="BJ220" s="82" t="str">
        <f t="shared" si="29"/>
        <v>PL12</v>
      </c>
      <c r="BK220" s="53" t="str">
        <f t="shared" si="30"/>
        <v/>
      </c>
      <c r="BL220" s="53" t="s">
        <v>148</v>
      </c>
      <c r="BM220" s="53" t="s">
        <v>1020</v>
      </c>
      <c r="BN220" s="53" t="s">
        <v>1021</v>
      </c>
      <c r="BO220" s="53" t="s">
        <v>1022</v>
      </c>
      <c r="BP220" s="53">
        <v>4</v>
      </c>
      <c r="BQ220" s="83">
        <v>46088</v>
      </c>
      <c r="BR220" s="53"/>
      <c r="BS220" s="53"/>
    </row>
    <row r="221" spans="3:71" ht="14.25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8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>
        <v>1</v>
      </c>
      <c r="BH221" s="67" t="e">
        <f>SUMIFS([1]Up!$J:$J,[1]Up!$D:$D,D221)</f>
        <v>#VALUE!</v>
      </c>
      <c r="BI221" s="82"/>
      <c r="BJ221" s="82" t="str">
        <f t="shared" si="29"/>
        <v>PL10</v>
      </c>
      <c r="BK221" s="53" t="str">
        <f t="shared" si="30"/>
        <v/>
      </c>
      <c r="BL221" s="53" t="s">
        <v>154</v>
      </c>
      <c r="BM221" s="53" t="s">
        <v>1004</v>
      </c>
      <c r="BN221" s="53" t="s">
        <v>1005</v>
      </c>
      <c r="BO221" s="53" t="s">
        <v>1344</v>
      </c>
      <c r="BP221" s="53">
        <v>1</v>
      </c>
      <c r="BQ221" s="83" t="s">
        <v>2223</v>
      </c>
      <c r="BR221" s="53"/>
      <c r="BS221" s="53"/>
    </row>
    <row r="222" spans="3:71" ht="14.25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31">MIN(SUM(N222:BG222),I222)</f>
        <v>1</v>
      </c>
      <c r="M222" s="26">
        <f t="shared" si="2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>
        <v>1</v>
      </c>
      <c r="BH222" s="67" t="e">
        <f>SUMIFS([1]Up!$J:$J,[1]Up!$D:$D,D222)</f>
        <v>#VALUE!</v>
      </c>
      <c r="BI222" s="82"/>
      <c r="BJ222" s="82" t="str">
        <f t="shared" ref="BJ222:BJ285" si="32">IFERROR(IF(C222="Plate",LEFT(E222,FIND("*",E222,1)-1),""),IF(C222="Plate",LEFT(E222,FIND("x",E222,1)-1),""))</f>
        <v>PL10</v>
      </c>
      <c r="BK222" s="53" t="str">
        <f t="shared" ref="BK222:BK285" si="33">IF(ROUND(SUM(N222:BG222)-I222,0)&gt;0,"Thừa "&amp;SUM(N222:BG222)-I222,"")</f>
        <v/>
      </c>
      <c r="BL222" s="53" t="s">
        <v>154</v>
      </c>
      <c r="BM222" s="53" t="s">
        <v>1004</v>
      </c>
      <c r="BN222" s="53" t="s">
        <v>1005</v>
      </c>
      <c r="BO222" s="53" t="s">
        <v>1344</v>
      </c>
      <c r="BP222" s="53">
        <v>1</v>
      </c>
      <c r="BQ222" s="83" t="s">
        <v>2223</v>
      </c>
      <c r="BR222" s="53"/>
      <c r="BS222" s="53"/>
    </row>
    <row r="223" spans="3:71" ht="14.25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31"/>
        <v>1</v>
      </c>
      <c r="M223" s="26">
        <f t="shared" si="2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>
        <v>1</v>
      </c>
      <c r="BH223" s="67" t="e">
        <f>SUMIFS([1]Up!$J:$J,[1]Up!$D:$D,D223)</f>
        <v>#VALUE!</v>
      </c>
      <c r="BI223" s="82"/>
      <c r="BJ223" s="82" t="str">
        <f t="shared" si="32"/>
        <v>PL10</v>
      </c>
      <c r="BK223" s="53" t="str">
        <f t="shared" si="33"/>
        <v/>
      </c>
      <c r="BL223" s="53" t="s">
        <v>154</v>
      </c>
      <c r="BM223" s="53" t="s">
        <v>1004</v>
      </c>
      <c r="BN223" s="53" t="s">
        <v>1005</v>
      </c>
      <c r="BO223" s="53" t="s">
        <v>1063</v>
      </c>
      <c r="BP223" s="53">
        <v>1</v>
      </c>
      <c r="BQ223" s="83">
        <v>46088</v>
      </c>
      <c r="BR223" s="53"/>
      <c r="BS223" s="53"/>
    </row>
    <row r="224" spans="3:71" ht="14.25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31"/>
        <v>2</v>
      </c>
      <c r="M224" s="26">
        <f t="shared" si="22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67" t="e">
        <f>SUMIFS([1]Up!$J:$J,[1]Up!$D:$D,D224)</f>
        <v>#VALUE!</v>
      </c>
      <c r="BI224" s="82"/>
      <c r="BJ224" s="82" t="str">
        <f t="shared" si="32"/>
        <v>PL10</v>
      </c>
      <c r="BK224" s="53" t="str">
        <f t="shared" si="33"/>
        <v/>
      </c>
      <c r="BL224" s="53" t="s">
        <v>148</v>
      </c>
      <c r="BM224" s="53" t="s">
        <v>1004</v>
      </c>
      <c r="BN224" s="53" t="s">
        <v>1005</v>
      </c>
      <c r="BO224" s="53" t="s">
        <v>1063</v>
      </c>
      <c r="BP224" s="53">
        <v>2</v>
      </c>
      <c r="BQ224" s="83">
        <v>46088</v>
      </c>
      <c r="BR224" s="53"/>
      <c r="BS224" s="53"/>
    </row>
    <row r="225" spans="3:72" ht="14.25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31"/>
        <v>1</v>
      </c>
      <c r="M225" s="26">
        <f t="shared" si="22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67" t="e">
        <f>SUMIFS([1]Up!$J:$J,[1]Up!$D:$D,D225)</f>
        <v>#VALUE!</v>
      </c>
      <c r="BI225" s="82"/>
      <c r="BJ225" s="82" t="str">
        <f t="shared" si="32"/>
        <v>PL10</v>
      </c>
      <c r="BK225" s="53" t="str">
        <f t="shared" si="33"/>
        <v/>
      </c>
      <c r="BL225" s="53" t="s">
        <v>148</v>
      </c>
      <c r="BM225" s="53" t="s">
        <v>1004</v>
      </c>
      <c r="BN225" s="53" t="s">
        <v>1005</v>
      </c>
      <c r="BO225" s="53" t="s">
        <v>1063</v>
      </c>
      <c r="BP225" s="53">
        <v>1</v>
      </c>
      <c r="BQ225" s="83">
        <v>46088</v>
      </c>
      <c r="BR225" s="53"/>
      <c r="BS225" s="53"/>
    </row>
    <row r="226" spans="3:72" ht="14.25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31"/>
        <v>1</v>
      </c>
      <c r="M226" s="26">
        <f t="shared" si="22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67" t="e">
        <f>SUMIFS([1]Up!$J:$J,[1]Up!$D:$D,D226)</f>
        <v>#VALUE!</v>
      </c>
      <c r="BI226" s="82"/>
      <c r="BJ226" s="82" t="str">
        <f t="shared" si="32"/>
        <v>PL15</v>
      </c>
      <c r="BK226" s="53" t="str">
        <f t="shared" si="33"/>
        <v/>
      </c>
      <c r="BL226" s="53" t="s">
        <v>148</v>
      </c>
      <c r="BM226" s="53" t="s">
        <v>1093</v>
      </c>
      <c r="BN226" s="53" t="s">
        <v>1094</v>
      </c>
      <c r="BO226" s="53" t="s">
        <v>1303</v>
      </c>
      <c r="BP226" s="53">
        <v>1</v>
      </c>
      <c r="BQ226" s="83">
        <v>46088</v>
      </c>
      <c r="BR226" s="53"/>
      <c r="BS226" s="53"/>
    </row>
    <row r="227" spans="3:72" ht="14.25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31"/>
        <v>1</v>
      </c>
      <c r="M227" s="26">
        <f t="shared" si="22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67" t="e">
        <f>SUMIFS([1]Up!$J:$J,[1]Up!$D:$D,D227)</f>
        <v>#VALUE!</v>
      </c>
      <c r="BI227" s="82"/>
      <c r="BJ227" s="82" t="str">
        <f t="shared" si="32"/>
        <v>PL15</v>
      </c>
      <c r="BK227" s="53" t="str">
        <f t="shared" si="33"/>
        <v/>
      </c>
      <c r="BL227" s="53" t="s">
        <v>148</v>
      </c>
      <c r="BM227" s="53" t="s">
        <v>1093</v>
      </c>
      <c r="BN227" s="53" t="s">
        <v>1094</v>
      </c>
      <c r="BO227" s="53" t="s">
        <v>1303</v>
      </c>
      <c r="BP227" s="53">
        <v>1</v>
      </c>
      <c r="BQ227" s="83">
        <v>46088</v>
      </c>
      <c r="BR227" s="53"/>
      <c r="BS227" s="53"/>
    </row>
    <row r="228" spans="3:72" ht="14.25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31"/>
        <v>1</v>
      </c>
      <c r="M228" s="26">
        <f t="shared" si="2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67" t="e">
        <f>SUMIFS([1]Up!$J:$J,[1]Up!$D:$D,D228)</f>
        <v>#VALUE!</v>
      </c>
      <c r="BI228" s="82"/>
      <c r="BJ228" s="82" t="str">
        <f t="shared" si="32"/>
        <v>PL10</v>
      </c>
      <c r="BK228" s="53" t="str">
        <f t="shared" si="33"/>
        <v/>
      </c>
      <c r="BL228" s="53" t="s">
        <v>154</v>
      </c>
      <c r="BM228" s="53" t="s">
        <v>1004</v>
      </c>
      <c r="BN228" s="53" t="s">
        <v>1005</v>
      </c>
      <c r="BO228" s="53" t="s">
        <v>1063</v>
      </c>
      <c r="BP228" s="53">
        <v>1</v>
      </c>
      <c r="BQ228" s="83">
        <v>46088</v>
      </c>
      <c r="BR228" s="53"/>
      <c r="BS228" s="53"/>
    </row>
    <row r="229" spans="3:72" ht="14.25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31"/>
        <v>4</v>
      </c>
      <c r="M229" s="26">
        <f t="shared" si="22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67" t="e">
        <f>SUMIFS([1]Up!$J:$J,[1]Up!$D:$D,D229)</f>
        <v>#VALUE!</v>
      </c>
      <c r="BI229" s="82"/>
      <c r="BJ229" s="82" t="str">
        <f t="shared" si="32"/>
        <v/>
      </c>
      <c r="BK229" s="53" t="str">
        <f t="shared" si="33"/>
        <v/>
      </c>
      <c r="BL229" s="53" t="s">
        <v>148</v>
      </c>
      <c r="BM229" s="53" t="s">
        <v>1078</v>
      </c>
      <c r="BN229" s="53" t="s">
        <v>1075</v>
      </c>
      <c r="BO229" s="84" t="s">
        <v>2161</v>
      </c>
      <c r="BP229" s="53">
        <v>16</v>
      </c>
      <c r="BQ229" s="83" t="s">
        <v>2224</v>
      </c>
      <c r="BR229" s="53"/>
      <c r="BS229" s="53"/>
      <c r="BT229" s="238"/>
    </row>
    <row r="230" spans="3:72" ht="14.25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31"/>
        <v>2</v>
      </c>
      <c r="M230" s="26">
        <f t="shared" si="22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>
        <v>2</v>
      </c>
      <c r="BE230" s="26"/>
      <c r="BF230" s="26"/>
      <c r="BG230" s="26"/>
      <c r="BH230" s="67" t="e">
        <f>SUMIFS([1]Up!$J:$J,[1]Up!$D:$D,D230)</f>
        <v>#VALUE!</v>
      </c>
      <c r="BI230" s="82"/>
      <c r="BJ230" s="82" t="str">
        <f t="shared" si="32"/>
        <v/>
      </c>
      <c r="BK230" s="53" t="str">
        <f t="shared" si="33"/>
        <v/>
      </c>
      <c r="BL230" s="53" t="s">
        <v>154</v>
      </c>
      <c r="BM230" s="53" t="s">
        <v>1081</v>
      </c>
      <c r="BN230" s="53" t="s">
        <v>1080</v>
      </c>
      <c r="BO230" s="84" t="s">
        <v>2162</v>
      </c>
      <c r="BP230" s="53">
        <v>8</v>
      </c>
      <c r="BQ230" s="83" t="s">
        <v>2224</v>
      </c>
      <c r="BR230" s="53"/>
      <c r="BS230" s="53"/>
      <c r="BT230" s="238"/>
    </row>
    <row r="231" spans="3:72" ht="14.25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31"/>
        <v>0</v>
      </c>
      <c r="M231" s="26">
        <f t="shared" si="22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67" t="e">
        <f>SUMIFS([1]Up!$J:$J,[1]Up!$D:$D,D231)</f>
        <v>#VALUE!</v>
      </c>
      <c r="BI231" s="82"/>
      <c r="BJ231" s="82" t="str">
        <f t="shared" si="32"/>
        <v>PL12</v>
      </c>
      <c r="BK231" s="53" t="str">
        <f t="shared" si="33"/>
        <v/>
      </c>
      <c r="BL231" s="53" t="s">
        <v>154</v>
      </c>
      <c r="BM231" s="53" t="s">
        <v>1020</v>
      </c>
      <c r="BN231" s="53" t="s">
        <v>1021</v>
      </c>
      <c r="BO231" s="53" t="s">
        <v>57</v>
      </c>
      <c r="BP231" s="53">
        <v>4</v>
      </c>
      <c r="BQ231" s="83"/>
      <c r="BR231" s="53"/>
      <c r="BS231" s="53"/>
    </row>
    <row r="232" spans="3:72" ht="14.25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31"/>
        <v>3</v>
      </c>
      <c r="M232" s="26">
        <f t="shared" si="22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>
        <v>1</v>
      </c>
      <c r="BC232" s="26"/>
      <c r="BD232" s="26"/>
      <c r="BE232" s="26"/>
      <c r="BF232" s="26"/>
      <c r="BG232" s="26"/>
      <c r="BH232" s="67" t="e">
        <f>SUMIFS([1]Up!$J:$J,[1]Up!$D:$D,D232)</f>
        <v>#VALUE!</v>
      </c>
      <c r="BI232" s="82"/>
      <c r="BJ232" s="82" t="str">
        <f t="shared" si="32"/>
        <v>PL10</v>
      </c>
      <c r="BK232" s="53" t="str">
        <f t="shared" si="33"/>
        <v/>
      </c>
      <c r="BL232" s="53" t="s">
        <v>148</v>
      </c>
      <c r="BM232" s="53" t="s">
        <v>1004</v>
      </c>
      <c r="BN232" s="53" t="s">
        <v>1005</v>
      </c>
      <c r="BO232" s="84" t="s">
        <v>2156</v>
      </c>
      <c r="BP232" s="53">
        <v>8</v>
      </c>
      <c r="BQ232" s="83">
        <v>46302</v>
      </c>
      <c r="BR232" s="53"/>
      <c r="BS232" s="53"/>
      <c r="BT232" s="238"/>
    </row>
    <row r="233" spans="3:72" ht="14.25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31"/>
        <v>4</v>
      </c>
      <c r="M233" s="26">
        <f t="shared" si="22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67" t="e">
        <f>SUMIFS([1]Up!$J:$J,[1]Up!$D:$D,D233)</f>
        <v>#VALUE!</v>
      </c>
      <c r="BI233" s="82"/>
      <c r="BJ233" s="82" t="str">
        <f t="shared" si="32"/>
        <v>PL12</v>
      </c>
      <c r="BK233" s="53" t="str">
        <f t="shared" si="33"/>
        <v/>
      </c>
      <c r="BL233" s="53" t="s">
        <v>148</v>
      </c>
      <c r="BM233" s="53" t="s">
        <v>1020</v>
      </c>
      <c r="BN233" s="53" t="s">
        <v>1021</v>
      </c>
      <c r="BO233" s="84" t="s">
        <v>2159</v>
      </c>
      <c r="BP233" s="53">
        <v>16</v>
      </c>
      <c r="BQ233" s="83">
        <v>46302</v>
      </c>
      <c r="BR233" s="53"/>
      <c r="BS233" s="53"/>
      <c r="BT233" s="238"/>
    </row>
    <row r="234" spans="3:72" ht="14.25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31"/>
        <v>4</v>
      </c>
      <c r="M234" s="26">
        <f t="shared" si="22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67" t="e">
        <f>SUMIFS([1]Up!$J:$J,[1]Up!$D:$D,D234)</f>
        <v>#VALUE!</v>
      </c>
      <c r="BI234" s="82"/>
      <c r="BJ234" s="82" t="str">
        <f t="shared" si="32"/>
        <v>PL12</v>
      </c>
      <c r="BK234" s="53" t="str">
        <f t="shared" si="33"/>
        <v/>
      </c>
      <c r="BL234" s="53" t="s">
        <v>148</v>
      </c>
      <c r="BM234" s="53" t="s">
        <v>1020</v>
      </c>
      <c r="BN234" s="53" t="s">
        <v>1021</v>
      </c>
      <c r="BO234" s="84" t="s">
        <v>2159</v>
      </c>
      <c r="BP234" s="53">
        <v>16</v>
      </c>
      <c r="BQ234" s="83">
        <v>46302</v>
      </c>
      <c r="BR234" s="53"/>
      <c r="BS234" s="53"/>
      <c r="BT234" s="238"/>
    </row>
    <row r="235" spans="3:72" ht="14.25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31"/>
        <v>8</v>
      </c>
      <c r="M235" s="26">
        <f t="shared" si="22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67" t="e">
        <f>SUMIFS([1]Up!$J:$J,[1]Up!$D:$D,D235)</f>
        <v>#VALUE!</v>
      </c>
      <c r="BI235" s="82"/>
      <c r="BJ235" s="82" t="str">
        <f t="shared" si="32"/>
        <v>PL16</v>
      </c>
      <c r="BK235" s="53" t="str">
        <f t="shared" si="33"/>
        <v/>
      </c>
      <c r="BL235" s="53" t="s">
        <v>148</v>
      </c>
      <c r="BM235" s="53" t="s">
        <v>987</v>
      </c>
      <c r="BN235" s="53" t="s">
        <v>988</v>
      </c>
      <c r="BO235" s="84" t="s">
        <v>2160</v>
      </c>
      <c r="BP235" s="53">
        <v>32</v>
      </c>
      <c r="BQ235" s="83" t="s">
        <v>2225</v>
      </c>
      <c r="BR235" s="53"/>
      <c r="BS235" s="53"/>
      <c r="BT235" s="238"/>
    </row>
    <row r="236" spans="3:72" ht="14.25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31"/>
        <v>2</v>
      </c>
      <c r="M236" s="26">
        <f t="shared" si="22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67" t="e">
        <f>SUMIFS([1]Up!$J:$J,[1]Up!$D:$D,D236)</f>
        <v>#VALUE!</v>
      </c>
      <c r="BI236" s="82"/>
      <c r="BJ236" s="82" t="str">
        <f t="shared" si="32"/>
        <v>PL15</v>
      </c>
      <c r="BK236" s="53" t="str">
        <f t="shared" si="33"/>
        <v/>
      </c>
      <c r="BL236" s="53" t="s">
        <v>148</v>
      </c>
      <c r="BM236" s="53" t="s">
        <v>1093</v>
      </c>
      <c r="BN236" s="53" t="s">
        <v>1094</v>
      </c>
      <c r="BO236" s="84" t="s">
        <v>2155</v>
      </c>
      <c r="BP236" s="53">
        <v>8</v>
      </c>
      <c r="BQ236" s="83" t="s">
        <v>2224</v>
      </c>
      <c r="BR236" s="53"/>
      <c r="BS236" s="53"/>
      <c r="BT236" s="238"/>
    </row>
    <row r="237" spans="3:72" ht="14.25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31"/>
        <v>1</v>
      </c>
      <c r="M237" s="26">
        <f t="shared" si="22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26"/>
      <c r="BD237" s="26"/>
      <c r="BE237" s="26"/>
      <c r="BF237" s="26"/>
      <c r="BG237" s="26"/>
      <c r="BH237" s="67" t="e">
        <f>SUMIFS([1]Up!$J:$J,[1]Up!$D:$D,D237)</f>
        <v>#VALUE!</v>
      </c>
      <c r="BI237" s="82"/>
      <c r="BJ237" s="82" t="str">
        <f t="shared" si="32"/>
        <v>PL10</v>
      </c>
      <c r="BK237" s="53" t="str">
        <f t="shared" si="33"/>
        <v/>
      </c>
      <c r="BL237" s="53" t="s">
        <v>154</v>
      </c>
      <c r="BM237" s="53" t="s">
        <v>1004</v>
      </c>
      <c r="BN237" s="53" t="s">
        <v>1005</v>
      </c>
      <c r="BO237" s="84" t="s">
        <v>2156</v>
      </c>
      <c r="BP237" s="53">
        <v>4</v>
      </c>
      <c r="BQ237" s="83">
        <v>46302</v>
      </c>
      <c r="BR237" s="53"/>
      <c r="BS237" s="53"/>
      <c r="BT237" s="238"/>
    </row>
    <row r="238" spans="3:72" ht="14.25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31"/>
        <v>1</v>
      </c>
      <c r="M238" s="26">
        <f t="shared" si="22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67" t="e">
        <f>SUMIFS([1]Up!$J:$J,[1]Up!$D:$D,D238)</f>
        <v>#VALUE!</v>
      </c>
      <c r="BI238" s="82"/>
      <c r="BJ238" s="82" t="str">
        <f t="shared" si="32"/>
        <v>PL20</v>
      </c>
      <c r="BK238" s="53" t="str">
        <f t="shared" si="33"/>
        <v/>
      </c>
      <c r="BL238" s="53" t="s">
        <v>148</v>
      </c>
      <c r="BM238" s="53" t="s">
        <v>1099</v>
      </c>
      <c r="BN238" s="53" t="s">
        <v>1100</v>
      </c>
      <c r="BO238" s="84" t="s">
        <v>2157</v>
      </c>
      <c r="BP238" s="53">
        <v>4</v>
      </c>
      <c r="BQ238" s="83">
        <v>46242</v>
      </c>
      <c r="BR238" s="53"/>
      <c r="BS238" s="53"/>
      <c r="BT238" s="238"/>
    </row>
    <row r="239" spans="3:72" ht="14.25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31"/>
        <v>1</v>
      </c>
      <c r="M239" s="26">
        <f t="shared" si="22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67" t="e">
        <f>SUMIFS([1]Up!$J:$J,[1]Up!$D:$D,D239)</f>
        <v>#VALUE!</v>
      </c>
      <c r="BI239" s="82"/>
      <c r="BJ239" s="82" t="str">
        <f t="shared" si="32"/>
        <v>PL20</v>
      </c>
      <c r="BK239" s="53" t="str">
        <f t="shared" si="33"/>
        <v/>
      </c>
      <c r="BL239" s="53" t="s">
        <v>148</v>
      </c>
      <c r="BM239" s="53" t="s">
        <v>1099</v>
      </c>
      <c r="BN239" s="53" t="s">
        <v>1100</v>
      </c>
      <c r="BO239" s="84" t="s">
        <v>2157</v>
      </c>
      <c r="BP239" s="53">
        <v>4</v>
      </c>
      <c r="BQ239" s="83">
        <v>46242</v>
      </c>
      <c r="BR239" s="53"/>
      <c r="BS239" s="53"/>
      <c r="BT239" s="238"/>
    </row>
    <row r="240" spans="3:72" ht="14.25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31"/>
        <v>1</v>
      </c>
      <c r="M240" s="26">
        <f t="shared" si="22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26"/>
      <c r="BD240" s="26"/>
      <c r="BE240" s="26"/>
      <c r="BF240" s="26"/>
      <c r="BG240" s="26"/>
      <c r="BH240" s="67" t="e">
        <f>SUMIFS([1]Up!$J:$J,[1]Up!$D:$D,D240)</f>
        <v>#VALUE!</v>
      </c>
      <c r="BI240" s="82"/>
      <c r="BJ240" s="82" t="str">
        <f t="shared" si="32"/>
        <v>PL10</v>
      </c>
      <c r="BK240" s="53" t="str">
        <f t="shared" si="33"/>
        <v/>
      </c>
      <c r="BL240" s="53" t="s">
        <v>148</v>
      </c>
      <c r="BM240" s="53" t="s">
        <v>1004</v>
      </c>
      <c r="BN240" s="53" t="s">
        <v>1005</v>
      </c>
      <c r="BO240" s="84" t="s">
        <v>2156</v>
      </c>
      <c r="BP240" s="53">
        <v>4</v>
      </c>
      <c r="BQ240" s="83">
        <v>46302</v>
      </c>
      <c r="BR240" s="53"/>
      <c r="BS240" s="53"/>
      <c r="BT240" s="238"/>
    </row>
    <row r="241" spans="3:72" ht="14.25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31"/>
        <v>0</v>
      </c>
      <c r="M241" s="26">
        <f t="shared" si="22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67" t="e">
        <f>SUMIFS([1]Up!$J:$J,[1]Up!$D:$D,D241)</f>
        <v>#VALUE!</v>
      </c>
      <c r="BI241" s="82"/>
      <c r="BJ241" s="82" t="str">
        <f t="shared" si="32"/>
        <v>PL5</v>
      </c>
      <c r="BK241" s="53" t="str">
        <f t="shared" si="33"/>
        <v/>
      </c>
      <c r="BL241" s="53" t="s">
        <v>148</v>
      </c>
      <c r="BM241" s="53" t="s">
        <v>1107</v>
      </c>
      <c r="BN241" s="53" t="s">
        <v>956</v>
      </c>
      <c r="BO241" s="84" t="s">
        <v>2158</v>
      </c>
      <c r="BP241" s="53">
        <v>8</v>
      </c>
      <c r="BQ241" s="83">
        <v>46302</v>
      </c>
      <c r="BR241" s="53"/>
      <c r="BS241" s="53"/>
      <c r="BT241" s="238"/>
    </row>
    <row r="242" spans="3:72" ht="14.25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31"/>
        <v>4</v>
      </c>
      <c r="M242" s="26">
        <f t="shared" si="22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67" t="e">
        <f>SUMIFS([1]Up!$J:$J,[1]Up!$D:$D,D242)</f>
        <v>#VALUE!</v>
      </c>
      <c r="BI242" s="82"/>
      <c r="BJ242" s="82" t="str">
        <f t="shared" si="32"/>
        <v>PL12</v>
      </c>
      <c r="BK242" s="53" t="str">
        <f t="shared" si="33"/>
        <v/>
      </c>
      <c r="BL242" s="53" t="s">
        <v>148</v>
      </c>
      <c r="BM242" s="53" t="s">
        <v>1020</v>
      </c>
      <c r="BN242" s="53" t="s">
        <v>1021</v>
      </c>
      <c r="BO242" s="84" t="s">
        <v>2159</v>
      </c>
      <c r="BP242" s="53">
        <v>16</v>
      </c>
      <c r="BQ242" s="83">
        <v>46302</v>
      </c>
      <c r="BR242" s="53"/>
      <c r="BS242" s="53"/>
      <c r="BT242" s="238"/>
    </row>
    <row r="243" spans="3:72" ht="14.25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31"/>
        <v>2</v>
      </c>
      <c r="M243" s="26">
        <f t="shared" si="2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67" t="e">
        <f>SUMIFS([1]Up!$J:$J,[1]Up!$D:$D,D243)</f>
        <v>#VALUE!</v>
      </c>
      <c r="BI243" s="82"/>
      <c r="BJ243" s="82" t="str">
        <f t="shared" si="32"/>
        <v>PL12</v>
      </c>
      <c r="BK243" s="53" t="str">
        <f t="shared" si="33"/>
        <v/>
      </c>
      <c r="BL243" s="53" t="s">
        <v>148</v>
      </c>
      <c r="BM243" s="53" t="s">
        <v>1020</v>
      </c>
      <c r="BN243" s="53" t="s">
        <v>1021</v>
      </c>
      <c r="BO243" s="84" t="s">
        <v>2159</v>
      </c>
      <c r="BP243" s="53">
        <v>8</v>
      </c>
      <c r="BQ243" s="83">
        <v>46302</v>
      </c>
      <c r="BR243" s="53"/>
      <c r="BS243" s="53"/>
      <c r="BT243" s="238"/>
    </row>
    <row r="244" spans="3:72" ht="14.25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31"/>
        <v>10</v>
      </c>
      <c r="M244" s="26">
        <f t="shared" si="2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8</v>
      </c>
      <c r="BF244" s="26"/>
      <c r="BG244" s="26"/>
      <c r="BH244" s="67" t="e">
        <f>SUMIFS([1]Up!$J:$J,[1]Up!$D:$D,D244)</f>
        <v>#VALUE!</v>
      </c>
      <c r="BI244" s="82"/>
      <c r="BJ244" s="82" t="str">
        <f t="shared" si="32"/>
        <v>PL20</v>
      </c>
      <c r="BK244" s="53" t="str">
        <f t="shared" si="33"/>
        <v>Thừa 8</v>
      </c>
      <c r="BL244" s="53" t="s">
        <v>148</v>
      </c>
      <c r="BM244" s="53" t="s">
        <v>1099</v>
      </c>
      <c r="BN244" s="53" t="s">
        <v>1100</v>
      </c>
      <c r="BO244" s="53" t="s">
        <v>2166</v>
      </c>
      <c r="BP244" s="53">
        <v>4</v>
      </c>
      <c r="BQ244" s="83" t="s">
        <v>2226</v>
      </c>
      <c r="BR244" s="53"/>
      <c r="BS244" s="53"/>
    </row>
    <row r="245" spans="3:72" ht="14.25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31"/>
        <v>2</v>
      </c>
      <c r="M245" s="26">
        <f t="shared" si="2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67" t="e">
        <f>SUMIFS([1]Up!$J:$J,[1]Up!$D:$D,D245)</f>
        <v>#VALUE!</v>
      </c>
      <c r="BI245" s="82" t="s">
        <v>2084</v>
      </c>
      <c r="BJ245" s="82" t="str">
        <f t="shared" si="32"/>
        <v>PL12</v>
      </c>
      <c r="BK245" s="53" t="str">
        <f t="shared" si="33"/>
        <v>Thừa 3</v>
      </c>
      <c r="BL245" s="53" t="s">
        <v>154</v>
      </c>
      <c r="BM245" s="53" t="s">
        <v>1020</v>
      </c>
      <c r="BN245" s="53" t="s">
        <v>1021</v>
      </c>
      <c r="BO245" s="53" t="s">
        <v>57</v>
      </c>
      <c r="BP245" s="53">
        <v>4</v>
      </c>
      <c r="BQ245" s="83"/>
      <c r="BR245" s="53"/>
      <c r="BS245" s="53"/>
    </row>
    <row r="246" spans="3:72" ht="14.25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31"/>
        <v>4</v>
      </c>
      <c r="M246" s="26">
        <f t="shared" si="2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67" t="e">
        <f>SUMIFS([1]Up!$J:$J,[1]Up!$D:$D,D246)</f>
        <v>#VALUE!</v>
      </c>
      <c r="BI246" s="82"/>
      <c r="BJ246" s="82" t="str">
        <f t="shared" si="32"/>
        <v>PL15</v>
      </c>
      <c r="BK246" s="53" t="str">
        <f t="shared" si="33"/>
        <v/>
      </c>
      <c r="BL246" s="53" t="s">
        <v>148</v>
      </c>
      <c r="BM246" s="53" t="s">
        <v>1093</v>
      </c>
      <c r="BN246" s="53" t="s">
        <v>1094</v>
      </c>
      <c r="BO246" s="84" t="s">
        <v>2155</v>
      </c>
      <c r="BP246" s="53">
        <v>8</v>
      </c>
      <c r="BQ246" s="83" t="s">
        <v>2224</v>
      </c>
      <c r="BR246" s="53"/>
      <c r="BS246" s="53"/>
      <c r="BT246" s="238"/>
    </row>
    <row r="247" spans="3:72" ht="14.25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31"/>
        <v>2</v>
      </c>
      <c r="M247" s="26">
        <f t="shared" si="22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67" t="e">
        <f>SUMIFS([1]Up!$J:$J,[1]Up!$D:$D,D247)</f>
        <v>#VALUE!</v>
      </c>
      <c r="BI247" s="82"/>
      <c r="BJ247" s="82" t="str">
        <f t="shared" si="32"/>
        <v>PL20</v>
      </c>
      <c r="BK247" s="53" t="str">
        <f t="shared" si="33"/>
        <v/>
      </c>
      <c r="BL247" s="53" t="s">
        <v>148</v>
      </c>
      <c r="BM247" s="53" t="s">
        <v>1099</v>
      </c>
      <c r="BN247" s="53" t="s">
        <v>1100</v>
      </c>
      <c r="BO247" s="84" t="s">
        <v>2157</v>
      </c>
      <c r="BP247" s="53">
        <v>8</v>
      </c>
      <c r="BQ247" s="83">
        <v>46242</v>
      </c>
      <c r="BR247" s="53"/>
      <c r="BS247" s="53"/>
      <c r="BT247" s="238"/>
    </row>
    <row r="248" spans="3:72" ht="14.25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31"/>
        <v>5</v>
      </c>
      <c r="M248" s="26">
        <f t="shared" si="22"/>
        <v>5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>
        <v>5</v>
      </c>
      <c r="BE248" s="26"/>
      <c r="BF248" s="26"/>
      <c r="BG248" s="26"/>
      <c r="BH248" s="67" t="e">
        <f>SUMIFS([1]Up!$J:$J,[1]Up!$D:$D,D248)</f>
        <v>#VALUE!</v>
      </c>
      <c r="BI248" s="82"/>
      <c r="BJ248" s="82" t="str">
        <f t="shared" si="32"/>
        <v/>
      </c>
      <c r="BK248" s="53" t="str">
        <f t="shared" si="33"/>
        <v/>
      </c>
      <c r="BL248" s="53" t="s">
        <v>154</v>
      </c>
      <c r="BM248" s="53" t="s">
        <v>1081</v>
      </c>
      <c r="BN248" s="53" t="s">
        <v>1080</v>
      </c>
      <c r="BO248" s="84" t="s">
        <v>2162</v>
      </c>
      <c r="BP248" s="53">
        <v>20</v>
      </c>
      <c r="BQ248" s="83" t="s">
        <v>2224</v>
      </c>
      <c r="BR248" s="53"/>
      <c r="BS248" s="53"/>
      <c r="BT248" s="238"/>
    </row>
    <row r="249" spans="3:72" ht="14.25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31"/>
        <v>0</v>
      </c>
      <c r="M249" s="26">
        <f t="shared" si="22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67" t="e">
        <f>SUMIFS([1]Up!$J:$J,[1]Up!$D:$D,D249)</f>
        <v>#VALUE!</v>
      </c>
      <c r="BI249" s="82"/>
      <c r="BJ249" s="82" t="str">
        <f t="shared" si="32"/>
        <v/>
      </c>
      <c r="BK249" s="53" t="str">
        <f t="shared" si="33"/>
        <v/>
      </c>
      <c r="BL249" s="53" t="s">
        <v>154</v>
      </c>
      <c r="BM249" s="53"/>
      <c r="BN249" s="53" t="s">
        <v>1128</v>
      </c>
      <c r="BO249" s="84" t="s">
        <v>2168</v>
      </c>
      <c r="BP249" s="53">
        <v>4</v>
      </c>
      <c r="BQ249" s="83" t="s">
        <v>2224</v>
      </c>
      <c r="BR249" s="53"/>
      <c r="BS249" s="53"/>
      <c r="BT249" s="238"/>
    </row>
    <row r="250" spans="3:72" ht="14.25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31"/>
        <v>2</v>
      </c>
      <c r="M250" s="26">
        <f t="shared" si="2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67" t="e">
        <f>SUMIFS([1]Up!$J:$J,[1]Up!$D:$D,D250)</f>
        <v>#VALUE!</v>
      </c>
      <c r="BI250" s="82" t="s">
        <v>2248</v>
      </c>
      <c r="BJ250" s="82" t="str">
        <f t="shared" si="32"/>
        <v>PL12</v>
      </c>
      <c r="BK250" s="53" t="str">
        <f t="shared" si="33"/>
        <v>Thừa 2</v>
      </c>
      <c r="BL250" s="53" t="s">
        <v>154</v>
      </c>
      <c r="BM250" s="53" t="s">
        <v>1020</v>
      </c>
      <c r="BN250" s="53" t="s">
        <v>1021</v>
      </c>
      <c r="BO250" s="53" t="s">
        <v>57</v>
      </c>
      <c r="BP250" s="53">
        <v>4</v>
      </c>
      <c r="BQ250" s="83"/>
      <c r="BR250" s="53"/>
      <c r="BS250" s="53"/>
    </row>
    <row r="251" spans="3:72" ht="14.25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31"/>
        <v>1</v>
      </c>
      <c r="M251" s="26">
        <f t="shared" si="22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67" t="e">
        <f>SUMIFS([1]Up!$J:$J,[1]Up!$D:$D,D251)</f>
        <v>#VALUE!</v>
      </c>
      <c r="BI251" s="82"/>
      <c r="BJ251" s="82" t="str">
        <f t="shared" si="32"/>
        <v>PL20</v>
      </c>
      <c r="BK251" s="53" t="str">
        <f t="shared" si="33"/>
        <v/>
      </c>
      <c r="BL251" s="53" t="s">
        <v>148</v>
      </c>
      <c r="BM251" s="53" t="s">
        <v>1099</v>
      </c>
      <c r="BN251" s="53" t="s">
        <v>1100</v>
      </c>
      <c r="BO251" s="84" t="s">
        <v>2164</v>
      </c>
      <c r="BP251" s="53">
        <v>4</v>
      </c>
      <c r="BQ251" s="83">
        <v>46242</v>
      </c>
      <c r="BR251" s="53"/>
      <c r="BS251" s="53"/>
      <c r="BT251" s="238"/>
    </row>
    <row r="252" spans="3:72" ht="14.25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31"/>
        <v>8</v>
      </c>
      <c r="M252" s="26">
        <f t="shared" si="2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>
        <v>8</v>
      </c>
      <c r="BF252" s="26"/>
      <c r="BG252" s="26"/>
      <c r="BH252" s="67" t="e">
        <f>SUMIFS([1]Up!$J:$J,[1]Up!$D:$D,D252)</f>
        <v>#VALUE!</v>
      </c>
      <c r="BI252" s="82"/>
      <c r="BJ252" s="82" t="str">
        <f t="shared" si="32"/>
        <v>PL20</v>
      </c>
      <c r="BK252" s="53" t="str">
        <f t="shared" si="33"/>
        <v>Thừa 8</v>
      </c>
      <c r="BL252" s="53" t="s">
        <v>148</v>
      </c>
      <c r="BM252" s="53" t="s">
        <v>1020</v>
      </c>
      <c r="BN252" s="53" t="s">
        <v>1021</v>
      </c>
      <c r="BO252" s="84" t="s">
        <v>2166</v>
      </c>
      <c r="BP252" s="53">
        <v>16</v>
      </c>
      <c r="BQ252" s="83" t="s">
        <v>2226</v>
      </c>
      <c r="BR252" s="53"/>
      <c r="BS252" s="53"/>
    </row>
    <row r="253" spans="3:72" ht="14.25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31"/>
        <v>1</v>
      </c>
      <c r="M253" s="26">
        <f t="shared" si="22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26"/>
      <c r="BD253" s="26"/>
      <c r="BE253" s="26"/>
      <c r="BF253" s="26"/>
      <c r="BG253" s="26"/>
      <c r="BH253" s="67" t="e">
        <f>SUMIFS([1]Up!$J:$J,[1]Up!$D:$D,D253)</f>
        <v>#VALUE!</v>
      </c>
      <c r="BI253" s="82"/>
      <c r="BJ253" s="82" t="str">
        <f t="shared" si="32"/>
        <v>PL10</v>
      </c>
      <c r="BK253" s="53" t="str">
        <f t="shared" si="33"/>
        <v/>
      </c>
      <c r="BL253" s="53" t="s">
        <v>154</v>
      </c>
      <c r="BM253" s="53" t="s">
        <v>1004</v>
      </c>
      <c r="BN253" s="53" t="s">
        <v>1005</v>
      </c>
      <c r="BO253" s="84" t="s">
        <v>2167</v>
      </c>
      <c r="BP253" s="53">
        <v>4</v>
      </c>
      <c r="BQ253" s="83">
        <v>46302</v>
      </c>
      <c r="BR253" s="53"/>
      <c r="BS253" s="53"/>
      <c r="BT253" s="238"/>
    </row>
    <row r="254" spans="3:72" ht="14.25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31"/>
        <v>2</v>
      </c>
      <c r="M254" s="26">
        <f t="shared" si="2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26"/>
      <c r="BD254" s="26"/>
      <c r="BE254" s="26">
        <v>1</v>
      </c>
      <c r="BF254" s="26"/>
      <c r="BG254" s="26"/>
      <c r="BH254" s="67" t="e">
        <f>SUMIFS([1]Up!$J:$J,[1]Up!$D:$D,D254)</f>
        <v>#VALUE!</v>
      </c>
      <c r="BI254" s="82"/>
      <c r="BJ254" s="82" t="str">
        <f t="shared" si="32"/>
        <v>PL10</v>
      </c>
      <c r="BK254" s="53" t="str">
        <f t="shared" si="33"/>
        <v/>
      </c>
      <c r="BL254" s="53" t="s">
        <v>154</v>
      </c>
      <c r="BM254" s="53" t="s">
        <v>1004</v>
      </c>
      <c r="BN254" s="53" t="s">
        <v>1005</v>
      </c>
      <c r="BO254" s="84" t="s">
        <v>2167</v>
      </c>
      <c r="BP254" s="53">
        <v>4</v>
      </c>
      <c r="BQ254" s="83">
        <v>46302</v>
      </c>
      <c r="BR254" s="53"/>
      <c r="BS254" s="53"/>
      <c r="BT254" s="238"/>
    </row>
    <row r="255" spans="3:72" ht="14.25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31"/>
        <v>2</v>
      </c>
      <c r="M255" s="26">
        <f t="shared" si="2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26"/>
      <c r="BD255" s="26">
        <v>1</v>
      </c>
      <c r="BE255" s="26"/>
      <c r="BF255" s="26"/>
      <c r="BG255" s="26"/>
      <c r="BH255" s="67" t="e">
        <f>SUMIFS([1]Up!$J:$J,[1]Up!$D:$D,D255)</f>
        <v>#VALUE!</v>
      </c>
      <c r="BI255" s="82"/>
      <c r="BJ255" s="82" t="str">
        <f t="shared" si="32"/>
        <v>PL10</v>
      </c>
      <c r="BK255" s="53" t="str">
        <f t="shared" si="33"/>
        <v/>
      </c>
      <c r="BL255" s="53" t="s">
        <v>154</v>
      </c>
      <c r="BM255" s="53" t="s">
        <v>1004</v>
      </c>
      <c r="BN255" s="53" t="s">
        <v>1005</v>
      </c>
      <c r="BO255" s="84" t="s">
        <v>2156</v>
      </c>
      <c r="BP255" s="53">
        <v>4</v>
      </c>
      <c r="BQ255" s="83">
        <v>46302</v>
      </c>
      <c r="BR255" s="53"/>
      <c r="BS255" s="53"/>
      <c r="BT255" s="238"/>
    </row>
    <row r="256" spans="3:72" ht="14.25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31"/>
        <v>4</v>
      </c>
      <c r="M256" s="26">
        <f t="shared" si="2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67" t="e">
        <f>SUMIFS([1]Up!$J:$J,[1]Up!$D:$D,D256)</f>
        <v>#VALUE!</v>
      </c>
      <c r="BI256" s="82"/>
      <c r="BJ256" s="82" t="str">
        <f t="shared" si="32"/>
        <v>PL10</v>
      </c>
      <c r="BK256" s="53" t="str">
        <f t="shared" si="33"/>
        <v/>
      </c>
      <c r="BL256" s="53" t="s">
        <v>148</v>
      </c>
      <c r="BM256" s="53" t="s">
        <v>1004</v>
      </c>
      <c r="BN256" s="53" t="s">
        <v>1005</v>
      </c>
      <c r="BO256" s="84" t="s">
        <v>2156</v>
      </c>
      <c r="BP256" s="53">
        <v>8</v>
      </c>
      <c r="BQ256" s="83">
        <v>46302</v>
      </c>
      <c r="BR256" s="53"/>
      <c r="BS256" s="53"/>
      <c r="BT256" s="238"/>
    </row>
    <row r="257" spans="3:72" ht="14.25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31"/>
        <v>2</v>
      </c>
      <c r="M257" s="26">
        <f t="shared" si="2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67" t="e">
        <f>SUMIFS([1]Up!$J:$J,[1]Up!$D:$D,D257)</f>
        <v>#VALUE!</v>
      </c>
      <c r="BI257" s="82"/>
      <c r="BJ257" s="82" t="str">
        <f t="shared" si="32"/>
        <v>PL10</v>
      </c>
      <c r="BK257" s="53" t="str">
        <f t="shared" si="33"/>
        <v/>
      </c>
      <c r="BL257" s="53" t="s">
        <v>148</v>
      </c>
      <c r="BM257" s="53" t="s">
        <v>1004</v>
      </c>
      <c r="BN257" s="53" t="s">
        <v>1005</v>
      </c>
      <c r="BO257" s="84" t="s">
        <v>2156</v>
      </c>
      <c r="BP257" s="53">
        <v>4</v>
      </c>
      <c r="BQ257" s="83">
        <v>46302</v>
      </c>
      <c r="BR257" s="53"/>
      <c r="BS257" s="53"/>
      <c r="BT257" s="238"/>
    </row>
    <row r="258" spans="3:72" ht="14.25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31"/>
        <v>1</v>
      </c>
      <c r="M258" s="26">
        <f t="shared" si="22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67" t="e">
        <f>SUMIFS([1]Up!$J:$J,[1]Up!$D:$D,D258)</f>
        <v>#VALUE!</v>
      </c>
      <c r="BI258" s="82"/>
      <c r="BJ258" s="82" t="str">
        <f t="shared" si="32"/>
        <v>PL15</v>
      </c>
      <c r="BK258" s="53" t="str">
        <f t="shared" si="33"/>
        <v/>
      </c>
      <c r="BL258" s="53" t="s">
        <v>148</v>
      </c>
      <c r="BM258" s="53" t="s">
        <v>1093</v>
      </c>
      <c r="BN258" s="53" t="s">
        <v>1094</v>
      </c>
      <c r="BO258" s="84" t="s">
        <v>2155</v>
      </c>
      <c r="BP258" s="53">
        <v>4</v>
      </c>
      <c r="BQ258" s="83" t="s">
        <v>2224</v>
      </c>
      <c r="BR258" s="53"/>
      <c r="BS258" s="53"/>
      <c r="BT258" s="238"/>
    </row>
    <row r="259" spans="3:72" ht="14.25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31"/>
        <v>1</v>
      </c>
      <c r="M259" s="26">
        <f t="shared" si="22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67" t="e">
        <f>SUMIFS([1]Up!$J:$J,[1]Up!$D:$D,D259)</f>
        <v>#VALUE!</v>
      </c>
      <c r="BI259" s="82"/>
      <c r="BJ259" s="82" t="str">
        <f t="shared" si="32"/>
        <v>PL15</v>
      </c>
      <c r="BK259" s="53" t="str">
        <f t="shared" si="33"/>
        <v/>
      </c>
      <c r="BL259" s="53" t="s">
        <v>148</v>
      </c>
      <c r="BM259" s="53" t="s">
        <v>1093</v>
      </c>
      <c r="BN259" s="53" t="s">
        <v>1094</v>
      </c>
      <c r="BO259" s="84" t="s">
        <v>2155</v>
      </c>
      <c r="BP259" s="53">
        <v>4</v>
      </c>
      <c r="BQ259" s="83" t="s">
        <v>2224</v>
      </c>
      <c r="BR259" s="53"/>
      <c r="BS259" s="53"/>
      <c r="BT259" s="238"/>
    </row>
    <row r="260" spans="3:72" ht="14.25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31"/>
        <v>2</v>
      </c>
      <c r="M260" s="26">
        <f t="shared" si="2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26"/>
      <c r="BD260" s="26"/>
      <c r="BE260" s="26"/>
      <c r="BF260" s="26"/>
      <c r="BG260" s="26"/>
      <c r="BH260" s="67" t="e">
        <f>SUMIFS([1]Up!$J:$J,[1]Up!$D:$D,D260)</f>
        <v>#VALUE!</v>
      </c>
      <c r="BI260" s="82"/>
      <c r="BJ260" s="82" t="str">
        <f t="shared" si="32"/>
        <v>PL10</v>
      </c>
      <c r="BK260" s="53" t="str">
        <f t="shared" si="33"/>
        <v/>
      </c>
      <c r="BL260" s="53" t="s">
        <v>154</v>
      </c>
      <c r="BM260" s="53" t="s">
        <v>1004</v>
      </c>
      <c r="BN260" s="53" t="s">
        <v>1005</v>
      </c>
      <c r="BO260" s="84" t="s">
        <v>2156</v>
      </c>
      <c r="BP260" s="53">
        <v>4</v>
      </c>
      <c r="BQ260" s="83">
        <v>46302</v>
      </c>
      <c r="BR260" s="53"/>
      <c r="BS260" s="53"/>
      <c r="BT260" s="238"/>
    </row>
    <row r="261" spans="3:72" ht="14.25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31"/>
        <v>1</v>
      </c>
      <c r="M261" s="26">
        <f t="shared" si="22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67" t="e">
        <f>SUMIFS([1]Up!$J:$J,[1]Up!$D:$D,D261)</f>
        <v>#VALUE!</v>
      </c>
      <c r="BI261" s="82"/>
      <c r="BJ261" s="82" t="str">
        <f t="shared" si="32"/>
        <v>PL20</v>
      </c>
      <c r="BK261" s="53" t="str">
        <f t="shared" si="33"/>
        <v/>
      </c>
      <c r="BL261" s="53" t="s">
        <v>148</v>
      </c>
      <c r="BM261" s="53" t="s">
        <v>1099</v>
      </c>
      <c r="BN261" s="53" t="s">
        <v>1100</v>
      </c>
      <c r="BO261" s="84" t="s">
        <v>2164</v>
      </c>
      <c r="BP261" s="53">
        <v>4</v>
      </c>
      <c r="BQ261" s="83">
        <v>46242</v>
      </c>
      <c r="BR261" s="53"/>
      <c r="BS261" s="53"/>
      <c r="BT261" s="238"/>
    </row>
    <row r="262" spans="3:72" ht="14.25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31"/>
        <v>8</v>
      </c>
      <c r="M262" s="26">
        <f t="shared" si="2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>
        <v>8</v>
      </c>
      <c r="BF262" s="26"/>
      <c r="BG262" s="26"/>
      <c r="BH262" s="67" t="e">
        <f>SUMIFS([1]Up!$J:$J,[1]Up!$D:$D,D262)</f>
        <v>#VALUE!</v>
      </c>
      <c r="BI262" s="82"/>
      <c r="BJ262" s="82" t="str">
        <f t="shared" si="32"/>
        <v>PL20</v>
      </c>
      <c r="BK262" s="53" t="str">
        <f t="shared" si="33"/>
        <v>Thừa 8</v>
      </c>
      <c r="BL262" s="53" t="s">
        <v>148</v>
      </c>
      <c r="BM262" s="53" t="s">
        <v>1020</v>
      </c>
      <c r="BN262" s="53" t="s">
        <v>1021</v>
      </c>
      <c r="BO262" s="84" t="s">
        <v>2166</v>
      </c>
      <c r="BP262" s="53">
        <v>16</v>
      </c>
      <c r="BQ262" s="83" t="s">
        <v>2226</v>
      </c>
      <c r="BR262" s="53"/>
      <c r="BS262" s="53"/>
    </row>
    <row r="263" spans="3:72" ht="14.25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31"/>
        <v>1</v>
      </c>
      <c r="M263" s="26">
        <f t="shared" si="22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26"/>
      <c r="BD263" s="26"/>
      <c r="BE263" s="26"/>
      <c r="BF263" s="26"/>
      <c r="BG263" s="26"/>
      <c r="BH263" s="67" t="e">
        <f>SUMIFS([1]Up!$J:$J,[1]Up!$D:$D,D263)</f>
        <v>#VALUE!</v>
      </c>
      <c r="BI263" s="82"/>
      <c r="BJ263" s="82" t="str">
        <f t="shared" si="32"/>
        <v>PL10</v>
      </c>
      <c r="BK263" s="53" t="str">
        <f t="shared" si="33"/>
        <v/>
      </c>
      <c r="BL263" s="53" t="s">
        <v>154</v>
      </c>
      <c r="BM263" s="53" t="s">
        <v>1004</v>
      </c>
      <c r="BN263" s="53" t="s">
        <v>1005</v>
      </c>
      <c r="BO263" s="84" t="s">
        <v>2156</v>
      </c>
      <c r="BP263" s="53">
        <v>4</v>
      </c>
      <c r="BQ263" s="83">
        <v>46302</v>
      </c>
      <c r="BR263" s="53"/>
      <c r="BS263" s="53"/>
      <c r="BT263" s="238"/>
    </row>
    <row r="264" spans="3:72" ht="14.25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31"/>
        <v>2</v>
      </c>
      <c r="M264" s="26">
        <f t="shared" si="2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67" t="e">
        <f>SUMIFS([1]Up!$J:$J,[1]Up!$D:$D,D264)</f>
        <v>#VALUE!</v>
      </c>
      <c r="BI264" s="82" t="s">
        <v>2246</v>
      </c>
      <c r="BJ264" s="82" t="str">
        <f t="shared" si="32"/>
        <v>PL12</v>
      </c>
      <c r="BK264" s="53" t="str">
        <f t="shared" si="33"/>
        <v>Thừa 2</v>
      </c>
      <c r="BL264" s="53" t="s">
        <v>154</v>
      </c>
      <c r="BM264" s="53" t="s">
        <v>1020</v>
      </c>
      <c r="BN264" s="53" t="s">
        <v>1021</v>
      </c>
      <c r="BO264" s="53" t="s">
        <v>57</v>
      </c>
      <c r="BP264" s="53">
        <v>4</v>
      </c>
      <c r="BQ264" s="83"/>
      <c r="BR264" s="53"/>
      <c r="BS264" s="53"/>
    </row>
    <row r="265" spans="3:72" ht="14.25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31"/>
        <v>2</v>
      </c>
      <c r="M265" s="26">
        <f t="shared" si="2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67" t="e">
        <f>SUMIFS([1]Up!$J:$J,[1]Up!$D:$D,D265)</f>
        <v>#VALUE!</v>
      </c>
      <c r="BI265" s="82"/>
      <c r="BJ265" s="82" t="str">
        <f t="shared" si="32"/>
        <v>PL15</v>
      </c>
      <c r="BK265" s="53" t="str">
        <f t="shared" si="33"/>
        <v/>
      </c>
      <c r="BL265" s="53" t="s">
        <v>148</v>
      </c>
      <c r="BM265" s="53" t="s">
        <v>1093</v>
      </c>
      <c r="BN265" s="53" t="s">
        <v>1094</v>
      </c>
      <c r="BO265" s="84" t="s">
        <v>2155</v>
      </c>
      <c r="BP265" s="53">
        <v>4</v>
      </c>
      <c r="BQ265" s="83" t="s">
        <v>2224</v>
      </c>
      <c r="BR265" s="53"/>
      <c r="BS265" s="53"/>
      <c r="BT265" s="238"/>
    </row>
    <row r="266" spans="3:72" ht="14.25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31"/>
        <v>6</v>
      </c>
      <c r="M266" s="26">
        <f t="shared" si="22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67" t="e">
        <f>SUMIFS([1]Up!$J:$J,[1]Up!$D:$D,D266)</f>
        <v>#VALUE!</v>
      </c>
      <c r="BI266" s="82"/>
      <c r="BJ266" s="82" t="str">
        <f t="shared" si="32"/>
        <v/>
      </c>
      <c r="BK266" s="53" t="str">
        <f t="shared" si="33"/>
        <v/>
      </c>
      <c r="BL266" s="53" t="s">
        <v>148</v>
      </c>
      <c r="BM266" s="53" t="s">
        <v>1078</v>
      </c>
      <c r="BN266" s="53" t="s">
        <v>1075</v>
      </c>
      <c r="BO266" s="53" t="s">
        <v>1289</v>
      </c>
      <c r="BP266" s="53">
        <v>6</v>
      </c>
      <c r="BQ266" s="83">
        <v>46362</v>
      </c>
      <c r="BR266" s="53"/>
      <c r="BS266" s="53"/>
    </row>
    <row r="267" spans="3:72" ht="14.25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31"/>
        <v>2</v>
      </c>
      <c r="M267" s="26">
        <f t="shared" si="2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67" t="e">
        <f>SUMIFS([1]Up!$J:$J,[1]Up!$D:$D,D267)</f>
        <v>#VALUE!</v>
      </c>
      <c r="BI267" s="82" t="s">
        <v>2073</v>
      </c>
      <c r="BJ267" s="82" t="str">
        <f t="shared" si="32"/>
        <v>PL12</v>
      </c>
      <c r="BK267" s="53" t="str">
        <f t="shared" si="33"/>
        <v/>
      </c>
      <c r="BL267" s="53" t="s">
        <v>154</v>
      </c>
      <c r="BM267" s="53" t="s">
        <v>1020</v>
      </c>
      <c r="BN267" s="53" t="s">
        <v>1021</v>
      </c>
      <c r="BO267" s="53" t="s">
        <v>57</v>
      </c>
      <c r="BP267" s="53">
        <v>2</v>
      </c>
      <c r="BQ267" s="83"/>
      <c r="BR267" s="53"/>
      <c r="BS267" s="53"/>
    </row>
    <row r="268" spans="3:72" ht="14.25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31"/>
        <v>1</v>
      </c>
      <c r="M268" s="26">
        <f t="shared" si="2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67" t="e">
        <f>SUMIFS([1]Up!$J:$J,[1]Up!$D:$D,D268)</f>
        <v>#VALUE!</v>
      </c>
      <c r="BI268" s="82"/>
      <c r="BJ268" s="82" t="str">
        <f t="shared" si="32"/>
        <v>PL12</v>
      </c>
      <c r="BK268" s="53" t="str">
        <f t="shared" si="33"/>
        <v/>
      </c>
      <c r="BL268" s="53" t="s">
        <v>154</v>
      </c>
      <c r="BM268" s="53" t="s">
        <v>1020</v>
      </c>
      <c r="BN268" s="53" t="s">
        <v>1021</v>
      </c>
      <c r="BO268" s="53" t="s">
        <v>1398</v>
      </c>
      <c r="BP268" s="53">
        <v>2</v>
      </c>
      <c r="BQ268" s="83" t="s">
        <v>2222</v>
      </c>
      <c r="BR268" s="53"/>
      <c r="BS268" s="53"/>
    </row>
    <row r="269" spans="3:72" ht="14.25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31"/>
        <v>1</v>
      </c>
      <c r="M269" s="26">
        <f t="shared" si="2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67" t="e">
        <f>SUMIFS([1]Up!$J:$J,[1]Up!$D:$D,D269)</f>
        <v>#VALUE!</v>
      </c>
      <c r="BI269" s="82"/>
      <c r="BJ269" s="82" t="str">
        <f t="shared" si="32"/>
        <v>PL12</v>
      </c>
      <c r="BK269" s="53" t="str">
        <f t="shared" si="33"/>
        <v/>
      </c>
      <c r="BL269" s="53" t="s">
        <v>154</v>
      </c>
      <c r="BM269" s="53" t="s">
        <v>1020</v>
      </c>
      <c r="BN269" s="53" t="s">
        <v>1021</v>
      </c>
      <c r="BO269" s="53"/>
      <c r="BP269" s="53"/>
      <c r="BQ269" s="83"/>
      <c r="BR269" s="53"/>
      <c r="BS269" s="53"/>
    </row>
    <row r="270" spans="3:72" ht="14.25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31"/>
        <v>1</v>
      </c>
      <c r="M270" s="26">
        <f t="shared" si="2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67" t="e">
        <f>SUMIFS([1]Up!$J:$J,[1]Up!$D:$D,D270)</f>
        <v>#VALUE!</v>
      </c>
      <c r="BI270" s="82" t="s">
        <v>2073</v>
      </c>
      <c r="BJ270" s="82" t="str">
        <f t="shared" si="32"/>
        <v>PL12</v>
      </c>
      <c r="BK270" s="53" t="str">
        <f t="shared" si="33"/>
        <v>Thừa 1</v>
      </c>
      <c r="BL270" s="53" t="s">
        <v>154</v>
      </c>
      <c r="BM270" s="53" t="s">
        <v>1020</v>
      </c>
      <c r="BN270" s="53" t="s">
        <v>1021</v>
      </c>
      <c r="BO270" s="53" t="s">
        <v>57</v>
      </c>
      <c r="BP270" s="53">
        <v>1</v>
      </c>
      <c r="BQ270" s="83"/>
      <c r="BR270" s="53"/>
      <c r="BS270" s="53"/>
    </row>
    <row r="271" spans="3:72" ht="14.25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31"/>
        <v>1</v>
      </c>
      <c r="M271" s="26">
        <f t="shared" si="2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67" t="e">
        <f>SUMIFS([1]Up!$J:$J,[1]Up!$D:$D,D271)</f>
        <v>#VALUE!</v>
      </c>
      <c r="BI271" s="82" t="s">
        <v>2073</v>
      </c>
      <c r="BJ271" s="82" t="str">
        <f t="shared" si="32"/>
        <v>PL12</v>
      </c>
      <c r="BK271" s="53" t="str">
        <f t="shared" si="33"/>
        <v>Thừa 1</v>
      </c>
      <c r="BL271" s="53" t="s">
        <v>154</v>
      </c>
      <c r="BM271" s="53" t="s">
        <v>1020</v>
      </c>
      <c r="BN271" s="53" t="s">
        <v>1021</v>
      </c>
      <c r="BO271" s="53" t="s">
        <v>57</v>
      </c>
      <c r="BP271" s="53">
        <v>1</v>
      </c>
      <c r="BQ271" s="83"/>
      <c r="BR271" s="53"/>
      <c r="BS271" s="53"/>
    </row>
    <row r="272" spans="3:72" ht="14.25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31"/>
        <v>2</v>
      </c>
      <c r="M272" s="26">
        <f t="shared" si="22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67" t="e">
        <f>SUMIFS([1]Up!$J:$J,[1]Up!$D:$D,D272)</f>
        <v>#VALUE!</v>
      </c>
      <c r="BI272" s="82"/>
      <c r="BJ272" s="82" t="str">
        <f t="shared" si="32"/>
        <v>PL15</v>
      </c>
      <c r="BK272" s="53" t="str">
        <f t="shared" si="33"/>
        <v/>
      </c>
      <c r="BL272" s="53" t="s">
        <v>148</v>
      </c>
      <c r="BM272" s="53" t="s">
        <v>1093</v>
      </c>
      <c r="BN272" s="53" t="s">
        <v>1094</v>
      </c>
      <c r="BO272" s="53" t="s">
        <v>1303</v>
      </c>
      <c r="BP272" s="53">
        <v>2</v>
      </c>
      <c r="BQ272" s="83">
        <v>46088</v>
      </c>
      <c r="BR272" s="53"/>
      <c r="BS272" s="53"/>
    </row>
    <row r="273" spans="3:71" ht="14.25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31"/>
        <v>6</v>
      </c>
      <c r="M273" s="26">
        <f t="shared" si="2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67" t="e">
        <f>SUMIFS([1]Up!$J:$J,[1]Up!$D:$D,D273)</f>
        <v>#VALUE!</v>
      </c>
      <c r="BI273" s="82"/>
      <c r="BJ273" s="82" t="str">
        <f t="shared" si="32"/>
        <v>PL16</v>
      </c>
      <c r="BK273" s="53" t="str">
        <f t="shared" si="33"/>
        <v/>
      </c>
      <c r="BL273" s="53" t="s">
        <v>148</v>
      </c>
      <c r="BM273" s="53" t="s">
        <v>987</v>
      </c>
      <c r="BN273" s="53" t="s">
        <v>988</v>
      </c>
      <c r="BO273" s="53" t="s">
        <v>989</v>
      </c>
      <c r="BP273" s="53">
        <v>6</v>
      </c>
      <c r="BQ273" s="83" t="s">
        <v>2222</v>
      </c>
      <c r="BR273" s="53"/>
      <c r="BS273" s="53"/>
    </row>
    <row r="274" spans="3:71" ht="14.25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31"/>
        <v>6</v>
      </c>
      <c r="M274" s="26">
        <f t="shared" si="2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67" t="e">
        <f>SUMIFS([1]Up!$J:$J,[1]Up!$D:$D,D274)</f>
        <v>#VALUE!</v>
      </c>
      <c r="BI274" s="82"/>
      <c r="BJ274" s="82" t="str">
        <f t="shared" si="32"/>
        <v>PL16</v>
      </c>
      <c r="BK274" s="53" t="str">
        <f t="shared" si="33"/>
        <v/>
      </c>
      <c r="BL274" s="53" t="s">
        <v>148</v>
      </c>
      <c r="BM274" s="53" t="s">
        <v>987</v>
      </c>
      <c r="BN274" s="53" t="s">
        <v>988</v>
      </c>
      <c r="BO274" s="53" t="s">
        <v>989</v>
      </c>
      <c r="BP274" s="53">
        <v>6</v>
      </c>
      <c r="BQ274" s="83" t="s">
        <v>2222</v>
      </c>
      <c r="BR274" s="53"/>
      <c r="BS274" s="53"/>
    </row>
    <row r="275" spans="3:71" ht="14.25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31"/>
        <v>6</v>
      </c>
      <c r="M275" s="26">
        <f t="shared" si="22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67" t="e">
        <f>SUMIFS([1]Up!$J:$J,[1]Up!$D:$D,D275)</f>
        <v>#VALUE!</v>
      </c>
      <c r="BI275" s="82"/>
      <c r="BJ275" s="82" t="str">
        <f t="shared" si="32"/>
        <v>PL12</v>
      </c>
      <c r="BK275" s="53" t="str">
        <f t="shared" si="33"/>
        <v/>
      </c>
      <c r="BL275" s="53" t="s">
        <v>148</v>
      </c>
      <c r="BM275" s="53" t="s">
        <v>1020</v>
      </c>
      <c r="BN275" s="53" t="s">
        <v>1021</v>
      </c>
      <c r="BO275" s="53" t="s">
        <v>1022</v>
      </c>
      <c r="BP275" s="53">
        <v>6</v>
      </c>
      <c r="BQ275" s="83">
        <v>46088</v>
      </c>
      <c r="BR275" s="53"/>
      <c r="BS275" s="53"/>
    </row>
    <row r="276" spans="3:71" ht="14.25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31"/>
        <v>6</v>
      </c>
      <c r="M276" s="26">
        <f t="shared" si="22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67" t="e">
        <f>SUMIFS([1]Up!$J:$J,[1]Up!$D:$D,D276)</f>
        <v>#VALUE!</v>
      </c>
      <c r="BI276" s="82"/>
      <c r="BJ276" s="82" t="str">
        <f t="shared" si="32"/>
        <v>PL12</v>
      </c>
      <c r="BK276" s="53" t="str">
        <f t="shared" si="33"/>
        <v/>
      </c>
      <c r="BL276" s="53" t="s">
        <v>148</v>
      </c>
      <c r="BM276" s="53" t="s">
        <v>1020</v>
      </c>
      <c r="BN276" s="53" t="s">
        <v>1021</v>
      </c>
      <c r="BO276" s="53" t="s">
        <v>1022</v>
      </c>
      <c r="BP276" s="53">
        <v>6</v>
      </c>
      <c r="BQ276" s="83">
        <v>46088</v>
      </c>
      <c r="BR276" s="53"/>
      <c r="BS276" s="53"/>
    </row>
    <row r="277" spans="3:71" ht="14.25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31"/>
        <v>1</v>
      </c>
      <c r="M277" s="26">
        <f t="shared" si="2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67" t="e">
        <f>SUMIFS([1]Up!$J:$J,[1]Up!$D:$D,D277)</f>
        <v>#VALUE!</v>
      </c>
      <c r="BI277" s="82"/>
      <c r="BJ277" s="82" t="str">
        <f t="shared" si="32"/>
        <v>PL12</v>
      </c>
      <c r="BK277" s="53" t="str">
        <f t="shared" si="33"/>
        <v/>
      </c>
      <c r="BL277" s="53" t="s">
        <v>154</v>
      </c>
      <c r="BM277" s="53" t="s">
        <v>1020</v>
      </c>
      <c r="BN277" s="53" t="s">
        <v>1021</v>
      </c>
      <c r="BO277" s="53" t="s">
        <v>1398</v>
      </c>
      <c r="BP277" s="53">
        <v>1</v>
      </c>
      <c r="BQ277" s="83" t="s">
        <v>2222</v>
      </c>
      <c r="BR277" s="53"/>
      <c r="BS277" s="53"/>
    </row>
    <row r="278" spans="3:71" ht="14.25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31"/>
        <v>1</v>
      </c>
      <c r="M278" s="26">
        <f t="shared" si="22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67" t="e">
        <f>SUMIFS([1]Up!$J:$J,[1]Up!$D:$D,D278)</f>
        <v>#VALUE!</v>
      </c>
      <c r="BI278" s="82" t="s">
        <v>2071</v>
      </c>
      <c r="BJ278" s="82" t="str">
        <f t="shared" si="32"/>
        <v>PL12</v>
      </c>
      <c r="BK278" s="53" t="str">
        <f t="shared" si="33"/>
        <v>Thừa 2</v>
      </c>
      <c r="BL278" s="53" t="s">
        <v>154</v>
      </c>
      <c r="BM278" s="53" t="s">
        <v>1020</v>
      </c>
      <c r="BN278" s="53" t="s">
        <v>1021</v>
      </c>
      <c r="BO278" s="53" t="s">
        <v>57</v>
      </c>
      <c r="BP278" s="53">
        <v>1</v>
      </c>
      <c r="BQ278" s="83"/>
      <c r="BR278" s="53"/>
      <c r="BS278" s="53"/>
    </row>
    <row r="279" spans="3:71" ht="14.25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31"/>
        <v>1</v>
      </c>
      <c r="M279" s="26">
        <f t="shared" si="22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67" t="e">
        <f>SUMIFS([1]Up!$J:$J,[1]Up!$D:$D,D279)</f>
        <v>#VALUE!</v>
      </c>
      <c r="BI279" s="82"/>
      <c r="BJ279" s="82" t="str">
        <f t="shared" si="32"/>
        <v>PL12</v>
      </c>
      <c r="BK279" s="53" t="str">
        <f t="shared" si="33"/>
        <v/>
      </c>
      <c r="BL279" s="53" t="s">
        <v>148</v>
      </c>
      <c r="BM279" s="53" t="s">
        <v>1020</v>
      </c>
      <c r="BN279" s="53" t="s">
        <v>1021</v>
      </c>
      <c r="BO279" s="53" t="s">
        <v>1022</v>
      </c>
      <c r="BP279" s="53">
        <v>1</v>
      </c>
      <c r="BQ279" s="83">
        <v>46088</v>
      </c>
      <c r="BR279" s="53"/>
      <c r="BS279" s="53"/>
    </row>
    <row r="280" spans="3:71" ht="14.25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31"/>
        <v>2</v>
      </c>
      <c r="M280" s="26">
        <f t="shared" si="22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67" t="e">
        <f>SUMIFS([1]Up!$J:$J,[1]Up!$D:$D,D280)</f>
        <v>#VALUE!</v>
      </c>
      <c r="BI280" s="82"/>
      <c r="BJ280" s="82" t="str">
        <f t="shared" si="32"/>
        <v>PL12</v>
      </c>
      <c r="BK280" s="53" t="str">
        <f t="shared" si="33"/>
        <v/>
      </c>
      <c r="BL280" s="53" t="s">
        <v>148</v>
      </c>
      <c r="BM280" s="53" t="s">
        <v>1020</v>
      </c>
      <c r="BN280" s="53" t="s">
        <v>1021</v>
      </c>
      <c r="BO280" s="53" t="s">
        <v>1022</v>
      </c>
      <c r="BP280" s="53">
        <v>2</v>
      </c>
      <c r="BQ280" s="83">
        <v>46088</v>
      </c>
      <c r="BR280" s="53"/>
      <c r="BS280" s="53"/>
    </row>
    <row r="281" spans="3:71" ht="14.25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31"/>
        <v>2</v>
      </c>
      <c r="M281" s="26">
        <f t="shared" si="22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67" t="e">
        <f>SUMIFS([1]Up!$J:$J,[1]Up!$D:$D,D281)</f>
        <v>#VALUE!</v>
      </c>
      <c r="BI281" s="82"/>
      <c r="BJ281" s="82" t="str">
        <f t="shared" si="32"/>
        <v>PL12</v>
      </c>
      <c r="BK281" s="53" t="str">
        <f t="shared" si="33"/>
        <v/>
      </c>
      <c r="BL281" s="53" t="s">
        <v>148</v>
      </c>
      <c r="BM281" s="53" t="s">
        <v>1020</v>
      </c>
      <c r="BN281" s="53" t="s">
        <v>1021</v>
      </c>
      <c r="BO281" s="53" t="s">
        <v>1022</v>
      </c>
      <c r="BP281" s="53">
        <v>2</v>
      </c>
      <c r="BQ281" s="83">
        <v>46088</v>
      </c>
      <c r="BR281" s="53"/>
      <c r="BS281" s="53"/>
    </row>
    <row r="282" spans="3:71" ht="14.25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31"/>
        <v>2</v>
      </c>
      <c r="M282" s="26">
        <f t="shared" si="22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67" t="e">
        <f>SUMIFS([1]Up!$J:$J,[1]Up!$D:$D,D282)</f>
        <v>#VALUE!</v>
      </c>
      <c r="BI282" s="82"/>
      <c r="BJ282" s="82" t="str">
        <f t="shared" si="32"/>
        <v>PL12</v>
      </c>
      <c r="BK282" s="53" t="str">
        <f t="shared" si="33"/>
        <v/>
      </c>
      <c r="BL282" s="53" t="s">
        <v>148</v>
      </c>
      <c r="BM282" s="53" t="s">
        <v>1020</v>
      </c>
      <c r="BN282" s="53" t="s">
        <v>1021</v>
      </c>
      <c r="BO282" s="53" t="s">
        <v>1022</v>
      </c>
      <c r="BP282" s="53">
        <v>2</v>
      </c>
      <c r="BQ282" s="83">
        <v>46088</v>
      </c>
      <c r="BR282" s="53"/>
      <c r="BS282" s="53"/>
    </row>
    <row r="283" spans="3:71" ht="14.25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31"/>
        <v>2</v>
      </c>
      <c r="M283" s="26">
        <f t="shared" si="22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67" t="e">
        <f>SUMIFS([1]Up!$J:$J,[1]Up!$D:$D,D283)</f>
        <v>#VALUE!</v>
      </c>
      <c r="BI283" s="82"/>
      <c r="BJ283" s="82" t="str">
        <f t="shared" si="32"/>
        <v>PL15</v>
      </c>
      <c r="BK283" s="53" t="str">
        <f t="shared" si="33"/>
        <v/>
      </c>
      <c r="BL283" s="53" t="s">
        <v>148</v>
      </c>
      <c r="BM283" s="53" t="s">
        <v>1093</v>
      </c>
      <c r="BN283" s="53" t="s">
        <v>1094</v>
      </c>
      <c r="BO283" s="53" t="s">
        <v>1303</v>
      </c>
      <c r="BP283" s="53">
        <v>2</v>
      </c>
      <c r="BQ283" s="83">
        <v>46088</v>
      </c>
      <c r="BR283" s="53"/>
      <c r="BS283" s="53"/>
    </row>
    <row r="284" spans="3:71" ht="14.25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31"/>
        <v>1</v>
      </c>
      <c r="M284" s="26">
        <f t="shared" si="22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67" t="e">
        <f>SUMIFS([1]Up!$J:$J,[1]Up!$D:$D,D284)</f>
        <v>#VALUE!</v>
      </c>
      <c r="BI284" s="82"/>
      <c r="BJ284" s="82" t="str">
        <f t="shared" si="32"/>
        <v>PL12</v>
      </c>
      <c r="BK284" s="53" t="str">
        <f t="shared" si="33"/>
        <v/>
      </c>
      <c r="BL284" s="53" t="s">
        <v>148</v>
      </c>
      <c r="BM284" s="53" t="s">
        <v>1020</v>
      </c>
      <c r="BN284" s="53" t="s">
        <v>1021</v>
      </c>
      <c r="BO284" s="53" t="s">
        <v>1022</v>
      </c>
      <c r="BP284" s="53">
        <v>1</v>
      </c>
      <c r="BQ284" s="83">
        <v>46088</v>
      </c>
      <c r="BR284" s="53"/>
      <c r="BS284" s="53"/>
    </row>
    <row r="285" spans="3:71" ht="14.25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31"/>
        <v>1</v>
      </c>
      <c r="M285" s="26">
        <f t="shared" ref="M285:M540" si="34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67" t="e">
        <f>SUMIFS([1]Up!$J:$J,[1]Up!$D:$D,D285)</f>
        <v>#VALUE!</v>
      </c>
      <c r="BI285" s="82"/>
      <c r="BJ285" s="82" t="str">
        <f t="shared" si="32"/>
        <v>PL12</v>
      </c>
      <c r="BK285" s="53" t="str">
        <f t="shared" si="33"/>
        <v/>
      </c>
      <c r="BL285" s="53" t="s">
        <v>148</v>
      </c>
      <c r="BM285" s="53" t="s">
        <v>1020</v>
      </c>
      <c r="BN285" s="53" t="s">
        <v>1021</v>
      </c>
      <c r="BO285" s="53" t="s">
        <v>1022</v>
      </c>
      <c r="BP285" s="53">
        <v>1</v>
      </c>
      <c r="BQ285" s="83">
        <v>46088</v>
      </c>
      <c r="BR285" s="53"/>
      <c r="BS285" s="53"/>
    </row>
    <row r="286" spans="3:71" ht="14.25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5">MIN(SUM(N286:BG286),I286)</f>
        <v>1</v>
      </c>
      <c r="M286" s="26">
        <f t="shared" si="34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67" t="e">
        <f>SUMIFS([1]Up!$J:$J,[1]Up!$D:$D,D286)</f>
        <v>#VALUE!</v>
      </c>
      <c r="BI286" s="82"/>
      <c r="BJ286" s="82" t="str">
        <f t="shared" ref="BJ286:BJ349" si="36">IFERROR(IF(C286="Plate",LEFT(E286,FIND("*",E286,1)-1),""),IF(C286="Plate",LEFT(E286,FIND("x",E286,1)-1),""))</f>
        <v>PL15</v>
      </c>
      <c r="BK286" s="53" t="str">
        <f t="shared" ref="BK286:BK349" si="37">IF(ROUND(SUM(N286:BG286)-I286,0)&gt;0,"Thừa "&amp;SUM(N286:BG286)-I286,"")</f>
        <v/>
      </c>
      <c r="BL286" s="53" t="s">
        <v>148</v>
      </c>
      <c r="BM286" s="53" t="s">
        <v>1093</v>
      </c>
      <c r="BN286" s="53" t="s">
        <v>1094</v>
      </c>
      <c r="BO286" s="53" t="s">
        <v>1303</v>
      </c>
      <c r="BP286" s="53">
        <v>1</v>
      </c>
      <c r="BQ286" s="83">
        <v>46088</v>
      </c>
      <c r="BR286" s="53"/>
      <c r="BS286" s="53"/>
    </row>
    <row r="287" spans="3:71" ht="14.25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5"/>
        <v>1</v>
      </c>
      <c r="M287" s="26">
        <f t="shared" si="34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67" t="e">
        <f>SUMIFS([1]Up!$J:$J,[1]Up!$D:$D,D287)</f>
        <v>#VALUE!</v>
      </c>
      <c r="BI287" s="82" t="s">
        <v>2071</v>
      </c>
      <c r="BJ287" s="82" t="str">
        <f t="shared" si="36"/>
        <v>PL12</v>
      </c>
      <c r="BK287" s="53" t="str">
        <f t="shared" si="37"/>
        <v>Thừa 2</v>
      </c>
      <c r="BL287" s="53" t="s">
        <v>154</v>
      </c>
      <c r="BM287" s="53" t="s">
        <v>1020</v>
      </c>
      <c r="BN287" s="53" t="s">
        <v>1021</v>
      </c>
      <c r="BO287" s="53" t="s">
        <v>57</v>
      </c>
      <c r="BP287" s="53">
        <v>1</v>
      </c>
      <c r="BQ287" s="83"/>
      <c r="BR287" s="53"/>
      <c r="BS287" s="53"/>
    </row>
    <row r="288" spans="3:71" ht="14.25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5"/>
        <v>1</v>
      </c>
      <c r="M288" s="26">
        <f t="shared" si="34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67" t="e">
        <f>SUMIFS([1]Up!$J:$J,[1]Up!$D:$D,D288)</f>
        <v>#VALUE!</v>
      </c>
      <c r="BI288" s="82" t="s">
        <v>2073</v>
      </c>
      <c r="BJ288" s="82" t="str">
        <f t="shared" si="36"/>
        <v>PL12</v>
      </c>
      <c r="BK288" s="53" t="str">
        <f t="shared" si="37"/>
        <v>Thừa 1</v>
      </c>
      <c r="BL288" s="53" t="s">
        <v>154</v>
      </c>
      <c r="BM288" s="53" t="s">
        <v>1020</v>
      </c>
      <c r="BN288" s="53" t="s">
        <v>1021</v>
      </c>
      <c r="BO288" s="53" t="s">
        <v>57</v>
      </c>
      <c r="BP288" s="53">
        <v>1</v>
      </c>
      <c r="BQ288" s="83"/>
      <c r="BR288" s="53"/>
      <c r="BS288" s="53"/>
    </row>
    <row r="289" spans="3:72" ht="14.25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5"/>
        <v>1</v>
      </c>
      <c r="M289" s="26">
        <f t="shared" si="34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67" t="e">
        <f>SUMIFS([1]Up!$J:$J,[1]Up!$D:$D,D289)</f>
        <v>#VALUE!</v>
      </c>
      <c r="BI289" s="82"/>
      <c r="BJ289" s="82" t="str">
        <f t="shared" si="36"/>
        <v>PL12</v>
      </c>
      <c r="BK289" s="53" t="str">
        <f t="shared" si="37"/>
        <v/>
      </c>
      <c r="BL289" s="53" t="s">
        <v>154</v>
      </c>
      <c r="BM289" s="53" t="s">
        <v>1020</v>
      </c>
      <c r="BN289" s="53" t="s">
        <v>1021</v>
      </c>
      <c r="BO289" s="53" t="s">
        <v>1398</v>
      </c>
      <c r="BP289" s="53">
        <v>1</v>
      </c>
      <c r="BQ289" s="83" t="s">
        <v>2222</v>
      </c>
      <c r="BR289" s="53"/>
      <c r="BS289" s="53"/>
    </row>
    <row r="290" spans="3:72" ht="14.25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5"/>
        <v>1</v>
      </c>
      <c r="M290" s="26">
        <f t="shared" si="34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67" t="e">
        <f>SUMIFS([1]Up!$J:$J,[1]Up!$D:$D,D290)</f>
        <v>#VALUE!</v>
      </c>
      <c r="BI290" s="82" t="s">
        <v>2072</v>
      </c>
      <c r="BJ290" s="82" t="str">
        <f t="shared" si="36"/>
        <v>PL12</v>
      </c>
      <c r="BK290" s="53" t="str">
        <f t="shared" si="37"/>
        <v>Thừa 3</v>
      </c>
      <c r="BL290" s="53" t="s">
        <v>154</v>
      </c>
      <c r="BM290" s="53" t="s">
        <v>1020</v>
      </c>
      <c r="BN290" s="53" t="s">
        <v>1021</v>
      </c>
      <c r="BO290" s="53" t="s">
        <v>57</v>
      </c>
      <c r="BP290" s="53">
        <v>1</v>
      </c>
      <c r="BQ290" s="83"/>
      <c r="BR290" s="53"/>
      <c r="BS290" s="53"/>
    </row>
    <row r="291" spans="3:72" ht="14.25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5"/>
        <v>3</v>
      </c>
      <c r="M291" s="26">
        <f t="shared" si="34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67" t="e">
        <f>SUMIFS([1]Up!$J:$J,[1]Up!$D:$D,D291)</f>
        <v>#VALUE!</v>
      </c>
      <c r="BI291" s="82"/>
      <c r="BJ291" s="82" t="str">
        <f t="shared" si="36"/>
        <v>PL12</v>
      </c>
      <c r="BK291" s="53" t="str">
        <f t="shared" si="37"/>
        <v/>
      </c>
      <c r="BL291" s="53" t="s">
        <v>148</v>
      </c>
      <c r="BM291" s="53" t="s">
        <v>1020</v>
      </c>
      <c r="BN291" s="53" t="s">
        <v>1021</v>
      </c>
      <c r="BO291" s="53" t="s">
        <v>1022</v>
      </c>
      <c r="BP291" s="53">
        <v>3</v>
      </c>
      <c r="BQ291" s="83">
        <v>46088</v>
      </c>
      <c r="BR291" s="53"/>
      <c r="BS291" s="53"/>
    </row>
    <row r="292" spans="3:72" ht="14.25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5"/>
        <v>3</v>
      </c>
      <c r="M292" s="26">
        <f t="shared" si="34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67" t="e">
        <f>SUMIFS([1]Up!$J:$J,[1]Up!$D:$D,D292)</f>
        <v>#VALUE!</v>
      </c>
      <c r="BI292" s="82"/>
      <c r="BJ292" s="82" t="str">
        <f t="shared" si="36"/>
        <v>PL12</v>
      </c>
      <c r="BK292" s="53" t="str">
        <f t="shared" si="37"/>
        <v/>
      </c>
      <c r="BL292" s="53" t="s">
        <v>148</v>
      </c>
      <c r="BM292" s="53" t="s">
        <v>1020</v>
      </c>
      <c r="BN292" s="53" t="s">
        <v>1021</v>
      </c>
      <c r="BO292" s="53" t="s">
        <v>1022</v>
      </c>
      <c r="BP292" s="53">
        <v>3</v>
      </c>
      <c r="BQ292" s="83">
        <v>46088</v>
      </c>
      <c r="BR292" s="53"/>
      <c r="BS292" s="53"/>
    </row>
    <row r="293" spans="3:72" ht="14.25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5"/>
        <v>2</v>
      </c>
      <c r="M293" s="26">
        <f t="shared" si="34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67" t="e">
        <f>SUMIFS([1]Up!$J:$J,[1]Up!$D:$D,D293)</f>
        <v>#VALUE!</v>
      </c>
      <c r="BI293" s="82"/>
      <c r="BJ293" s="82" t="str">
        <f t="shared" si="36"/>
        <v>PL15</v>
      </c>
      <c r="BK293" s="53" t="str">
        <f t="shared" si="37"/>
        <v/>
      </c>
      <c r="BL293" s="53" t="s">
        <v>148</v>
      </c>
      <c r="BM293" s="53" t="s">
        <v>1093</v>
      </c>
      <c r="BN293" s="53" t="s">
        <v>1094</v>
      </c>
      <c r="BO293" s="53" t="s">
        <v>1303</v>
      </c>
      <c r="BP293" s="53">
        <v>2</v>
      </c>
      <c r="BQ293" s="83">
        <v>46088</v>
      </c>
      <c r="BR293" s="53"/>
      <c r="BS293" s="53"/>
    </row>
    <row r="294" spans="3:72" ht="14.25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5"/>
        <v>2</v>
      </c>
      <c r="M294" s="26">
        <f t="shared" si="34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67" t="e">
        <f>SUMIFS([1]Up!$J:$J,[1]Up!$D:$D,D294)</f>
        <v>#VALUE!</v>
      </c>
      <c r="BI294" s="82"/>
      <c r="BJ294" s="82" t="str">
        <f t="shared" si="36"/>
        <v>PL20</v>
      </c>
      <c r="BK294" s="53" t="str">
        <f t="shared" si="37"/>
        <v/>
      </c>
      <c r="BL294" s="53" t="s">
        <v>148</v>
      </c>
      <c r="BM294" s="53" t="s">
        <v>1099</v>
      </c>
      <c r="BN294" s="53" t="s">
        <v>1100</v>
      </c>
      <c r="BO294" s="53" t="s">
        <v>1307</v>
      </c>
      <c r="BP294" s="53">
        <v>2</v>
      </c>
      <c r="BQ294" s="83">
        <v>46242</v>
      </c>
      <c r="BR294" s="53"/>
      <c r="BS294" s="53"/>
    </row>
    <row r="295" spans="3:72" ht="14.25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5"/>
        <v>1</v>
      </c>
      <c r="M295" s="26">
        <f t="shared" si="3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67" t="e">
        <f>SUMIFS([1]Up!$J:$J,[1]Up!$D:$D,D295)</f>
        <v>#VALUE!</v>
      </c>
      <c r="BI295" s="82"/>
      <c r="BJ295" s="82" t="str">
        <f t="shared" si="36"/>
        <v>PL12</v>
      </c>
      <c r="BK295" s="53" t="str">
        <f t="shared" si="37"/>
        <v/>
      </c>
      <c r="BL295" s="53" t="s">
        <v>154</v>
      </c>
      <c r="BM295" s="53" t="s">
        <v>1020</v>
      </c>
      <c r="BN295" s="53" t="s">
        <v>1021</v>
      </c>
      <c r="BO295" s="53" t="s">
        <v>1398</v>
      </c>
      <c r="BP295" s="53">
        <v>1</v>
      </c>
      <c r="BQ295" s="83" t="s">
        <v>2222</v>
      </c>
      <c r="BR295" s="53"/>
      <c r="BS295" s="53"/>
    </row>
    <row r="296" spans="3:72" ht="14.25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5"/>
        <v>1</v>
      </c>
      <c r="M296" s="26">
        <f t="shared" si="34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67" t="e">
        <f>SUMIFS([1]Up!$J:$J,[1]Up!$D:$D,D296)</f>
        <v>#VALUE!</v>
      </c>
      <c r="BI296" s="82" t="s">
        <v>2071</v>
      </c>
      <c r="BJ296" s="82" t="str">
        <f t="shared" si="36"/>
        <v>PL12</v>
      </c>
      <c r="BK296" s="53" t="str">
        <f t="shared" si="37"/>
        <v>Thừa 2</v>
      </c>
      <c r="BL296" s="53" t="s">
        <v>154</v>
      </c>
      <c r="BM296" s="53" t="s">
        <v>1020</v>
      </c>
      <c r="BN296" s="53" t="s">
        <v>1021</v>
      </c>
      <c r="BO296" s="53" t="s">
        <v>57</v>
      </c>
      <c r="BP296" s="53">
        <v>1</v>
      </c>
      <c r="BQ296" s="83"/>
      <c r="BR296" s="53"/>
      <c r="BS296" s="53"/>
    </row>
    <row r="297" spans="3:72" ht="14.25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5"/>
        <v>3</v>
      </c>
      <c r="M297" s="26">
        <f t="shared" si="34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67" t="e">
        <f>SUMIFS([1]Up!$J:$J,[1]Up!$D:$D,D297)</f>
        <v>#VALUE!</v>
      </c>
      <c r="BI297" s="82"/>
      <c r="BJ297" s="82" t="str">
        <f t="shared" si="36"/>
        <v>PL12</v>
      </c>
      <c r="BK297" s="53" t="str">
        <f t="shared" si="37"/>
        <v/>
      </c>
      <c r="BL297" s="53" t="s">
        <v>154</v>
      </c>
      <c r="BM297" s="53" t="s">
        <v>1020</v>
      </c>
      <c r="BN297" s="53" t="s">
        <v>1021</v>
      </c>
      <c r="BO297" s="53" t="s">
        <v>1022</v>
      </c>
      <c r="BP297" s="53">
        <v>3</v>
      </c>
      <c r="BQ297" s="83">
        <v>46088</v>
      </c>
      <c r="BR297" s="53"/>
      <c r="BS297" s="53"/>
    </row>
    <row r="298" spans="3:72" ht="14.25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5"/>
        <v>3</v>
      </c>
      <c r="M298" s="26">
        <f t="shared" si="34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67" t="e">
        <f>SUMIFS([1]Up!$J:$J,[1]Up!$D:$D,D298)</f>
        <v>#VALUE!</v>
      </c>
      <c r="BI298" s="82"/>
      <c r="BJ298" s="82" t="str">
        <f t="shared" si="36"/>
        <v>PL12</v>
      </c>
      <c r="BK298" s="53" t="str">
        <f t="shared" si="37"/>
        <v/>
      </c>
      <c r="BL298" s="53" t="s">
        <v>154</v>
      </c>
      <c r="BM298" s="53" t="s">
        <v>1020</v>
      </c>
      <c r="BN298" s="53" t="s">
        <v>1021</v>
      </c>
      <c r="BO298" s="53" t="s">
        <v>1022</v>
      </c>
      <c r="BP298" s="53">
        <v>3</v>
      </c>
      <c r="BQ298" s="83">
        <v>46088</v>
      </c>
      <c r="BR298" s="53"/>
      <c r="BS298" s="53"/>
    </row>
    <row r="299" spans="3:72" ht="14.25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5"/>
        <v>1</v>
      </c>
      <c r="M299" s="26">
        <f t="shared" si="34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67" t="e">
        <f>SUMIFS([1]Up!$J:$J,[1]Up!$D:$D,D299)</f>
        <v>#VALUE!</v>
      </c>
      <c r="BI299" s="82" t="s">
        <v>2071</v>
      </c>
      <c r="BJ299" s="82" t="str">
        <f t="shared" si="36"/>
        <v>PL12</v>
      </c>
      <c r="BK299" s="53" t="str">
        <f t="shared" si="37"/>
        <v>Thừa 2</v>
      </c>
      <c r="BL299" s="53" t="s">
        <v>154</v>
      </c>
      <c r="BM299" s="53" t="s">
        <v>1020</v>
      </c>
      <c r="BN299" s="53" t="s">
        <v>1021</v>
      </c>
      <c r="BO299" s="53" t="s">
        <v>57</v>
      </c>
      <c r="BP299" s="53">
        <v>1</v>
      </c>
      <c r="BQ299" s="83"/>
      <c r="BR299" s="53"/>
      <c r="BS299" s="53"/>
    </row>
    <row r="300" spans="3:72" ht="14.25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5"/>
        <v>6</v>
      </c>
      <c r="M300" s="26">
        <f t="shared" si="34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67" t="e">
        <f>SUMIFS([1]Up!$J:$J,[1]Up!$D:$D,D300)</f>
        <v>#VALUE!</v>
      </c>
      <c r="BI300" s="82"/>
      <c r="BJ300" s="82" t="str">
        <f t="shared" si="36"/>
        <v/>
      </c>
      <c r="BK300" s="53" t="str">
        <f t="shared" si="37"/>
        <v/>
      </c>
      <c r="BL300" s="53" t="s">
        <v>148</v>
      </c>
      <c r="BM300" s="53" t="s">
        <v>1078</v>
      </c>
      <c r="BN300" s="53" t="s">
        <v>1075</v>
      </c>
      <c r="BO300" s="84" t="s">
        <v>2161</v>
      </c>
      <c r="BP300" s="53">
        <v>24</v>
      </c>
      <c r="BQ300" s="83" t="s">
        <v>2224</v>
      </c>
      <c r="BR300" s="53"/>
      <c r="BS300" s="53"/>
      <c r="BT300" s="238"/>
    </row>
    <row r="301" spans="3:72" ht="14.25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5"/>
        <v>0</v>
      </c>
      <c r="M301" s="26">
        <f t="shared" si="34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67" t="e">
        <f>SUMIFS([1]Up!$J:$J,[1]Up!$D:$D,D301)</f>
        <v>#VALUE!</v>
      </c>
      <c r="BI301" s="82"/>
      <c r="BJ301" s="82" t="str">
        <f t="shared" si="36"/>
        <v>PL12</v>
      </c>
      <c r="BK301" s="53" t="str">
        <f t="shared" si="37"/>
        <v/>
      </c>
      <c r="BL301" s="53" t="s">
        <v>154</v>
      </c>
      <c r="BM301" s="53" t="s">
        <v>1020</v>
      </c>
      <c r="BN301" s="53" t="s">
        <v>1021</v>
      </c>
      <c r="BO301" s="53" t="s">
        <v>57</v>
      </c>
      <c r="BP301" s="53">
        <v>8</v>
      </c>
      <c r="BQ301" s="83"/>
      <c r="BR301" s="53"/>
      <c r="BS301" s="53"/>
    </row>
    <row r="302" spans="3:72" ht="14.25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5"/>
        <v>0</v>
      </c>
      <c r="M302" s="26">
        <f t="shared" si="34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67" t="e">
        <f>SUMIFS([1]Up!$J:$J,[1]Up!$D:$D,D302)</f>
        <v>#VALUE!</v>
      </c>
      <c r="BI302" s="82"/>
      <c r="BJ302" s="82" t="str">
        <f t="shared" si="36"/>
        <v>PL12</v>
      </c>
      <c r="BK302" s="53" t="str">
        <f t="shared" si="37"/>
        <v/>
      </c>
      <c r="BL302" s="53" t="s">
        <v>154</v>
      </c>
      <c r="BM302" s="53" t="s">
        <v>1020</v>
      </c>
      <c r="BN302" s="53" t="s">
        <v>1021</v>
      </c>
      <c r="BO302" s="84" t="s">
        <v>1449</v>
      </c>
      <c r="BP302" s="53">
        <v>4</v>
      </c>
      <c r="BQ302" s="83" t="s">
        <v>2227</v>
      </c>
      <c r="BR302" s="53"/>
      <c r="BS302" s="53"/>
      <c r="BT302" s="238"/>
    </row>
    <row r="303" spans="3:72" ht="14.25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5"/>
        <v>0</v>
      </c>
      <c r="M303" s="26">
        <f t="shared" si="34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67" t="e">
        <f>SUMIFS([1]Up!$J:$J,[1]Up!$D:$D,D303)</f>
        <v>#VALUE!</v>
      </c>
      <c r="BI303" s="82"/>
      <c r="BJ303" s="82" t="str">
        <f t="shared" si="36"/>
        <v>PL12</v>
      </c>
      <c r="BK303" s="53" t="str">
        <f t="shared" si="37"/>
        <v/>
      </c>
      <c r="BL303" s="53" t="s">
        <v>154</v>
      </c>
      <c r="BM303" s="53" t="s">
        <v>1020</v>
      </c>
      <c r="BN303" s="53" t="s">
        <v>1021</v>
      </c>
      <c r="BO303" s="84" t="s">
        <v>2173</v>
      </c>
      <c r="BP303" s="53">
        <v>4</v>
      </c>
      <c r="BQ303" s="83" t="s">
        <v>2227</v>
      </c>
      <c r="BR303" s="53"/>
      <c r="BS303" s="53"/>
      <c r="BT303" s="238"/>
    </row>
    <row r="304" spans="3:72" ht="14.25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5"/>
        <v>0</v>
      </c>
      <c r="M304" s="26">
        <f t="shared" si="34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67" t="e">
        <f>SUMIFS([1]Up!$J:$J,[1]Up!$D:$D,D304)</f>
        <v>#VALUE!</v>
      </c>
      <c r="BI304" s="82"/>
      <c r="BJ304" s="82" t="str">
        <f t="shared" si="36"/>
        <v>PL12</v>
      </c>
      <c r="BK304" s="53" t="str">
        <f t="shared" si="37"/>
        <v/>
      </c>
      <c r="BL304" s="53" t="s">
        <v>154</v>
      </c>
      <c r="BM304" s="53" t="s">
        <v>1020</v>
      </c>
      <c r="BN304" s="53" t="s">
        <v>1021</v>
      </c>
      <c r="BO304" s="53" t="s">
        <v>57</v>
      </c>
      <c r="BP304" s="53">
        <v>4</v>
      </c>
      <c r="BQ304" s="83"/>
      <c r="BR304" s="53"/>
      <c r="BS304" s="53"/>
    </row>
    <row r="305" spans="3:72" ht="14.25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5"/>
        <v>0</v>
      </c>
      <c r="M305" s="26">
        <f t="shared" si="34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67" t="e">
        <f>SUMIFS([1]Up!$J:$J,[1]Up!$D:$D,D305)</f>
        <v>#VALUE!</v>
      </c>
      <c r="BI305" s="82"/>
      <c r="BJ305" s="82" t="str">
        <f t="shared" si="36"/>
        <v>PL12</v>
      </c>
      <c r="BK305" s="53" t="str">
        <f t="shared" si="37"/>
        <v/>
      </c>
      <c r="BL305" s="53" t="s">
        <v>154</v>
      </c>
      <c r="BM305" s="53" t="s">
        <v>1020</v>
      </c>
      <c r="BN305" s="53" t="s">
        <v>1021</v>
      </c>
      <c r="BO305" s="53" t="s">
        <v>57</v>
      </c>
      <c r="BP305" s="53">
        <v>4</v>
      </c>
      <c r="BQ305" s="83"/>
      <c r="BR305" s="53"/>
      <c r="BS305" s="53"/>
    </row>
    <row r="306" spans="3:72" ht="14.25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5"/>
        <v>2</v>
      </c>
      <c r="M306" s="26">
        <f t="shared" si="34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67" t="e">
        <f>SUMIFS([1]Up!$J:$J,[1]Up!$D:$D,D306)</f>
        <v>#VALUE!</v>
      </c>
      <c r="BI306" s="82"/>
      <c r="BJ306" s="82" t="str">
        <f t="shared" si="36"/>
        <v>PL15</v>
      </c>
      <c r="BK306" s="53" t="str">
        <f t="shared" si="37"/>
        <v/>
      </c>
      <c r="BL306" s="53" t="s">
        <v>148</v>
      </c>
      <c r="BM306" s="53" t="s">
        <v>1093</v>
      </c>
      <c r="BN306" s="53" t="s">
        <v>1094</v>
      </c>
      <c r="BO306" s="84" t="s">
        <v>2155</v>
      </c>
      <c r="BP306" s="53">
        <v>8</v>
      </c>
      <c r="BQ306" s="83" t="s">
        <v>2224</v>
      </c>
      <c r="BR306" s="53"/>
      <c r="BS306" s="53"/>
      <c r="BT306" s="238"/>
    </row>
    <row r="307" spans="3:72" ht="14.25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5"/>
        <v>6</v>
      </c>
      <c r="M307" s="26">
        <f t="shared" si="34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67" t="e">
        <f>SUMIFS([1]Up!$J:$J,[1]Up!$D:$D,D307)</f>
        <v>#VALUE!</v>
      </c>
      <c r="BI307" s="82"/>
      <c r="BJ307" s="82" t="str">
        <f t="shared" si="36"/>
        <v>PL16</v>
      </c>
      <c r="BK307" s="53" t="str">
        <f t="shared" si="37"/>
        <v/>
      </c>
      <c r="BL307" s="53" t="s">
        <v>148</v>
      </c>
      <c r="BM307" s="53" t="s">
        <v>987</v>
      </c>
      <c r="BN307" s="53" t="s">
        <v>988</v>
      </c>
      <c r="BO307" s="84" t="s">
        <v>2160</v>
      </c>
      <c r="BP307" s="53">
        <v>24</v>
      </c>
      <c r="BQ307" s="83" t="s">
        <v>2225</v>
      </c>
      <c r="BR307" s="53"/>
      <c r="BS307" s="53"/>
      <c r="BT307" s="238"/>
    </row>
    <row r="308" spans="3:72" ht="14.25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5"/>
        <v>6</v>
      </c>
      <c r="M308" s="26">
        <f t="shared" si="34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67" t="e">
        <f>SUMIFS([1]Up!$J:$J,[1]Up!$D:$D,D308)</f>
        <v>#VALUE!</v>
      </c>
      <c r="BI308" s="82"/>
      <c r="BJ308" s="82" t="str">
        <f t="shared" si="36"/>
        <v>PL16</v>
      </c>
      <c r="BK308" s="53" t="str">
        <f t="shared" si="37"/>
        <v/>
      </c>
      <c r="BL308" s="53" t="s">
        <v>148</v>
      </c>
      <c r="BM308" s="53" t="s">
        <v>987</v>
      </c>
      <c r="BN308" s="53" t="s">
        <v>988</v>
      </c>
      <c r="BO308" s="84" t="s">
        <v>2160</v>
      </c>
      <c r="BP308" s="53">
        <v>24</v>
      </c>
      <c r="BQ308" s="83" t="s">
        <v>2225</v>
      </c>
      <c r="BR308" s="53"/>
      <c r="BS308" s="53"/>
      <c r="BT308" s="238"/>
    </row>
    <row r="309" spans="3:72" ht="14.25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5"/>
        <v>6</v>
      </c>
      <c r="M309" s="26">
        <f t="shared" si="34"/>
        <v>6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>
        <v>4</v>
      </c>
      <c r="BF309" s="26"/>
      <c r="BG309" s="26"/>
      <c r="BH309" s="67" t="e">
        <f>SUMIFS([1]Up!$J:$J,[1]Up!$D:$D,D309)</f>
        <v>#VALUE!</v>
      </c>
      <c r="BI309" s="82"/>
      <c r="BJ309" s="82" t="str">
        <f t="shared" si="36"/>
        <v>PL12</v>
      </c>
      <c r="BK309" s="53" t="str">
        <f t="shared" si="37"/>
        <v/>
      </c>
      <c r="BL309" s="53" t="s">
        <v>148</v>
      </c>
      <c r="BM309" s="53" t="s">
        <v>1020</v>
      </c>
      <c r="BN309" s="53" t="s">
        <v>1021</v>
      </c>
      <c r="BO309" s="84" t="s">
        <v>2159</v>
      </c>
      <c r="BP309" s="53">
        <v>24</v>
      </c>
      <c r="BQ309" s="83">
        <v>46302</v>
      </c>
      <c r="BR309" s="53"/>
      <c r="BS309" s="53"/>
      <c r="BT309" s="238"/>
    </row>
    <row r="310" spans="3:72" ht="14.25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5"/>
        <v>6</v>
      </c>
      <c r="M310" s="26">
        <f t="shared" si="34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67" t="e">
        <f>SUMIFS([1]Up!$J:$J,[1]Up!$D:$D,D310)</f>
        <v>#VALUE!</v>
      </c>
      <c r="BI310" s="82"/>
      <c r="BJ310" s="82" t="str">
        <f t="shared" si="36"/>
        <v>PL12</v>
      </c>
      <c r="BK310" s="53" t="str">
        <f t="shared" si="37"/>
        <v/>
      </c>
      <c r="BL310" s="53" t="s">
        <v>148</v>
      </c>
      <c r="BM310" s="53" t="s">
        <v>1020</v>
      </c>
      <c r="BN310" s="53" t="s">
        <v>1021</v>
      </c>
      <c r="BO310" s="84" t="s">
        <v>2159</v>
      </c>
      <c r="BP310" s="53">
        <v>24</v>
      </c>
      <c r="BQ310" s="83">
        <v>46302</v>
      </c>
      <c r="BR310" s="53"/>
      <c r="BS310" s="53"/>
      <c r="BT310" s="238"/>
    </row>
    <row r="311" spans="3:72" ht="14.25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5"/>
        <v>2</v>
      </c>
      <c r="M311" s="26">
        <f t="shared" si="34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67" t="e">
        <f>SUMIFS([1]Up!$J:$J,[1]Up!$D:$D,D311)</f>
        <v>#VALUE!</v>
      </c>
      <c r="BI311" s="82" t="s">
        <v>2228</v>
      </c>
      <c r="BJ311" s="82" t="str">
        <f t="shared" si="36"/>
        <v>PL12</v>
      </c>
      <c r="BK311" s="53" t="str">
        <f t="shared" si="37"/>
        <v/>
      </c>
      <c r="BL311" s="53" t="s">
        <v>154</v>
      </c>
      <c r="BM311" s="53" t="s">
        <v>1020</v>
      </c>
      <c r="BN311" s="53" t="s">
        <v>1021</v>
      </c>
      <c r="BO311" s="53" t="s">
        <v>57</v>
      </c>
      <c r="BP311" s="53">
        <v>4</v>
      </c>
      <c r="BQ311" s="83"/>
      <c r="BR311" s="53"/>
      <c r="BS311" s="53"/>
    </row>
    <row r="312" spans="3:72" ht="14.25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5"/>
        <v>0</v>
      </c>
      <c r="M312" s="26">
        <f t="shared" si="34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67" t="e">
        <f>SUMIFS([1]Up!$J:$J,[1]Up!$D:$D,D312)</f>
        <v>#VALUE!</v>
      </c>
      <c r="BI312" s="82"/>
      <c r="BJ312" s="82" t="str">
        <f t="shared" si="36"/>
        <v>PL12</v>
      </c>
      <c r="BK312" s="53" t="str">
        <f t="shared" si="37"/>
        <v/>
      </c>
      <c r="BL312" s="53" t="s">
        <v>154</v>
      </c>
      <c r="BM312" s="53" t="s">
        <v>1020</v>
      </c>
      <c r="BN312" s="53" t="s">
        <v>1021</v>
      </c>
      <c r="BO312" s="84" t="s">
        <v>2154</v>
      </c>
      <c r="BP312" s="53">
        <v>4</v>
      </c>
      <c r="BQ312" s="83" t="s">
        <v>2227</v>
      </c>
      <c r="BR312" s="53"/>
      <c r="BS312" s="53"/>
      <c r="BT312" s="238"/>
    </row>
    <row r="313" spans="3:72" ht="14.25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5"/>
        <v>2</v>
      </c>
      <c r="M313" s="26">
        <f t="shared" si="34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67" t="e">
        <f>SUMIFS([1]Up!$J:$J,[1]Up!$D:$D,D313)</f>
        <v>#VALUE!</v>
      </c>
      <c r="BI313" s="82" t="s">
        <v>2244</v>
      </c>
      <c r="BJ313" s="82" t="str">
        <f t="shared" si="36"/>
        <v>PL12</v>
      </c>
      <c r="BK313" s="53" t="str">
        <f t="shared" si="37"/>
        <v>Thừa 1</v>
      </c>
      <c r="BL313" s="53" t="s">
        <v>154</v>
      </c>
      <c r="BM313" s="53" t="s">
        <v>1020</v>
      </c>
      <c r="BN313" s="53" t="s">
        <v>1021</v>
      </c>
      <c r="BO313" s="53" t="s">
        <v>57</v>
      </c>
      <c r="BP313" s="53">
        <v>4</v>
      </c>
      <c r="BQ313" s="83"/>
      <c r="BR313" s="53"/>
      <c r="BS313" s="53"/>
    </row>
    <row r="314" spans="3:72" ht="14.25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5"/>
        <v>3</v>
      </c>
      <c r="M314" s="26">
        <f t="shared" si="34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>
        <v>2</v>
      </c>
      <c r="BF314" s="26"/>
      <c r="BG314" s="26"/>
      <c r="BH314" s="67" t="e">
        <f>SUMIFS([1]Up!$J:$J,[1]Up!$D:$D,D314)</f>
        <v>#VALUE!</v>
      </c>
      <c r="BI314" s="82"/>
      <c r="BJ314" s="82" t="str">
        <f t="shared" si="36"/>
        <v>PL12</v>
      </c>
      <c r="BK314" s="53" t="str">
        <f t="shared" si="37"/>
        <v/>
      </c>
      <c r="BL314" s="53" t="s">
        <v>148</v>
      </c>
      <c r="BM314" s="53" t="s">
        <v>1020</v>
      </c>
      <c r="BN314" s="53" t="s">
        <v>1021</v>
      </c>
      <c r="BO314" s="84" t="s">
        <v>2159</v>
      </c>
      <c r="BP314" s="53">
        <v>12</v>
      </c>
      <c r="BQ314" s="83">
        <v>46302</v>
      </c>
      <c r="BR314" s="53"/>
      <c r="BS314" s="53"/>
      <c r="BT314" s="238"/>
    </row>
    <row r="315" spans="3:72" ht="14.25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5"/>
        <v>3</v>
      </c>
      <c r="M315" s="26">
        <f t="shared" si="34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67" t="e">
        <f>SUMIFS([1]Up!$J:$J,[1]Up!$D:$D,D315)</f>
        <v>#VALUE!</v>
      </c>
      <c r="BI315" s="82"/>
      <c r="BJ315" s="82" t="str">
        <f t="shared" si="36"/>
        <v>PL12</v>
      </c>
      <c r="BK315" s="53" t="str">
        <f t="shared" si="37"/>
        <v/>
      </c>
      <c r="BL315" s="53" t="s">
        <v>148</v>
      </c>
      <c r="BM315" s="53" t="s">
        <v>1020</v>
      </c>
      <c r="BN315" s="53" t="s">
        <v>1021</v>
      </c>
      <c r="BO315" s="84" t="s">
        <v>2159</v>
      </c>
      <c r="BP315" s="53">
        <v>12</v>
      </c>
      <c r="BQ315" s="83">
        <v>46302</v>
      </c>
      <c r="BR315" s="53"/>
      <c r="BS315" s="53"/>
      <c r="BT315" s="238"/>
    </row>
    <row r="316" spans="3:72" ht="14.25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5"/>
        <v>2</v>
      </c>
      <c r="M316" s="26">
        <f t="shared" si="34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67" t="e">
        <f>SUMIFS([1]Up!$J:$J,[1]Up!$D:$D,D316)</f>
        <v>#VALUE!</v>
      </c>
      <c r="BI316" s="82"/>
      <c r="BJ316" s="82" t="str">
        <f t="shared" si="36"/>
        <v>PL15</v>
      </c>
      <c r="BK316" s="53" t="str">
        <f t="shared" si="37"/>
        <v/>
      </c>
      <c r="BL316" s="53" t="s">
        <v>148</v>
      </c>
      <c r="BM316" s="53" t="s">
        <v>1093</v>
      </c>
      <c r="BN316" s="53" t="s">
        <v>1094</v>
      </c>
      <c r="BO316" s="84" t="s">
        <v>2155</v>
      </c>
      <c r="BP316" s="53">
        <v>8</v>
      </c>
      <c r="BQ316" s="83" t="s">
        <v>2224</v>
      </c>
      <c r="BR316" s="53"/>
      <c r="BS316" s="53"/>
      <c r="BT316" s="238"/>
    </row>
    <row r="317" spans="3:72" ht="14.25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5"/>
        <v>2</v>
      </c>
      <c r="M317" s="26">
        <f t="shared" si="34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67" t="e">
        <f>SUMIFS([1]Up!$J:$J,[1]Up!$D:$D,D317)</f>
        <v>#VALUE!</v>
      </c>
      <c r="BI317" s="82"/>
      <c r="BJ317" s="82" t="str">
        <f t="shared" si="36"/>
        <v>PL20</v>
      </c>
      <c r="BK317" s="53" t="str">
        <f t="shared" si="37"/>
        <v/>
      </c>
      <c r="BL317" s="53" t="s">
        <v>148</v>
      </c>
      <c r="BM317" s="53" t="s">
        <v>1099</v>
      </c>
      <c r="BN317" s="53" t="s">
        <v>1100</v>
      </c>
      <c r="BO317" s="84" t="s">
        <v>2157</v>
      </c>
      <c r="BP317" s="53">
        <v>8</v>
      </c>
      <c r="BQ317" s="83">
        <v>46242</v>
      </c>
      <c r="BR317" s="53"/>
      <c r="BS317" s="53"/>
      <c r="BT317" s="238"/>
    </row>
    <row r="318" spans="3:72" ht="14.25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5"/>
        <v>0</v>
      </c>
      <c r="M318" s="26">
        <f t="shared" si="34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67" t="e">
        <f>SUMIFS([1]Up!$J:$J,[1]Up!$D:$D,D318)</f>
        <v>#VALUE!</v>
      </c>
      <c r="BI318" s="82"/>
      <c r="BJ318" s="82" t="str">
        <f t="shared" si="36"/>
        <v>PL12</v>
      </c>
      <c r="BK318" s="53" t="str">
        <f t="shared" si="37"/>
        <v/>
      </c>
      <c r="BL318" s="53" t="s">
        <v>154</v>
      </c>
      <c r="BM318" s="53" t="s">
        <v>1020</v>
      </c>
      <c r="BN318" s="53" t="s">
        <v>1021</v>
      </c>
      <c r="BO318" s="84" t="s">
        <v>2154</v>
      </c>
      <c r="BP318" s="53">
        <v>4</v>
      </c>
      <c r="BQ318" s="83" t="s">
        <v>2227</v>
      </c>
      <c r="BR318" s="53"/>
      <c r="BS318" s="53"/>
      <c r="BT318" s="238"/>
    </row>
    <row r="319" spans="3:72" ht="14.25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5"/>
        <v>2</v>
      </c>
      <c r="M319" s="26">
        <f t="shared" si="34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67" t="e">
        <f>SUMIFS([1]Up!$J:$J,[1]Up!$D:$D,D319)</f>
        <v>#VALUE!</v>
      </c>
      <c r="BI319" s="82" t="s">
        <v>2077</v>
      </c>
      <c r="BJ319" s="82" t="str">
        <f t="shared" si="36"/>
        <v>PL12</v>
      </c>
      <c r="BK319" s="53" t="str">
        <f t="shared" si="37"/>
        <v>Thừa 1</v>
      </c>
      <c r="BL319" s="53" t="s">
        <v>154</v>
      </c>
      <c r="BM319" s="53" t="s">
        <v>1020</v>
      </c>
      <c r="BN319" s="53" t="s">
        <v>1021</v>
      </c>
      <c r="BO319" s="53" t="s">
        <v>57</v>
      </c>
      <c r="BP319" s="53">
        <v>4</v>
      </c>
      <c r="BQ319" s="83"/>
      <c r="BR319" s="53"/>
      <c r="BS319" s="53"/>
    </row>
    <row r="320" spans="3:72" ht="14.25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5"/>
        <v>3</v>
      </c>
      <c r="M320" s="26">
        <f t="shared" si="34"/>
        <v>3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>
        <v>3</v>
      </c>
      <c r="BF320" s="26"/>
      <c r="BG320" s="26"/>
      <c r="BH320" s="67" t="e">
        <f>SUMIFS([1]Up!$J:$J,[1]Up!$D:$D,D320)</f>
        <v>#VALUE!</v>
      </c>
      <c r="BI320" s="82"/>
      <c r="BJ320" s="82" t="str">
        <f t="shared" si="36"/>
        <v>PL12</v>
      </c>
      <c r="BK320" s="53" t="str">
        <f t="shared" si="37"/>
        <v/>
      </c>
      <c r="BL320" s="53" t="s">
        <v>148</v>
      </c>
      <c r="BM320" s="53" t="s">
        <v>1020</v>
      </c>
      <c r="BN320" s="53" t="s">
        <v>1021</v>
      </c>
      <c r="BO320" s="84" t="s">
        <v>2159</v>
      </c>
      <c r="BP320" s="53">
        <v>12</v>
      </c>
      <c r="BQ320" s="83">
        <v>46302</v>
      </c>
      <c r="BR320" s="53"/>
      <c r="BS320" s="53"/>
      <c r="BT320" s="238"/>
    </row>
    <row r="321" spans="3:72" ht="14.25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5"/>
        <v>3</v>
      </c>
      <c r="M321" s="26">
        <f t="shared" si="34"/>
        <v>3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>
        <v>3</v>
      </c>
      <c r="BF321" s="26"/>
      <c r="BG321" s="26"/>
      <c r="BH321" s="67" t="e">
        <f>SUMIFS([1]Up!$J:$J,[1]Up!$D:$D,D321)</f>
        <v>#VALUE!</v>
      </c>
      <c r="BI321" s="82"/>
      <c r="BJ321" s="82" t="str">
        <f t="shared" si="36"/>
        <v>PL12</v>
      </c>
      <c r="BK321" s="53" t="str">
        <f t="shared" si="37"/>
        <v/>
      </c>
      <c r="BL321" s="53" t="s">
        <v>148</v>
      </c>
      <c r="BM321" s="53" t="s">
        <v>1020</v>
      </c>
      <c r="BN321" s="53" t="s">
        <v>1021</v>
      </c>
      <c r="BO321" s="84" t="s">
        <v>2159</v>
      </c>
      <c r="BP321" s="53">
        <v>12</v>
      </c>
      <c r="BQ321" s="83">
        <v>46302</v>
      </c>
      <c r="BR321" s="53"/>
      <c r="BS321" s="53"/>
      <c r="BT321" s="238"/>
    </row>
    <row r="322" spans="3:72" ht="14.25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5"/>
        <v>2</v>
      </c>
      <c r="M322" s="26">
        <f t="shared" si="34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67" t="e">
        <f>SUMIFS([1]Up!$J:$J,[1]Up!$D:$D,D322)</f>
        <v>#VALUE!</v>
      </c>
      <c r="BI322" s="82" t="s">
        <v>2242</v>
      </c>
      <c r="BJ322" s="82" t="str">
        <f t="shared" si="36"/>
        <v>PL12</v>
      </c>
      <c r="BK322" s="53" t="str">
        <f t="shared" si="37"/>
        <v/>
      </c>
      <c r="BL322" s="53" t="s">
        <v>154</v>
      </c>
      <c r="BM322" s="53" t="s">
        <v>1020</v>
      </c>
      <c r="BN322" s="53" t="s">
        <v>1021</v>
      </c>
      <c r="BO322" s="53" t="s">
        <v>57</v>
      </c>
      <c r="BP322" s="53">
        <v>4</v>
      </c>
      <c r="BQ322" s="83"/>
      <c r="BR322" s="53"/>
      <c r="BS322" s="53"/>
    </row>
    <row r="323" spans="3:72" ht="14.25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5"/>
        <v>0</v>
      </c>
      <c r="M323" s="26">
        <f t="shared" si="34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67" t="e">
        <f>SUMIFS([1]Up!$J:$J,[1]Up!$D:$D,D323)</f>
        <v>#VALUE!</v>
      </c>
      <c r="BI323" s="82"/>
      <c r="BJ323" s="82" t="str">
        <f t="shared" si="36"/>
        <v>PL12</v>
      </c>
      <c r="BK323" s="53" t="str">
        <f t="shared" si="37"/>
        <v/>
      </c>
      <c r="BL323" s="53" t="s">
        <v>154</v>
      </c>
      <c r="BM323" s="53" t="s">
        <v>1020</v>
      </c>
      <c r="BN323" s="53" t="s">
        <v>1021</v>
      </c>
      <c r="BO323" s="84" t="s">
        <v>2154</v>
      </c>
      <c r="BP323" s="53">
        <v>4</v>
      </c>
      <c r="BQ323" s="83" t="s">
        <v>2227</v>
      </c>
      <c r="BR323" s="53"/>
      <c r="BS323" s="53"/>
      <c r="BT323" s="238"/>
    </row>
    <row r="324" spans="3:72" ht="14.25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5"/>
        <v>2</v>
      </c>
      <c r="M324" s="26">
        <f t="shared" si="34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67" t="e">
        <f>SUMIFS([1]Up!$J:$J,[1]Up!$D:$D,D324)</f>
        <v>#VALUE!</v>
      </c>
      <c r="BI324" s="82" t="s">
        <v>2249</v>
      </c>
      <c r="BJ324" s="82" t="str">
        <f t="shared" si="36"/>
        <v>PL12</v>
      </c>
      <c r="BK324" s="53" t="str">
        <f t="shared" si="37"/>
        <v>Thừa 1</v>
      </c>
      <c r="BL324" s="53" t="s">
        <v>154</v>
      </c>
      <c r="BM324" s="53" t="s">
        <v>1020</v>
      </c>
      <c r="BN324" s="53" t="s">
        <v>1021</v>
      </c>
      <c r="BO324" s="53" t="s">
        <v>57</v>
      </c>
      <c r="BP324" s="53">
        <v>4</v>
      </c>
      <c r="BQ324" s="83"/>
      <c r="BR324" s="53"/>
      <c r="BS324" s="53"/>
    </row>
    <row r="325" spans="3:72" ht="14.25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5"/>
        <v>3</v>
      </c>
      <c r="M325" s="26">
        <f t="shared" si="34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>
        <v>3</v>
      </c>
      <c r="BF325" s="26"/>
      <c r="BG325" s="26"/>
      <c r="BH325" s="67" t="e">
        <f>SUMIFS([1]Up!$J:$J,[1]Up!$D:$D,D325)</f>
        <v>#VALUE!</v>
      </c>
      <c r="BI325" s="82"/>
      <c r="BJ325" s="82" t="str">
        <f t="shared" si="36"/>
        <v>PL12</v>
      </c>
      <c r="BK325" s="53" t="str">
        <f t="shared" si="37"/>
        <v/>
      </c>
      <c r="BL325" s="53" t="s">
        <v>148</v>
      </c>
      <c r="BM325" s="53" t="s">
        <v>1020</v>
      </c>
      <c r="BN325" s="53" t="s">
        <v>1021</v>
      </c>
      <c r="BO325" s="84" t="s">
        <v>2159</v>
      </c>
      <c r="BP325" s="53">
        <v>12</v>
      </c>
      <c r="BQ325" s="83">
        <v>46302</v>
      </c>
      <c r="BR325" s="53"/>
      <c r="BS325" s="53"/>
      <c r="BT325" s="238"/>
    </row>
    <row r="326" spans="3:72" ht="14.25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5"/>
        <v>3</v>
      </c>
      <c r="M326" s="26">
        <f t="shared" si="34"/>
        <v>3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>
        <v>3</v>
      </c>
      <c r="BF326" s="26"/>
      <c r="BG326" s="26"/>
      <c r="BH326" s="67" t="e">
        <f>SUMIFS([1]Up!$J:$J,[1]Up!$D:$D,D326)</f>
        <v>#VALUE!</v>
      </c>
      <c r="BI326" s="82"/>
      <c r="BJ326" s="82" t="str">
        <f t="shared" si="36"/>
        <v>PL12</v>
      </c>
      <c r="BK326" s="53" t="str">
        <f t="shared" si="37"/>
        <v/>
      </c>
      <c r="BL326" s="53" t="s">
        <v>148</v>
      </c>
      <c r="BM326" s="53" t="s">
        <v>1020</v>
      </c>
      <c r="BN326" s="53" t="s">
        <v>1021</v>
      </c>
      <c r="BO326" s="84" t="s">
        <v>2159</v>
      </c>
      <c r="BP326" s="53">
        <v>12</v>
      </c>
      <c r="BQ326" s="83">
        <v>46302</v>
      </c>
      <c r="BR326" s="53"/>
      <c r="BS326" s="53"/>
      <c r="BT326" s="238"/>
    </row>
    <row r="327" spans="3:72" ht="14.25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5"/>
        <v>2</v>
      </c>
      <c r="M327" s="26">
        <f t="shared" si="34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67" t="e">
        <f>SUMIFS([1]Up!$J:$J,[1]Up!$D:$D,D327)</f>
        <v>#VALUE!</v>
      </c>
      <c r="BI327" s="82" t="s">
        <v>2242</v>
      </c>
      <c r="BJ327" s="82" t="str">
        <f t="shared" si="36"/>
        <v>PL12</v>
      </c>
      <c r="BK327" s="53" t="str">
        <f t="shared" si="37"/>
        <v/>
      </c>
      <c r="BL327" s="53" t="s">
        <v>154</v>
      </c>
      <c r="BM327" s="53" t="s">
        <v>1020</v>
      </c>
      <c r="BN327" s="53" t="s">
        <v>1021</v>
      </c>
      <c r="BO327" s="53" t="s">
        <v>57</v>
      </c>
      <c r="BP327" s="53">
        <v>4</v>
      </c>
      <c r="BQ327" s="83"/>
      <c r="BR327" s="53"/>
      <c r="BS327" s="53"/>
    </row>
    <row r="328" spans="3:72" ht="14.25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5"/>
        <v>3</v>
      </c>
      <c r="M328" s="26">
        <f t="shared" si="34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67" t="e">
        <f>SUMIFS([1]Up!$J:$J,[1]Up!$D:$D,D328)</f>
        <v>#VALUE!</v>
      </c>
      <c r="BI328" s="82"/>
      <c r="BJ328" s="82" t="str">
        <f t="shared" si="36"/>
        <v/>
      </c>
      <c r="BK328" s="53" t="str">
        <f t="shared" si="37"/>
        <v/>
      </c>
      <c r="BL328" s="53" t="s">
        <v>148</v>
      </c>
      <c r="BM328" s="53" t="s">
        <v>1078</v>
      </c>
      <c r="BN328" s="53" t="s">
        <v>1075</v>
      </c>
      <c r="BO328" s="53" t="s">
        <v>1289</v>
      </c>
      <c r="BP328" s="53">
        <v>3</v>
      </c>
      <c r="BQ328" s="83">
        <v>46362</v>
      </c>
      <c r="BR328" s="53"/>
      <c r="BS328" s="53"/>
    </row>
    <row r="329" spans="3:72" ht="14.25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5"/>
        <v>1</v>
      </c>
      <c r="M329" s="26">
        <f t="shared" si="34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67" t="e">
        <f>SUMIFS([1]Up!$J:$J,[1]Up!$D:$D,D329)</f>
        <v>#VALUE!</v>
      </c>
      <c r="BI329" s="82" t="s">
        <v>2228</v>
      </c>
      <c r="BJ329" s="82" t="str">
        <f t="shared" si="36"/>
        <v>PL10</v>
      </c>
      <c r="BK329" s="53" t="str">
        <f t="shared" si="37"/>
        <v>Thừa 1</v>
      </c>
      <c r="BL329" s="53" t="s">
        <v>154</v>
      </c>
      <c r="BM329" s="53" t="s">
        <v>1004</v>
      </c>
      <c r="BN329" s="53" t="s">
        <v>1005</v>
      </c>
      <c r="BO329" s="53" t="s">
        <v>57</v>
      </c>
      <c r="BP329" s="53">
        <v>1</v>
      </c>
      <c r="BQ329" s="83"/>
      <c r="BR329" s="53"/>
      <c r="BS329" s="53"/>
    </row>
    <row r="330" spans="3:72" ht="14.25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5"/>
        <v>1</v>
      </c>
      <c r="M330" s="26">
        <f t="shared" si="34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67" t="e">
        <f>SUMIFS([1]Up!$J:$J,[1]Up!$D:$D,D330)</f>
        <v>#VALUE!</v>
      </c>
      <c r="BI330" s="82" t="s">
        <v>2073</v>
      </c>
      <c r="BJ330" s="82" t="str">
        <f t="shared" si="36"/>
        <v>PL12</v>
      </c>
      <c r="BK330" s="53" t="str">
        <f t="shared" si="37"/>
        <v>Thừa 1</v>
      </c>
      <c r="BL330" s="53" t="s">
        <v>154</v>
      </c>
      <c r="BM330" s="53" t="s">
        <v>1020</v>
      </c>
      <c r="BN330" s="53" t="s">
        <v>1021</v>
      </c>
      <c r="BO330" s="53" t="s">
        <v>57</v>
      </c>
      <c r="BP330" s="53">
        <v>1</v>
      </c>
      <c r="BQ330" s="83"/>
      <c r="BR330" s="53"/>
      <c r="BS330" s="53"/>
    </row>
    <row r="331" spans="3:72" ht="14.25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5"/>
        <v>1</v>
      </c>
      <c r="M331" s="26">
        <f t="shared" si="34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67" t="e">
        <f>SUMIFS([1]Up!$J:$J,[1]Up!$D:$D,D331)</f>
        <v>#VALUE!</v>
      </c>
      <c r="BI331" s="82" t="s">
        <v>2073</v>
      </c>
      <c r="BJ331" s="82" t="str">
        <f t="shared" si="36"/>
        <v>PL12</v>
      </c>
      <c r="BK331" s="53" t="str">
        <f t="shared" si="37"/>
        <v>Thừa 1</v>
      </c>
      <c r="BL331" s="53" t="s">
        <v>154</v>
      </c>
      <c r="BM331" s="53" t="s">
        <v>1020</v>
      </c>
      <c r="BN331" s="53" t="s">
        <v>1021</v>
      </c>
      <c r="BO331" s="53" t="s">
        <v>57</v>
      </c>
      <c r="BP331" s="53">
        <v>1</v>
      </c>
      <c r="BQ331" s="83"/>
      <c r="BR331" s="53"/>
      <c r="BS331" s="53"/>
    </row>
    <row r="332" spans="3:72" ht="14.25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5"/>
        <v>3</v>
      </c>
      <c r="M332" s="26">
        <f t="shared" si="34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67" t="e">
        <f>SUMIFS([1]Up!$J:$J,[1]Up!$D:$D,D332)</f>
        <v>#VALUE!</v>
      </c>
      <c r="BI332" s="82"/>
      <c r="BJ332" s="82" t="str">
        <f t="shared" si="36"/>
        <v>PL12</v>
      </c>
      <c r="BK332" s="53" t="str">
        <f t="shared" si="37"/>
        <v/>
      </c>
      <c r="BL332" s="53" t="s">
        <v>148</v>
      </c>
      <c r="BM332" s="53" t="s">
        <v>1020</v>
      </c>
      <c r="BN332" s="53" t="s">
        <v>1021</v>
      </c>
      <c r="BO332" s="53" t="s">
        <v>1022</v>
      </c>
      <c r="BP332" s="53">
        <v>3</v>
      </c>
      <c r="BQ332" s="83">
        <v>46088</v>
      </c>
      <c r="BR332" s="53"/>
      <c r="BS332" s="53"/>
    </row>
    <row r="333" spans="3:72" ht="14.25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5"/>
        <v>3</v>
      </c>
      <c r="M333" s="26">
        <f t="shared" si="34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67" t="e">
        <f>SUMIFS([1]Up!$J:$J,[1]Up!$D:$D,D333)</f>
        <v>#VALUE!</v>
      </c>
      <c r="BI333" s="82"/>
      <c r="BJ333" s="82" t="str">
        <f t="shared" si="36"/>
        <v>PL12</v>
      </c>
      <c r="BK333" s="53" t="str">
        <f t="shared" si="37"/>
        <v/>
      </c>
      <c r="BL333" s="53" t="s">
        <v>148</v>
      </c>
      <c r="BM333" s="53" t="s">
        <v>1020</v>
      </c>
      <c r="BN333" s="53" t="s">
        <v>1021</v>
      </c>
      <c r="BO333" s="53" t="s">
        <v>1022</v>
      </c>
      <c r="BP333" s="53">
        <v>3</v>
      </c>
      <c r="BQ333" s="83">
        <v>46088</v>
      </c>
      <c r="BR333" s="53"/>
      <c r="BS333" s="53"/>
    </row>
    <row r="334" spans="3:72" ht="14.25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5"/>
        <v>6</v>
      </c>
      <c r="M334" s="26">
        <f t="shared" si="34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67" t="e">
        <f>SUMIFS([1]Up!$J:$J,[1]Up!$D:$D,D334)</f>
        <v>#VALUE!</v>
      </c>
      <c r="BI334" s="82"/>
      <c r="BJ334" s="82" t="str">
        <f t="shared" si="36"/>
        <v>PL16</v>
      </c>
      <c r="BK334" s="53" t="str">
        <f t="shared" si="37"/>
        <v/>
      </c>
      <c r="BL334" s="53" t="s">
        <v>148</v>
      </c>
      <c r="BM334" s="53" t="s">
        <v>987</v>
      </c>
      <c r="BN334" s="53" t="s">
        <v>988</v>
      </c>
      <c r="BO334" s="53" t="s">
        <v>989</v>
      </c>
      <c r="BP334" s="53">
        <v>6</v>
      </c>
      <c r="BQ334" s="83" t="s">
        <v>2222</v>
      </c>
      <c r="BR334" s="53"/>
      <c r="BS334" s="53"/>
    </row>
    <row r="335" spans="3:72" ht="14.25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5"/>
        <v>1</v>
      </c>
      <c r="M335" s="26">
        <f t="shared" si="34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>
        <v>1</v>
      </c>
      <c r="BH335" s="67" t="e">
        <f>SUMIFS([1]Up!$J:$J,[1]Up!$D:$D,D335)</f>
        <v>#VALUE!</v>
      </c>
      <c r="BI335" s="82"/>
      <c r="BJ335" s="82" t="str">
        <f t="shared" si="36"/>
        <v>PL10</v>
      </c>
      <c r="BK335" s="53" t="str">
        <f t="shared" si="37"/>
        <v/>
      </c>
      <c r="BL335" s="53" t="s">
        <v>154</v>
      </c>
      <c r="BM335" s="53" t="s">
        <v>1004</v>
      </c>
      <c r="BN335" s="53" t="s">
        <v>1005</v>
      </c>
      <c r="BO335" s="53" t="s">
        <v>1063</v>
      </c>
      <c r="BP335" s="53">
        <v>1</v>
      </c>
      <c r="BQ335" s="83">
        <v>46088</v>
      </c>
      <c r="BR335" s="53"/>
      <c r="BS335" s="53"/>
    </row>
    <row r="336" spans="3:72" ht="14.25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5"/>
        <v>2</v>
      </c>
      <c r="M336" s="26">
        <f t="shared" si="34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67" t="e">
        <f>SUMIFS([1]Up!$J:$J,[1]Up!$D:$D,D336)</f>
        <v>#VALUE!</v>
      </c>
      <c r="BI336" s="82"/>
      <c r="BJ336" s="82" t="str">
        <f t="shared" si="36"/>
        <v>PL20</v>
      </c>
      <c r="BK336" s="53" t="str">
        <f t="shared" si="37"/>
        <v/>
      </c>
      <c r="BL336" s="53" t="s">
        <v>148</v>
      </c>
      <c r="BM336" s="53" t="s">
        <v>1099</v>
      </c>
      <c r="BN336" s="53" t="s">
        <v>1100</v>
      </c>
      <c r="BO336" s="53" t="s">
        <v>1307</v>
      </c>
      <c r="BP336" s="53">
        <v>2</v>
      </c>
      <c r="BQ336" s="83">
        <v>46242</v>
      </c>
      <c r="BR336" s="53"/>
      <c r="BS336" s="53"/>
    </row>
    <row r="337" spans="3:71" ht="14.25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5"/>
        <v>3</v>
      </c>
      <c r="M337" s="26">
        <f t="shared" si="34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67" t="e">
        <f>SUMIFS([1]Up!$J:$J,[1]Up!$D:$D,D337)</f>
        <v>#VALUE!</v>
      </c>
      <c r="BI337" s="82"/>
      <c r="BJ337" s="82" t="str">
        <f t="shared" si="36"/>
        <v>PL20</v>
      </c>
      <c r="BK337" s="53" t="str">
        <f t="shared" si="37"/>
        <v/>
      </c>
      <c r="BL337" s="53" t="s">
        <v>148</v>
      </c>
      <c r="BM337" s="53" t="s">
        <v>1099</v>
      </c>
      <c r="BN337" s="53" t="s">
        <v>1100</v>
      </c>
      <c r="BO337" s="53" t="s">
        <v>1307</v>
      </c>
      <c r="BP337" s="53">
        <v>3</v>
      </c>
      <c r="BQ337" s="83">
        <v>46242</v>
      </c>
      <c r="BR337" s="53"/>
      <c r="BS337" s="53"/>
    </row>
    <row r="338" spans="3:71" ht="14.25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5"/>
        <v>1</v>
      </c>
      <c r="M338" s="26">
        <f t="shared" si="34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67" t="e">
        <f>SUMIFS([1]Up!$J:$J,[1]Up!$D:$D,D338)</f>
        <v>#VALUE!</v>
      </c>
      <c r="BI338" s="82"/>
      <c r="BJ338" s="82" t="str">
        <f t="shared" si="36"/>
        <v>PL20</v>
      </c>
      <c r="BK338" s="53" t="str">
        <f t="shared" si="37"/>
        <v/>
      </c>
      <c r="BL338" s="53" t="s">
        <v>148</v>
      </c>
      <c r="BM338" s="53" t="s">
        <v>1099</v>
      </c>
      <c r="BN338" s="53" t="s">
        <v>1100</v>
      </c>
      <c r="BO338" s="53" t="s">
        <v>1307</v>
      </c>
      <c r="BP338" s="53">
        <v>1</v>
      </c>
      <c r="BQ338" s="83">
        <v>46242</v>
      </c>
      <c r="BR338" s="53"/>
      <c r="BS338" s="53"/>
    </row>
    <row r="339" spans="3:71" ht="14.25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5"/>
        <v>1</v>
      </c>
      <c r="M339" s="26">
        <f t="shared" si="34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67" t="e">
        <f>SUMIFS([1]Up!$J:$J,[1]Up!$D:$D,D339)</f>
        <v>#VALUE!</v>
      </c>
      <c r="BI339" s="82"/>
      <c r="BJ339" s="82" t="str">
        <f t="shared" si="36"/>
        <v>PL30</v>
      </c>
      <c r="BK339" s="53" t="str">
        <f t="shared" si="37"/>
        <v/>
      </c>
      <c r="BL339" s="53" t="s">
        <v>148</v>
      </c>
      <c r="BM339" s="53" t="s">
        <v>1058</v>
      </c>
      <c r="BN339" s="53" t="s">
        <v>1059</v>
      </c>
      <c r="BO339" s="53" t="s">
        <v>1060</v>
      </c>
      <c r="BP339" s="53">
        <v>1</v>
      </c>
      <c r="BQ339" s="83" t="s">
        <v>2222</v>
      </c>
      <c r="BR339" s="53"/>
      <c r="BS339" s="53"/>
    </row>
    <row r="340" spans="3:71" ht="14.25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5"/>
        <v>1</v>
      </c>
      <c r="M340" s="26">
        <f t="shared" si="34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67" t="e">
        <f>SUMIFS([1]Up!$J:$J,[1]Up!$D:$D,D340)</f>
        <v>#VALUE!</v>
      </c>
      <c r="BI340" s="82"/>
      <c r="BJ340" s="82" t="str">
        <f t="shared" si="36"/>
        <v>PL10</v>
      </c>
      <c r="BK340" s="53" t="str">
        <f t="shared" si="37"/>
        <v/>
      </c>
      <c r="BL340" s="53" t="s">
        <v>148</v>
      </c>
      <c r="BM340" s="53" t="s">
        <v>1004</v>
      </c>
      <c r="BN340" s="53" t="s">
        <v>1005</v>
      </c>
      <c r="BO340" s="53" t="s">
        <v>1063</v>
      </c>
      <c r="BP340" s="53">
        <v>1</v>
      </c>
      <c r="BQ340" s="83">
        <v>46088</v>
      </c>
      <c r="BR340" s="53"/>
      <c r="BS340" s="53"/>
    </row>
    <row r="341" spans="3:71" ht="14.25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5"/>
        <v>1</v>
      </c>
      <c r="M341" s="26">
        <f t="shared" si="34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67" t="e">
        <f>SUMIFS([1]Up!$J:$J,[1]Up!$D:$D,D341)</f>
        <v>#VALUE!</v>
      </c>
      <c r="BI341" s="82" t="s">
        <v>2071</v>
      </c>
      <c r="BJ341" s="82" t="str">
        <f t="shared" si="36"/>
        <v>PL12</v>
      </c>
      <c r="BK341" s="53" t="str">
        <f t="shared" si="37"/>
        <v>Thừa 2</v>
      </c>
      <c r="BL341" s="53" t="s">
        <v>154</v>
      </c>
      <c r="BM341" s="53" t="s">
        <v>1020</v>
      </c>
      <c r="BN341" s="53" t="s">
        <v>1021</v>
      </c>
      <c r="BO341" s="53" t="s">
        <v>57</v>
      </c>
      <c r="BP341" s="53">
        <v>1</v>
      </c>
      <c r="BQ341" s="83"/>
      <c r="BR341" s="53"/>
      <c r="BS341" s="53"/>
    </row>
    <row r="342" spans="3:71" ht="14.25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5"/>
        <v>1</v>
      </c>
      <c r="M342" s="26">
        <f t="shared" si="34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67" t="e">
        <f>SUMIFS([1]Up!$J:$J,[1]Up!$D:$D,D342)</f>
        <v>#VALUE!</v>
      </c>
      <c r="BI342" s="82"/>
      <c r="BJ342" s="82" t="str">
        <f t="shared" si="36"/>
        <v>PL10</v>
      </c>
      <c r="BK342" s="53" t="str">
        <f t="shared" si="37"/>
        <v/>
      </c>
      <c r="BL342" s="53" t="s">
        <v>148</v>
      </c>
      <c r="BM342" s="53" t="s">
        <v>1004</v>
      </c>
      <c r="BN342" s="53" t="s">
        <v>1005</v>
      </c>
      <c r="BO342" s="53" t="s">
        <v>1063</v>
      </c>
      <c r="BP342" s="53">
        <v>1</v>
      </c>
      <c r="BQ342" s="83">
        <v>46088</v>
      </c>
      <c r="BR342" s="53"/>
      <c r="BS342" s="53"/>
    </row>
    <row r="343" spans="3:71" ht="14.25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5"/>
        <v>2</v>
      </c>
      <c r="M343" s="26">
        <f t="shared" si="34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67" t="e">
        <f>SUMIFS([1]Up!$J:$J,[1]Up!$D:$D,D343)</f>
        <v>#VALUE!</v>
      </c>
      <c r="BI343" s="82"/>
      <c r="BJ343" s="82" t="str">
        <f t="shared" si="36"/>
        <v>PL15</v>
      </c>
      <c r="BK343" s="53" t="str">
        <f t="shared" si="37"/>
        <v/>
      </c>
      <c r="BL343" s="53" t="s">
        <v>148</v>
      </c>
      <c r="BM343" s="53" t="s">
        <v>1093</v>
      </c>
      <c r="BN343" s="53" t="s">
        <v>1094</v>
      </c>
      <c r="BO343" s="53" t="s">
        <v>1303</v>
      </c>
      <c r="BP343" s="53">
        <v>2</v>
      </c>
      <c r="BQ343" s="83">
        <v>46088</v>
      </c>
      <c r="BR343" s="53"/>
      <c r="BS343" s="53"/>
    </row>
    <row r="344" spans="3:71" ht="14.25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5"/>
        <v>1</v>
      </c>
      <c r="M344" s="26">
        <f t="shared" si="34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67" t="e">
        <f>SUMIFS([1]Up!$J:$J,[1]Up!$D:$D,D344)</f>
        <v>#VALUE!</v>
      </c>
      <c r="BI344" s="82" t="s">
        <v>2073</v>
      </c>
      <c r="BJ344" s="82" t="str">
        <f t="shared" si="36"/>
        <v>PL10</v>
      </c>
      <c r="BK344" s="53" t="str">
        <f t="shared" si="37"/>
        <v>Thừa 1</v>
      </c>
      <c r="BL344" s="53" t="s">
        <v>154</v>
      </c>
      <c r="BM344" s="53" t="s">
        <v>1004</v>
      </c>
      <c r="BN344" s="53" t="s">
        <v>1005</v>
      </c>
      <c r="BO344" s="53" t="s">
        <v>57</v>
      </c>
      <c r="BP344" s="53">
        <v>1</v>
      </c>
      <c r="BQ344" s="83"/>
      <c r="BR344" s="53"/>
      <c r="BS344" s="53"/>
    </row>
    <row r="345" spans="3:71" ht="14.25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5"/>
        <v>1</v>
      </c>
      <c r="M345" s="26">
        <f t="shared" si="34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67" t="e">
        <f>SUMIFS([1]Up!$J:$J,[1]Up!$D:$D,D345)</f>
        <v>#VALUE!</v>
      </c>
      <c r="BI345" s="82"/>
      <c r="BJ345" s="82" t="str">
        <f t="shared" si="36"/>
        <v>PL10</v>
      </c>
      <c r="BK345" s="53" t="str">
        <f t="shared" si="37"/>
        <v/>
      </c>
      <c r="BL345" s="53" t="s">
        <v>148</v>
      </c>
      <c r="BM345" s="53" t="s">
        <v>1004</v>
      </c>
      <c r="BN345" s="53" t="s">
        <v>1005</v>
      </c>
      <c r="BO345" s="53" t="s">
        <v>1063</v>
      </c>
      <c r="BP345" s="53">
        <v>1</v>
      </c>
      <c r="BQ345" s="83">
        <v>46088</v>
      </c>
      <c r="BR345" s="53"/>
      <c r="BS345" s="53"/>
    </row>
    <row r="346" spans="3:71" ht="14.25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5"/>
        <v>2</v>
      </c>
      <c r="M346" s="26">
        <f t="shared" si="34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67" t="e">
        <f>SUMIFS([1]Up!$J:$J,[1]Up!$D:$D,D346)</f>
        <v>#VALUE!</v>
      </c>
      <c r="BI346" s="82"/>
      <c r="BJ346" s="82" t="str">
        <f t="shared" si="36"/>
        <v>PL20</v>
      </c>
      <c r="BK346" s="53" t="str">
        <f t="shared" si="37"/>
        <v/>
      </c>
      <c r="BL346" s="53" t="s">
        <v>148</v>
      </c>
      <c r="BM346" s="53" t="s">
        <v>1099</v>
      </c>
      <c r="BN346" s="53" t="s">
        <v>1100</v>
      </c>
      <c r="BO346" s="53" t="s">
        <v>1307</v>
      </c>
      <c r="BP346" s="53">
        <v>2</v>
      </c>
      <c r="BQ346" s="83">
        <v>46242</v>
      </c>
      <c r="BR346" s="53"/>
      <c r="BS346" s="53"/>
    </row>
    <row r="347" spans="3:71" ht="14.25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5"/>
        <v>1</v>
      </c>
      <c r="M347" s="26">
        <f t="shared" si="34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67" t="e">
        <f>SUMIFS([1]Up!$J:$J,[1]Up!$D:$D,D347)</f>
        <v>#VALUE!</v>
      </c>
      <c r="BI347" s="82" t="s">
        <v>2073</v>
      </c>
      <c r="BJ347" s="82" t="str">
        <f t="shared" si="36"/>
        <v>PL12</v>
      </c>
      <c r="BK347" s="53" t="str">
        <f t="shared" si="37"/>
        <v>Thừa 1</v>
      </c>
      <c r="BL347" s="53" t="s">
        <v>154</v>
      </c>
      <c r="BM347" s="53" t="s">
        <v>1020</v>
      </c>
      <c r="BN347" s="53" t="s">
        <v>1021</v>
      </c>
      <c r="BO347" s="53" t="s">
        <v>57</v>
      </c>
      <c r="BP347" s="53">
        <v>1</v>
      </c>
      <c r="BQ347" s="83"/>
      <c r="BR347" s="53"/>
      <c r="BS347" s="53"/>
    </row>
    <row r="348" spans="3:71" ht="14.25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5"/>
        <v>1</v>
      </c>
      <c r="M348" s="26">
        <f t="shared" si="34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67" t="e">
        <f>SUMIFS([1]Up!$J:$J,[1]Up!$D:$D,D348)</f>
        <v>#VALUE!</v>
      </c>
      <c r="BI348" s="82" t="s">
        <v>2071</v>
      </c>
      <c r="BJ348" s="82" t="str">
        <f t="shared" si="36"/>
        <v>PL12</v>
      </c>
      <c r="BK348" s="53" t="str">
        <f t="shared" si="37"/>
        <v>Thừa 2</v>
      </c>
      <c r="BL348" s="53" t="s">
        <v>154</v>
      </c>
      <c r="BM348" s="53" t="s">
        <v>1020</v>
      </c>
      <c r="BN348" s="53" t="s">
        <v>1021</v>
      </c>
      <c r="BO348" s="53" t="s">
        <v>57</v>
      </c>
      <c r="BP348" s="53">
        <v>1</v>
      </c>
      <c r="BQ348" s="83"/>
      <c r="BR348" s="53"/>
      <c r="BS348" s="53"/>
    </row>
    <row r="349" spans="3:71" ht="14.25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5"/>
        <v>2</v>
      </c>
      <c r="M349" s="26">
        <f t="shared" si="34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67" t="e">
        <f>SUMIFS([1]Up!$J:$J,[1]Up!$D:$D,D349)</f>
        <v>#VALUE!</v>
      </c>
      <c r="BI349" s="82"/>
      <c r="BJ349" s="82" t="str">
        <f t="shared" si="36"/>
        <v>PL12</v>
      </c>
      <c r="BK349" s="53" t="str">
        <f t="shared" si="37"/>
        <v/>
      </c>
      <c r="BL349" s="53" t="s">
        <v>148</v>
      </c>
      <c r="BM349" s="53" t="s">
        <v>1020</v>
      </c>
      <c r="BN349" s="53" t="s">
        <v>1021</v>
      </c>
      <c r="BO349" s="53" t="s">
        <v>1022</v>
      </c>
      <c r="BP349" s="53">
        <v>2</v>
      </c>
      <c r="BQ349" s="83">
        <v>46088</v>
      </c>
      <c r="BR349" s="53"/>
      <c r="BS349" s="53"/>
    </row>
    <row r="350" spans="3:71" ht="14.25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8">MIN(SUM(N350:BG350),I350)</f>
        <v>1</v>
      </c>
      <c r="M350" s="26">
        <f t="shared" si="34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67" t="e">
        <f>SUMIFS([1]Up!$J:$J,[1]Up!$D:$D,D350)</f>
        <v>#VALUE!</v>
      </c>
      <c r="BI350" s="82"/>
      <c r="BJ350" s="82" t="str">
        <f t="shared" ref="BJ350:BJ413" si="39">IFERROR(IF(C350="Plate",LEFT(E350,FIND("*",E350,1)-1),""),IF(C350="Plate",LEFT(E350,FIND("x",E350,1)-1),""))</f>
        <v>PL10</v>
      </c>
      <c r="BK350" s="53" t="str">
        <f t="shared" ref="BK350:BK413" si="40">IF(ROUND(SUM(N350:BG350)-I350,0)&gt;0,"Thừa "&amp;SUM(N350:BG350)-I350,"")</f>
        <v/>
      </c>
      <c r="BL350" s="53" t="s">
        <v>148</v>
      </c>
      <c r="BM350" s="53" t="s">
        <v>1004</v>
      </c>
      <c r="BN350" s="53" t="s">
        <v>1005</v>
      </c>
      <c r="BO350" s="53" t="s">
        <v>1063</v>
      </c>
      <c r="BP350" s="53">
        <v>1</v>
      </c>
      <c r="BQ350" s="83">
        <v>46088</v>
      </c>
      <c r="BR350" s="53"/>
      <c r="BS350" s="53"/>
    </row>
    <row r="351" spans="3:71" ht="14.25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8"/>
        <v>1</v>
      </c>
      <c r="M351" s="26">
        <f t="shared" si="34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67" t="e">
        <f>SUMIFS([1]Up!$J:$J,[1]Up!$D:$D,D351)</f>
        <v>#VALUE!</v>
      </c>
      <c r="BI351" s="82"/>
      <c r="BJ351" s="82" t="str">
        <f t="shared" si="39"/>
        <v>PL10</v>
      </c>
      <c r="BK351" s="53" t="str">
        <f t="shared" si="40"/>
        <v/>
      </c>
      <c r="BL351" s="53" t="s">
        <v>148</v>
      </c>
      <c r="BM351" s="53" t="s">
        <v>1004</v>
      </c>
      <c r="BN351" s="53" t="s">
        <v>1005</v>
      </c>
      <c r="BO351" s="53" t="s">
        <v>1063</v>
      </c>
      <c r="BP351" s="53">
        <v>1</v>
      </c>
      <c r="BQ351" s="83">
        <v>46088</v>
      </c>
      <c r="BR351" s="53"/>
      <c r="BS351" s="53"/>
    </row>
    <row r="352" spans="3:71" ht="14.25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8"/>
        <v>1</v>
      </c>
      <c r="M352" s="26">
        <f t="shared" si="34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67" t="e">
        <f>SUMIFS([1]Up!$J:$J,[1]Up!$D:$D,D352)</f>
        <v>#VALUE!</v>
      </c>
      <c r="BI352" s="82"/>
      <c r="BJ352" s="82" t="str">
        <f t="shared" si="39"/>
        <v>PL15</v>
      </c>
      <c r="BK352" s="53" t="str">
        <f t="shared" si="40"/>
        <v/>
      </c>
      <c r="BL352" s="53" t="s">
        <v>148</v>
      </c>
      <c r="BM352" s="53" t="s">
        <v>1093</v>
      </c>
      <c r="BN352" s="53" t="s">
        <v>1094</v>
      </c>
      <c r="BO352" s="53" t="s">
        <v>1303</v>
      </c>
      <c r="BP352" s="53">
        <v>1</v>
      </c>
      <c r="BQ352" s="83">
        <v>46088</v>
      </c>
      <c r="BR352" s="53"/>
      <c r="BS352" s="53"/>
    </row>
    <row r="353" spans="3:71" ht="14.25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8"/>
        <v>1</v>
      </c>
      <c r="M353" s="26">
        <f t="shared" si="34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67" t="e">
        <f>SUMIFS([1]Up!$J:$J,[1]Up!$D:$D,D353)</f>
        <v>#VALUE!</v>
      </c>
      <c r="BI353" s="82"/>
      <c r="BJ353" s="82" t="str">
        <f t="shared" si="39"/>
        <v>PL12</v>
      </c>
      <c r="BK353" s="53" t="str">
        <f t="shared" si="40"/>
        <v/>
      </c>
      <c r="BL353" s="53" t="s">
        <v>148</v>
      </c>
      <c r="BM353" s="53" t="s">
        <v>1020</v>
      </c>
      <c r="BN353" s="53" t="s">
        <v>1021</v>
      </c>
      <c r="BO353" s="53" t="s">
        <v>1022</v>
      </c>
      <c r="BP353" s="53">
        <v>1</v>
      </c>
      <c r="BQ353" s="83">
        <v>46088</v>
      </c>
      <c r="BR353" s="53"/>
      <c r="BS353" s="53"/>
    </row>
    <row r="354" spans="3:71" ht="14.25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8"/>
        <v>1</v>
      </c>
      <c r="M354" s="26">
        <f t="shared" si="34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67" t="e">
        <f>SUMIFS([1]Up!$J:$J,[1]Up!$D:$D,D354)</f>
        <v>#VALUE!</v>
      </c>
      <c r="BI354" s="82"/>
      <c r="BJ354" s="82" t="str">
        <f t="shared" si="39"/>
        <v>PL12</v>
      </c>
      <c r="BK354" s="53" t="str">
        <f t="shared" si="40"/>
        <v/>
      </c>
      <c r="BL354" s="53" t="s">
        <v>148</v>
      </c>
      <c r="BM354" s="53" t="s">
        <v>1020</v>
      </c>
      <c r="BN354" s="53" t="s">
        <v>1021</v>
      </c>
      <c r="BO354" s="53" t="s">
        <v>1022</v>
      </c>
      <c r="BP354" s="53">
        <v>1</v>
      </c>
      <c r="BQ354" s="83">
        <v>46088</v>
      </c>
      <c r="BR354" s="53"/>
      <c r="BS354" s="53"/>
    </row>
    <row r="355" spans="3:71" ht="14.25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8"/>
        <v>1</v>
      </c>
      <c r="M355" s="26">
        <f t="shared" si="34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67" t="e">
        <f>SUMIFS([1]Up!$J:$J,[1]Up!$D:$D,D355)</f>
        <v>#VALUE!</v>
      </c>
      <c r="BI355" s="82"/>
      <c r="BJ355" s="82" t="str">
        <f t="shared" si="39"/>
        <v>PL15</v>
      </c>
      <c r="BK355" s="53" t="str">
        <f t="shared" si="40"/>
        <v/>
      </c>
      <c r="BL355" s="53" t="s">
        <v>148</v>
      </c>
      <c r="BM355" s="53" t="s">
        <v>1093</v>
      </c>
      <c r="BN355" s="53" t="s">
        <v>1094</v>
      </c>
      <c r="BO355" s="53" t="s">
        <v>1303</v>
      </c>
      <c r="BP355" s="53">
        <v>1</v>
      </c>
      <c r="BQ355" s="83">
        <v>46088</v>
      </c>
      <c r="BR355" s="53"/>
      <c r="BS355" s="53"/>
    </row>
    <row r="356" spans="3:71" ht="14.25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8"/>
        <v>1</v>
      </c>
      <c r="M356" s="26">
        <f t="shared" si="34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67" t="e">
        <f>SUMIFS([1]Up!$J:$J,[1]Up!$D:$D,D356)</f>
        <v>#VALUE!</v>
      </c>
      <c r="BI356" s="82" t="s">
        <v>2228</v>
      </c>
      <c r="BJ356" s="82" t="str">
        <f t="shared" si="39"/>
        <v>PL10</v>
      </c>
      <c r="BK356" s="53" t="str">
        <f t="shared" si="40"/>
        <v>Thừa 1</v>
      </c>
      <c r="BL356" s="53" t="s">
        <v>154</v>
      </c>
      <c r="BM356" s="53" t="s">
        <v>1004</v>
      </c>
      <c r="BN356" s="53" t="s">
        <v>1005</v>
      </c>
      <c r="BO356" s="53" t="s">
        <v>57</v>
      </c>
      <c r="BP356" s="53">
        <v>1</v>
      </c>
      <c r="BQ356" s="83"/>
      <c r="BR356" s="53"/>
      <c r="BS356" s="53"/>
    </row>
    <row r="357" spans="3:71" ht="14.25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8"/>
        <v>1</v>
      </c>
      <c r="M357" s="26">
        <f t="shared" si="34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67" t="e">
        <f>SUMIFS([1]Up!$J:$J,[1]Up!$D:$D,D357)</f>
        <v>#VALUE!</v>
      </c>
      <c r="BI357" s="82" t="s">
        <v>2071</v>
      </c>
      <c r="BJ357" s="82" t="str">
        <f t="shared" si="39"/>
        <v>PL12</v>
      </c>
      <c r="BK357" s="53" t="str">
        <f t="shared" si="40"/>
        <v>Thừa 2</v>
      </c>
      <c r="BL357" s="53" t="s">
        <v>154</v>
      </c>
      <c r="BM357" s="53" t="s">
        <v>1020</v>
      </c>
      <c r="BN357" s="53" t="s">
        <v>1021</v>
      </c>
      <c r="BO357" s="53" t="s">
        <v>57</v>
      </c>
      <c r="BP357" s="53">
        <v>1</v>
      </c>
      <c r="BQ357" s="83"/>
      <c r="BR357" s="53"/>
      <c r="BS357" s="53"/>
    </row>
    <row r="358" spans="3:71" ht="14.25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8"/>
        <v>3</v>
      </c>
      <c r="M358" s="26">
        <f t="shared" si="34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67" t="e">
        <f>SUMIFS([1]Up!$J:$J,[1]Up!$D:$D,D358)</f>
        <v>#VALUE!</v>
      </c>
      <c r="BI358" s="82"/>
      <c r="BJ358" s="82" t="str">
        <f t="shared" si="39"/>
        <v>PL12</v>
      </c>
      <c r="BK358" s="53" t="str">
        <f t="shared" si="40"/>
        <v/>
      </c>
      <c r="BL358" s="53" t="s">
        <v>148</v>
      </c>
      <c r="BM358" s="53" t="s">
        <v>1020</v>
      </c>
      <c r="BN358" s="53" t="s">
        <v>1021</v>
      </c>
      <c r="BO358" s="53" t="s">
        <v>1022</v>
      </c>
      <c r="BP358" s="53">
        <v>3</v>
      </c>
      <c r="BQ358" s="83">
        <v>46088</v>
      </c>
      <c r="BR358" s="53"/>
      <c r="BS358" s="53"/>
    </row>
    <row r="359" spans="3:71" ht="14.25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8"/>
        <v>2</v>
      </c>
      <c r="M359" s="26">
        <f t="shared" si="34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67" t="e">
        <f>SUMIFS([1]Up!$J:$J,[1]Up!$D:$D,D359)</f>
        <v>#VALUE!</v>
      </c>
      <c r="BI359" s="82"/>
      <c r="BJ359" s="82" t="str">
        <f t="shared" si="39"/>
        <v>PL20</v>
      </c>
      <c r="BK359" s="53" t="str">
        <f t="shared" si="40"/>
        <v/>
      </c>
      <c r="BL359" s="53" t="s">
        <v>148</v>
      </c>
      <c r="BM359" s="53" t="s">
        <v>1099</v>
      </c>
      <c r="BN359" s="53" t="s">
        <v>1100</v>
      </c>
      <c r="BO359" s="53" t="s">
        <v>1307</v>
      </c>
      <c r="BP359" s="53">
        <v>2</v>
      </c>
      <c r="BQ359" s="83">
        <v>46242</v>
      </c>
      <c r="BR359" s="53"/>
      <c r="BS359" s="53"/>
    </row>
    <row r="360" spans="3:71" ht="14.25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8"/>
        <v>1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67" t="e">
        <f>SUMIFS([1]Up!$J:$J,[1]Up!$D:$D,D360)</f>
        <v>#VALUE!</v>
      </c>
      <c r="BI360" s="82" t="s">
        <v>2228</v>
      </c>
      <c r="BJ360" s="82" t="str">
        <f t="shared" si="39"/>
        <v>PL12</v>
      </c>
      <c r="BK360" s="53" t="str">
        <f t="shared" si="40"/>
        <v>Thừa 1</v>
      </c>
      <c r="BL360" s="53" t="s">
        <v>154</v>
      </c>
      <c r="BM360" s="53" t="s">
        <v>1020</v>
      </c>
      <c r="BN360" s="53" t="s">
        <v>1021</v>
      </c>
      <c r="BO360" s="53" t="s">
        <v>57</v>
      </c>
      <c r="BP360" s="53">
        <v>1</v>
      </c>
      <c r="BQ360" s="83"/>
      <c r="BR360" s="53"/>
      <c r="BS360" s="53"/>
    </row>
    <row r="361" spans="3:71" ht="14.25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8"/>
        <v>2</v>
      </c>
      <c r="M361" s="26">
        <f t="shared" si="34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67" t="e">
        <f>SUMIFS([1]Up!$J:$J,[1]Up!$D:$D,D361)</f>
        <v>#VALUE!</v>
      </c>
      <c r="BI361" s="82"/>
      <c r="BJ361" s="82" t="str">
        <f t="shared" si="39"/>
        <v>PL15</v>
      </c>
      <c r="BK361" s="53" t="str">
        <f t="shared" si="40"/>
        <v/>
      </c>
      <c r="BL361" s="53" t="s">
        <v>148</v>
      </c>
      <c r="BM361" s="53" t="s">
        <v>1093</v>
      </c>
      <c r="BN361" s="53" t="s">
        <v>1094</v>
      </c>
      <c r="BO361" s="53" t="s">
        <v>1303</v>
      </c>
      <c r="BP361" s="53">
        <v>2</v>
      </c>
      <c r="BQ361" s="83">
        <v>46088</v>
      </c>
      <c r="BR361" s="53"/>
      <c r="BS361" s="53"/>
    </row>
    <row r="362" spans="3:71" ht="14.25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8"/>
        <v>2</v>
      </c>
      <c r="M362" s="26">
        <f t="shared" si="34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67" t="e">
        <f>SUMIFS([1]Up!$J:$J,[1]Up!$D:$D,D362)</f>
        <v>#VALUE!</v>
      </c>
      <c r="BI362" s="82"/>
      <c r="BJ362" s="82" t="str">
        <f t="shared" si="39"/>
        <v>PL20</v>
      </c>
      <c r="BK362" s="53" t="str">
        <f t="shared" si="40"/>
        <v/>
      </c>
      <c r="BL362" s="53" t="s">
        <v>148</v>
      </c>
      <c r="BM362" s="53" t="s">
        <v>1099</v>
      </c>
      <c r="BN362" s="53" t="s">
        <v>1100</v>
      </c>
      <c r="BO362" s="53" t="s">
        <v>1307</v>
      </c>
      <c r="BP362" s="53">
        <v>2</v>
      </c>
      <c r="BQ362" s="83">
        <v>46242</v>
      </c>
      <c r="BR362" s="53"/>
      <c r="BS362" s="53"/>
    </row>
    <row r="363" spans="3:71" ht="14.25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8"/>
        <v>1</v>
      </c>
      <c r="M363" s="26">
        <f t="shared" si="34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67" t="e">
        <f>SUMIFS([1]Up!$J:$J,[1]Up!$D:$D,D363)</f>
        <v>#VALUE!</v>
      </c>
      <c r="BI363" s="82"/>
      <c r="BJ363" s="82" t="str">
        <f t="shared" si="39"/>
        <v>PL10</v>
      </c>
      <c r="BK363" s="53" t="str">
        <f t="shared" si="40"/>
        <v/>
      </c>
      <c r="BL363" s="53" t="s">
        <v>148</v>
      </c>
      <c r="BM363" s="53" t="s">
        <v>1004</v>
      </c>
      <c r="BN363" s="53" t="s">
        <v>1005</v>
      </c>
      <c r="BO363" s="53" t="s">
        <v>1063</v>
      </c>
      <c r="BP363" s="53">
        <v>1</v>
      </c>
      <c r="BQ363" s="83">
        <v>46088</v>
      </c>
      <c r="BR363" s="53"/>
      <c r="BS363" s="53"/>
    </row>
    <row r="364" spans="3:71" ht="14.25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8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67" t="e">
        <f>SUMIFS([1]Up!$J:$J,[1]Up!$D:$D,D364)</f>
        <v>#VALUE!</v>
      </c>
      <c r="BI364" s="82" t="s">
        <v>2073</v>
      </c>
      <c r="BJ364" s="82" t="str">
        <f t="shared" si="39"/>
        <v>PL10</v>
      </c>
      <c r="BK364" s="53" t="str">
        <f t="shared" si="40"/>
        <v>Thừa 1</v>
      </c>
      <c r="BL364" s="53" t="s">
        <v>154</v>
      </c>
      <c r="BM364" s="53" t="s">
        <v>1004</v>
      </c>
      <c r="BN364" s="53" t="s">
        <v>1005</v>
      </c>
      <c r="BO364" s="53" t="s">
        <v>57</v>
      </c>
      <c r="BP364" s="53">
        <v>1</v>
      </c>
      <c r="BQ364" s="83"/>
      <c r="BR364" s="53"/>
      <c r="BS364" s="53"/>
    </row>
    <row r="365" spans="3:71" ht="14.25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8"/>
        <v>1</v>
      </c>
      <c r="M365" s="26">
        <f t="shared" si="34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67" t="e">
        <f>SUMIFS([1]Up!$J:$J,[1]Up!$D:$D,D365)</f>
        <v>#VALUE!</v>
      </c>
      <c r="BI365" s="82"/>
      <c r="BJ365" s="82" t="str">
        <f t="shared" si="39"/>
        <v>PL10</v>
      </c>
      <c r="BK365" s="53" t="str">
        <f t="shared" si="40"/>
        <v/>
      </c>
      <c r="BL365" s="53" t="s">
        <v>148</v>
      </c>
      <c r="BM365" s="53" t="s">
        <v>1004</v>
      </c>
      <c r="BN365" s="53" t="s">
        <v>1005</v>
      </c>
      <c r="BO365" s="53" t="s">
        <v>1063</v>
      </c>
      <c r="BP365" s="53">
        <v>1</v>
      </c>
      <c r="BQ365" s="83">
        <v>46088</v>
      </c>
      <c r="BR365" s="53"/>
      <c r="BS365" s="53"/>
    </row>
    <row r="366" spans="3:71" ht="14.25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8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67" t="e">
        <f>SUMIFS([1]Up!$J:$J,[1]Up!$D:$D,D366)</f>
        <v>#VALUE!</v>
      </c>
      <c r="BI366" s="82"/>
      <c r="BJ366" s="82" t="str">
        <f t="shared" si="39"/>
        <v>PL20</v>
      </c>
      <c r="BK366" s="53" t="str">
        <f t="shared" si="40"/>
        <v/>
      </c>
      <c r="BL366" s="53" t="s">
        <v>148</v>
      </c>
      <c r="BM366" s="53" t="s">
        <v>1099</v>
      </c>
      <c r="BN366" s="53" t="s">
        <v>1100</v>
      </c>
      <c r="BO366" s="53" t="s">
        <v>1307</v>
      </c>
      <c r="BP366" s="53">
        <v>2</v>
      </c>
      <c r="BQ366" s="83">
        <v>46242</v>
      </c>
      <c r="BR366" s="53"/>
      <c r="BS366" s="53"/>
    </row>
    <row r="367" spans="3:71" ht="14.25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8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67" t="e">
        <f>SUMIFS([1]Up!$J:$J,[1]Up!$D:$D,D367)</f>
        <v>#VALUE!</v>
      </c>
      <c r="BI367" s="82" t="s">
        <v>2228</v>
      </c>
      <c r="BJ367" s="82" t="str">
        <f t="shared" si="39"/>
        <v>PL12</v>
      </c>
      <c r="BK367" s="53" t="str">
        <f t="shared" si="40"/>
        <v>Thừa 1</v>
      </c>
      <c r="BL367" s="53" t="s">
        <v>154</v>
      </c>
      <c r="BM367" s="53" t="s">
        <v>1020</v>
      </c>
      <c r="BN367" s="53" t="s">
        <v>1021</v>
      </c>
      <c r="BO367" s="53" t="s">
        <v>57</v>
      </c>
      <c r="BP367" s="53">
        <v>1</v>
      </c>
      <c r="BQ367" s="83"/>
      <c r="BR367" s="53"/>
      <c r="BS367" s="53"/>
    </row>
    <row r="368" spans="3:71" ht="14.25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8"/>
        <v>1</v>
      </c>
      <c r="M368" s="26">
        <f t="shared" si="34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67" t="e">
        <f>SUMIFS([1]Up!$J:$J,[1]Up!$D:$D,D368)</f>
        <v>#VALUE!</v>
      </c>
      <c r="BI368" s="82" t="s">
        <v>2071</v>
      </c>
      <c r="BJ368" s="82" t="str">
        <f t="shared" si="39"/>
        <v>PL12</v>
      </c>
      <c r="BK368" s="53" t="str">
        <f t="shared" si="40"/>
        <v>Thừa 2</v>
      </c>
      <c r="BL368" s="53" t="s">
        <v>154</v>
      </c>
      <c r="BM368" s="53" t="s">
        <v>1020</v>
      </c>
      <c r="BN368" s="53" t="s">
        <v>1021</v>
      </c>
      <c r="BO368" s="53" t="s">
        <v>57</v>
      </c>
      <c r="BP368" s="53">
        <v>1</v>
      </c>
      <c r="BQ368" s="83"/>
      <c r="BR368" s="53"/>
      <c r="BS368" s="53"/>
    </row>
    <row r="369" spans="3:72" ht="14.25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8"/>
        <v>3</v>
      </c>
      <c r="M369" s="26">
        <f t="shared" si="34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67" t="e">
        <f>SUMIFS([1]Up!$J:$J,[1]Up!$D:$D,D369)</f>
        <v>#VALUE!</v>
      </c>
      <c r="BI369" s="82"/>
      <c r="BJ369" s="82" t="str">
        <f t="shared" si="39"/>
        <v>PL12</v>
      </c>
      <c r="BK369" s="53" t="str">
        <f t="shared" si="40"/>
        <v/>
      </c>
      <c r="BL369" s="53" t="s">
        <v>148</v>
      </c>
      <c r="BM369" s="53" t="s">
        <v>1020</v>
      </c>
      <c r="BN369" s="53" t="s">
        <v>1021</v>
      </c>
      <c r="BO369" s="53" t="s">
        <v>1022</v>
      </c>
      <c r="BP369" s="53">
        <v>3</v>
      </c>
      <c r="BQ369" s="83">
        <v>46088</v>
      </c>
      <c r="BR369" s="53"/>
      <c r="BS369" s="53"/>
    </row>
    <row r="370" spans="3:72" ht="14.25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8"/>
        <v>1</v>
      </c>
      <c r="M370" s="26">
        <f t="shared" si="34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67" t="e">
        <f>SUMIFS([1]Up!$J:$J,[1]Up!$D:$D,D370)</f>
        <v>#VALUE!</v>
      </c>
      <c r="BI370" s="82"/>
      <c r="BJ370" s="82" t="str">
        <f t="shared" si="39"/>
        <v>PL10</v>
      </c>
      <c r="BK370" s="53" t="str">
        <f t="shared" si="40"/>
        <v/>
      </c>
      <c r="BL370" s="53" t="s">
        <v>148</v>
      </c>
      <c r="BM370" s="53" t="s">
        <v>1004</v>
      </c>
      <c r="BN370" s="53" t="s">
        <v>1005</v>
      </c>
      <c r="BO370" s="53" t="s">
        <v>1063</v>
      </c>
      <c r="BP370" s="53">
        <v>1</v>
      </c>
      <c r="BQ370" s="83">
        <v>46088</v>
      </c>
      <c r="BR370" s="53"/>
      <c r="BS370" s="53"/>
    </row>
    <row r="371" spans="3:72" ht="14.25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8"/>
        <v>3</v>
      </c>
      <c r="M371" s="26">
        <f t="shared" si="34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67" t="e">
        <f>SUMIFS([1]Up!$J:$J,[1]Up!$D:$D,D371)</f>
        <v>#VALUE!</v>
      </c>
      <c r="BI371" s="82"/>
      <c r="BJ371" s="82" t="str">
        <f t="shared" si="39"/>
        <v/>
      </c>
      <c r="BK371" s="53" t="str">
        <f t="shared" si="40"/>
        <v/>
      </c>
      <c r="BL371" s="53" t="s">
        <v>148</v>
      </c>
      <c r="BM371" s="53" t="s">
        <v>1078</v>
      </c>
      <c r="BN371" s="53" t="s">
        <v>1075</v>
      </c>
      <c r="BO371" s="84" t="s">
        <v>2161</v>
      </c>
      <c r="BP371" s="53">
        <v>12</v>
      </c>
      <c r="BQ371" s="83" t="s">
        <v>2224</v>
      </c>
      <c r="BR371" s="53"/>
      <c r="BS371" s="53"/>
      <c r="BT371" s="238"/>
    </row>
    <row r="372" spans="3:72" ht="14.25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8"/>
        <v>2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67" t="e">
        <f>SUMIFS([1]Up!$J:$J,[1]Up!$D:$D,D372)</f>
        <v>#VALUE!</v>
      </c>
      <c r="BI372" s="82" t="s">
        <v>2237</v>
      </c>
      <c r="BJ372" s="82" t="str">
        <f t="shared" si="39"/>
        <v>PL10</v>
      </c>
      <c r="BK372" s="53" t="str">
        <f t="shared" si="40"/>
        <v/>
      </c>
      <c r="BL372" s="53" t="s">
        <v>154</v>
      </c>
      <c r="BM372" s="53" t="s">
        <v>1004</v>
      </c>
      <c r="BN372" s="53" t="s">
        <v>1005</v>
      </c>
      <c r="BO372" s="53" t="s">
        <v>57</v>
      </c>
      <c r="BP372" s="53">
        <v>4</v>
      </c>
      <c r="BQ372" s="83"/>
      <c r="BR372" s="53"/>
      <c r="BS372" s="53"/>
    </row>
    <row r="373" spans="3:72" ht="14.25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8"/>
        <v>0</v>
      </c>
      <c r="M373" s="26">
        <f t="shared" si="3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67" t="e">
        <f>SUMIFS([1]Up!$J:$J,[1]Up!$D:$D,D373)</f>
        <v>#VALUE!</v>
      </c>
      <c r="BI373" s="82"/>
      <c r="BJ373" s="82" t="str">
        <f t="shared" si="39"/>
        <v>PL12</v>
      </c>
      <c r="BK373" s="53" t="str">
        <f t="shared" si="40"/>
        <v/>
      </c>
      <c r="BL373" s="53" t="s">
        <v>154</v>
      </c>
      <c r="BM373" s="53" t="s">
        <v>1020</v>
      </c>
      <c r="BN373" s="53" t="s">
        <v>1021</v>
      </c>
      <c r="BO373" s="53" t="s">
        <v>57</v>
      </c>
      <c r="BP373" s="53">
        <v>4</v>
      </c>
      <c r="BQ373" s="83"/>
      <c r="BR373" s="53"/>
      <c r="BS373" s="53"/>
    </row>
    <row r="374" spans="3:72" ht="14.25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8"/>
        <v>0</v>
      </c>
      <c r="M374" s="26">
        <f t="shared" si="34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67" t="e">
        <f>SUMIFS([1]Up!$J:$J,[1]Up!$D:$D,D374)</f>
        <v>#VALUE!</v>
      </c>
      <c r="BI374" s="82"/>
      <c r="BJ374" s="82" t="str">
        <f t="shared" si="39"/>
        <v>PL12</v>
      </c>
      <c r="BK374" s="53" t="str">
        <f t="shared" si="40"/>
        <v/>
      </c>
      <c r="BL374" s="53" t="s">
        <v>154</v>
      </c>
      <c r="BM374" s="53" t="s">
        <v>1020</v>
      </c>
      <c r="BN374" s="53" t="s">
        <v>1021</v>
      </c>
      <c r="BO374" s="53" t="s">
        <v>57</v>
      </c>
      <c r="BP374" s="53">
        <v>4</v>
      </c>
      <c r="BQ374" s="83"/>
      <c r="BR374" s="53"/>
      <c r="BS374" s="53"/>
    </row>
    <row r="375" spans="3:72" ht="14.25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8"/>
        <v>3</v>
      </c>
      <c r="M375" s="26">
        <f t="shared" si="34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67" t="e">
        <f>SUMIFS([1]Up!$J:$J,[1]Up!$D:$D,D375)</f>
        <v>#VALUE!</v>
      </c>
      <c r="BI375" s="82"/>
      <c r="BJ375" s="82" t="str">
        <f t="shared" si="39"/>
        <v>PL12</v>
      </c>
      <c r="BK375" s="53" t="str">
        <f t="shared" si="40"/>
        <v/>
      </c>
      <c r="BL375" s="53" t="s">
        <v>148</v>
      </c>
      <c r="BM375" s="53" t="s">
        <v>1020</v>
      </c>
      <c r="BN375" s="53" t="s">
        <v>1021</v>
      </c>
      <c r="BO375" s="84" t="s">
        <v>2159</v>
      </c>
      <c r="BP375" s="53">
        <v>12</v>
      </c>
      <c r="BQ375" s="83">
        <v>46302</v>
      </c>
      <c r="BR375" s="53"/>
      <c r="BS375" s="53"/>
      <c r="BT375" s="238"/>
    </row>
    <row r="376" spans="3:72" ht="14.25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8"/>
        <v>3</v>
      </c>
      <c r="M376" s="26">
        <f t="shared" si="34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67" t="e">
        <f>SUMIFS([1]Up!$J:$J,[1]Up!$D:$D,D376)</f>
        <v>#VALUE!</v>
      </c>
      <c r="BI376" s="82"/>
      <c r="BJ376" s="82" t="str">
        <f t="shared" si="39"/>
        <v>PL12</v>
      </c>
      <c r="BK376" s="53" t="str">
        <f t="shared" si="40"/>
        <v/>
      </c>
      <c r="BL376" s="53" t="s">
        <v>148</v>
      </c>
      <c r="BM376" s="53" t="s">
        <v>1020</v>
      </c>
      <c r="BN376" s="53" t="s">
        <v>1021</v>
      </c>
      <c r="BO376" s="84" t="s">
        <v>2159</v>
      </c>
      <c r="BP376" s="53">
        <v>12</v>
      </c>
      <c r="BQ376" s="83">
        <v>46302</v>
      </c>
      <c r="BR376" s="53"/>
      <c r="BS376" s="53"/>
      <c r="BT376" s="238"/>
    </row>
    <row r="377" spans="3:72" ht="14.25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8"/>
        <v>6</v>
      </c>
      <c r="M377" s="26">
        <f t="shared" si="34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67" t="e">
        <f>SUMIFS([1]Up!$J:$J,[1]Up!$D:$D,D377)</f>
        <v>#VALUE!</v>
      </c>
      <c r="BI377" s="82"/>
      <c r="BJ377" s="82" t="str">
        <f t="shared" si="39"/>
        <v>PL16</v>
      </c>
      <c r="BK377" s="53" t="str">
        <f t="shared" si="40"/>
        <v/>
      </c>
      <c r="BL377" s="53" t="s">
        <v>148</v>
      </c>
      <c r="BM377" s="53" t="s">
        <v>987</v>
      </c>
      <c r="BN377" s="53" t="s">
        <v>988</v>
      </c>
      <c r="BO377" s="84" t="s">
        <v>2160</v>
      </c>
      <c r="BP377" s="53">
        <v>24</v>
      </c>
      <c r="BQ377" s="83" t="s">
        <v>2225</v>
      </c>
      <c r="BR377" s="53"/>
      <c r="BS377" s="53"/>
      <c r="BT377" s="238"/>
    </row>
    <row r="378" spans="3:72" ht="14.25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8"/>
        <v>0</v>
      </c>
      <c r="M378" s="26">
        <f t="shared" si="34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67" t="e">
        <f>SUMIFS([1]Up!$J:$J,[1]Up!$D:$D,D378)</f>
        <v>#VALUE!</v>
      </c>
      <c r="BI378" s="82"/>
      <c r="BJ378" s="82" t="str">
        <f t="shared" si="39"/>
        <v>PL10</v>
      </c>
      <c r="BK378" s="53" t="str">
        <f t="shared" si="40"/>
        <v/>
      </c>
      <c r="BL378" s="53" t="s">
        <v>154</v>
      </c>
      <c r="BM378" s="53" t="s">
        <v>1004</v>
      </c>
      <c r="BN378" s="53" t="s">
        <v>1005</v>
      </c>
      <c r="BO378" s="84" t="s">
        <v>2156</v>
      </c>
      <c r="BP378" s="53">
        <v>4</v>
      </c>
      <c r="BQ378" s="83">
        <v>46302</v>
      </c>
      <c r="BR378" s="53"/>
      <c r="BS378" s="53"/>
      <c r="BT378" s="238"/>
    </row>
    <row r="379" spans="3:72" ht="14.25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8"/>
        <v>2</v>
      </c>
      <c r="M379" s="26">
        <f t="shared" si="34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67" t="e">
        <f>SUMIFS([1]Up!$J:$J,[1]Up!$D:$D,D379)</f>
        <v>#VALUE!</v>
      </c>
      <c r="BI379" s="82"/>
      <c r="BJ379" s="82" t="str">
        <f t="shared" si="39"/>
        <v>PL20</v>
      </c>
      <c r="BK379" s="53" t="str">
        <f t="shared" si="40"/>
        <v/>
      </c>
      <c r="BL379" s="53" t="s">
        <v>148</v>
      </c>
      <c r="BM379" s="53" t="s">
        <v>1099</v>
      </c>
      <c r="BN379" s="53" t="s">
        <v>1100</v>
      </c>
      <c r="BO379" s="84" t="s">
        <v>2157</v>
      </c>
      <c r="BP379" s="53">
        <v>8</v>
      </c>
      <c r="BQ379" s="83">
        <v>46242</v>
      </c>
      <c r="BR379" s="53"/>
      <c r="BS379" s="53"/>
      <c r="BT379" s="238"/>
    </row>
    <row r="380" spans="3:72" ht="14.25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8"/>
        <v>3</v>
      </c>
      <c r="M380" s="26">
        <f t="shared" si="34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67" t="e">
        <f>SUMIFS([1]Up!$J:$J,[1]Up!$D:$D,D380)</f>
        <v>#VALUE!</v>
      </c>
      <c r="BI380" s="82"/>
      <c r="BJ380" s="82" t="str">
        <f t="shared" si="39"/>
        <v>PL20</v>
      </c>
      <c r="BK380" s="53" t="str">
        <f t="shared" si="40"/>
        <v/>
      </c>
      <c r="BL380" s="53" t="s">
        <v>148</v>
      </c>
      <c r="BM380" s="53" t="s">
        <v>1099</v>
      </c>
      <c r="BN380" s="53" t="s">
        <v>1100</v>
      </c>
      <c r="BO380" s="84" t="s">
        <v>2157</v>
      </c>
      <c r="BP380" s="53">
        <v>12</v>
      </c>
      <c r="BQ380" s="83">
        <v>46242</v>
      </c>
      <c r="BR380" s="53"/>
      <c r="BS380" s="53"/>
      <c r="BT380" s="238"/>
    </row>
    <row r="381" spans="3:72" ht="14.25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8"/>
        <v>1</v>
      </c>
      <c r="M381" s="26">
        <f t="shared" si="3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67" t="e">
        <f>SUMIFS([1]Up!$J:$J,[1]Up!$D:$D,D381)</f>
        <v>#VALUE!</v>
      </c>
      <c r="BI381" s="82"/>
      <c r="BJ381" s="82" t="str">
        <f t="shared" si="39"/>
        <v>PL20</v>
      </c>
      <c r="BK381" s="53" t="str">
        <f t="shared" si="40"/>
        <v/>
      </c>
      <c r="BL381" s="53" t="s">
        <v>148</v>
      </c>
      <c r="BM381" s="53" t="s">
        <v>1099</v>
      </c>
      <c r="BN381" s="53" t="s">
        <v>1100</v>
      </c>
      <c r="BO381" s="84" t="s">
        <v>2157</v>
      </c>
      <c r="BP381" s="53">
        <v>4</v>
      </c>
      <c r="BQ381" s="83">
        <v>46242</v>
      </c>
      <c r="BR381" s="53"/>
      <c r="BS381" s="53"/>
      <c r="BT381" s="238"/>
    </row>
    <row r="382" spans="3:72" ht="14.25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8"/>
        <v>1</v>
      </c>
      <c r="M382" s="26">
        <f t="shared" si="3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26"/>
      <c r="BD382" s="26"/>
      <c r="BE382" s="26"/>
      <c r="BF382" s="26"/>
      <c r="BG382" s="26"/>
      <c r="BH382" s="67" t="e">
        <f>SUMIFS([1]Up!$J:$J,[1]Up!$D:$D,D382)</f>
        <v>#VALUE!</v>
      </c>
      <c r="BI382" s="82"/>
      <c r="BJ382" s="82" t="str">
        <f t="shared" si="39"/>
        <v>PL30</v>
      </c>
      <c r="BK382" s="53" t="str">
        <f t="shared" si="40"/>
        <v/>
      </c>
      <c r="BL382" s="53" t="s">
        <v>148</v>
      </c>
      <c r="BM382" s="53" t="s">
        <v>1058</v>
      </c>
      <c r="BN382" s="53" t="s">
        <v>1059</v>
      </c>
      <c r="BO382" s="84" t="s">
        <v>2179</v>
      </c>
      <c r="BP382" s="53">
        <v>4</v>
      </c>
      <c r="BQ382" s="83">
        <v>46302</v>
      </c>
      <c r="BR382" s="53"/>
      <c r="BS382" s="53"/>
      <c r="BT382" s="238"/>
    </row>
    <row r="383" spans="3:72" ht="14.25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8"/>
        <v>2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>
        <v>1</v>
      </c>
      <c r="BC383" s="26"/>
      <c r="BD383" s="26"/>
      <c r="BE383" s="26"/>
      <c r="BF383" s="26"/>
      <c r="BG383" s="26"/>
      <c r="BH383" s="67" t="e">
        <f>SUMIFS([1]Up!$J:$J,[1]Up!$D:$D,D383)</f>
        <v>#VALUE!</v>
      </c>
      <c r="BI383" s="82"/>
      <c r="BJ383" s="82" t="str">
        <f t="shared" si="39"/>
        <v>PL10</v>
      </c>
      <c r="BK383" s="53" t="str">
        <f t="shared" si="40"/>
        <v/>
      </c>
      <c r="BL383" s="53" t="s">
        <v>148</v>
      </c>
      <c r="BM383" s="53" t="s">
        <v>1004</v>
      </c>
      <c r="BN383" s="53" t="s">
        <v>1005</v>
      </c>
      <c r="BO383" s="84" t="s">
        <v>2156</v>
      </c>
      <c r="BP383" s="53">
        <v>4</v>
      </c>
      <c r="BQ383" s="83">
        <v>46302</v>
      </c>
      <c r="BR383" s="53"/>
      <c r="BS383" s="53"/>
      <c r="BT383" s="238"/>
    </row>
    <row r="384" spans="3:72" ht="14.25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8"/>
        <v>0</v>
      </c>
      <c r="M384" s="26">
        <f t="shared" si="3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67" t="e">
        <f>SUMIFS([1]Up!$J:$J,[1]Up!$D:$D,D384)</f>
        <v>#VALUE!</v>
      </c>
      <c r="BI384" s="82"/>
      <c r="BJ384" s="82" t="str">
        <f t="shared" si="39"/>
        <v>PL12</v>
      </c>
      <c r="BK384" s="53" t="str">
        <f t="shared" si="40"/>
        <v/>
      </c>
      <c r="BL384" s="53" t="s">
        <v>154</v>
      </c>
      <c r="BM384" s="53" t="s">
        <v>1020</v>
      </c>
      <c r="BN384" s="53" t="s">
        <v>1021</v>
      </c>
      <c r="BO384" s="53" t="s">
        <v>57</v>
      </c>
      <c r="BP384" s="53">
        <v>4</v>
      </c>
      <c r="BQ384" s="83"/>
      <c r="BR384" s="53"/>
      <c r="BS384" s="53"/>
    </row>
    <row r="385" spans="3:72" ht="14.25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8"/>
        <v>1</v>
      </c>
      <c r="M385" s="26">
        <f t="shared" si="34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67" t="e">
        <f>SUMIFS([1]Up!$J:$J,[1]Up!$D:$D,D385)</f>
        <v>#VALUE!</v>
      </c>
      <c r="BI385" s="82"/>
      <c r="BJ385" s="82" t="str">
        <f t="shared" si="39"/>
        <v>PL10</v>
      </c>
      <c r="BK385" s="53" t="str">
        <f t="shared" si="40"/>
        <v/>
      </c>
      <c r="BL385" s="53" t="s">
        <v>148</v>
      </c>
      <c r="BM385" s="53" t="s">
        <v>1004</v>
      </c>
      <c r="BN385" s="53" t="s">
        <v>1005</v>
      </c>
      <c r="BO385" s="84" t="s">
        <v>2156</v>
      </c>
      <c r="BP385" s="53">
        <v>4</v>
      </c>
      <c r="BQ385" s="83">
        <v>46302</v>
      </c>
      <c r="BR385" s="53"/>
      <c r="BS385" s="53"/>
      <c r="BT385" s="238"/>
    </row>
    <row r="386" spans="3:72" ht="14.25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8"/>
        <v>2</v>
      </c>
      <c r="M386" s="26">
        <f t="shared" si="34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67" t="e">
        <f>SUMIFS([1]Up!$J:$J,[1]Up!$D:$D,D386)</f>
        <v>#VALUE!</v>
      </c>
      <c r="BI386" s="82"/>
      <c r="BJ386" s="82" t="str">
        <f t="shared" si="39"/>
        <v>PL15</v>
      </c>
      <c r="BK386" s="53" t="str">
        <f t="shared" si="40"/>
        <v/>
      </c>
      <c r="BL386" s="53" t="s">
        <v>148</v>
      </c>
      <c r="BM386" s="53" t="s">
        <v>1093</v>
      </c>
      <c r="BN386" s="53" t="s">
        <v>1094</v>
      </c>
      <c r="BO386" s="84" t="s">
        <v>2155</v>
      </c>
      <c r="BP386" s="53">
        <v>8</v>
      </c>
      <c r="BQ386" s="83" t="s">
        <v>2224</v>
      </c>
      <c r="BR386" s="53"/>
      <c r="BS386" s="53"/>
      <c r="BT386" s="238"/>
    </row>
    <row r="387" spans="3:72" ht="14.25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8"/>
        <v>2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67" t="e">
        <f>SUMIFS([1]Up!$J:$J,[1]Up!$D:$D,D387)</f>
        <v>#VALUE!</v>
      </c>
      <c r="BI387" s="82" t="s">
        <v>2228</v>
      </c>
      <c r="BJ387" s="82" t="str">
        <f t="shared" si="39"/>
        <v>PL10</v>
      </c>
      <c r="BK387" s="53" t="str">
        <f t="shared" si="40"/>
        <v/>
      </c>
      <c r="BL387" s="53" t="s">
        <v>154</v>
      </c>
      <c r="BM387" s="53" t="s">
        <v>1004</v>
      </c>
      <c r="BN387" s="53" t="s">
        <v>1005</v>
      </c>
      <c r="BO387" s="53" t="s">
        <v>57</v>
      </c>
      <c r="BP387" s="53">
        <v>4</v>
      </c>
      <c r="BQ387" s="83"/>
      <c r="BR387" s="53"/>
      <c r="BS387" s="53"/>
    </row>
    <row r="388" spans="3:72" ht="14.25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8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67" t="e">
        <f>SUMIFS([1]Up!$J:$J,[1]Up!$D:$D,D388)</f>
        <v>#VALUE!</v>
      </c>
      <c r="BI388" s="82" t="s">
        <v>2249</v>
      </c>
      <c r="BJ388" s="82" t="str">
        <f t="shared" si="39"/>
        <v>PL12</v>
      </c>
      <c r="BK388" s="53" t="str">
        <f t="shared" si="40"/>
        <v>Thừa 1</v>
      </c>
      <c r="BL388" s="53" t="s">
        <v>154</v>
      </c>
      <c r="BM388" s="53" t="s">
        <v>1020</v>
      </c>
      <c r="BN388" s="53" t="s">
        <v>1021</v>
      </c>
      <c r="BO388" s="53" t="s">
        <v>57</v>
      </c>
      <c r="BP388" s="53">
        <v>4</v>
      </c>
      <c r="BQ388" s="83"/>
      <c r="BR388" s="53"/>
      <c r="BS388" s="53"/>
    </row>
    <row r="389" spans="3:72" ht="14.25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8"/>
        <v>3</v>
      </c>
      <c r="M389" s="26">
        <f t="shared" si="34"/>
        <v>3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>
        <v>3</v>
      </c>
      <c r="BF389" s="26"/>
      <c r="BG389" s="26"/>
      <c r="BH389" s="67" t="e">
        <f>SUMIFS([1]Up!$J:$J,[1]Up!$D:$D,D389)</f>
        <v>#VALUE!</v>
      </c>
      <c r="BI389" s="82"/>
      <c r="BJ389" s="82" t="str">
        <f t="shared" si="39"/>
        <v>PL12</v>
      </c>
      <c r="BK389" s="53" t="str">
        <f t="shared" si="40"/>
        <v/>
      </c>
      <c r="BL389" s="53" t="s">
        <v>148</v>
      </c>
      <c r="BM389" s="53" t="s">
        <v>1020</v>
      </c>
      <c r="BN389" s="53" t="s">
        <v>1021</v>
      </c>
      <c r="BO389" s="84" t="s">
        <v>2159</v>
      </c>
      <c r="BP389" s="53">
        <v>12</v>
      </c>
      <c r="BQ389" s="83">
        <v>46302</v>
      </c>
      <c r="BR389" s="53"/>
      <c r="BS389" s="53"/>
      <c r="BT389" s="238"/>
    </row>
    <row r="390" spans="3:72" ht="14.25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8"/>
        <v>2</v>
      </c>
      <c r="M390" s="26">
        <f t="shared" si="34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67" t="e">
        <f>SUMIFS([1]Up!$J:$J,[1]Up!$D:$D,D390)</f>
        <v>#VALUE!</v>
      </c>
      <c r="BI390" s="82"/>
      <c r="BJ390" s="82" t="str">
        <f t="shared" si="39"/>
        <v>PL20</v>
      </c>
      <c r="BK390" s="53" t="str">
        <f t="shared" si="40"/>
        <v/>
      </c>
      <c r="BL390" s="53" t="s">
        <v>148</v>
      </c>
      <c r="BM390" s="53" t="s">
        <v>1099</v>
      </c>
      <c r="BN390" s="53" t="s">
        <v>1100</v>
      </c>
      <c r="BO390" s="84" t="s">
        <v>2157</v>
      </c>
      <c r="BP390" s="53">
        <v>8</v>
      </c>
      <c r="BQ390" s="83">
        <v>46242</v>
      </c>
      <c r="BR390" s="53"/>
      <c r="BS390" s="53"/>
      <c r="BT390" s="238"/>
    </row>
    <row r="391" spans="3:72" ht="14.25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8"/>
        <v>0</v>
      </c>
      <c r="M391" s="26">
        <f t="shared" si="3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67" t="e">
        <f>SUMIFS([1]Up!$J:$J,[1]Up!$D:$D,D391)</f>
        <v>#VALUE!</v>
      </c>
      <c r="BI391" s="82"/>
      <c r="BJ391" s="82" t="str">
        <f t="shared" si="39"/>
        <v>PL12</v>
      </c>
      <c r="BK391" s="53" t="str">
        <f t="shared" si="40"/>
        <v/>
      </c>
      <c r="BL391" s="53" t="s">
        <v>154</v>
      </c>
      <c r="BM391" s="53" t="s">
        <v>1020</v>
      </c>
      <c r="BN391" s="53" t="s">
        <v>1021</v>
      </c>
      <c r="BO391" s="53" t="s">
        <v>57</v>
      </c>
      <c r="BP391" s="53">
        <v>4</v>
      </c>
      <c r="BQ391" s="83"/>
      <c r="BR391" s="53"/>
      <c r="BS391" s="53"/>
    </row>
    <row r="392" spans="3:72" ht="14.25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8"/>
        <v>2</v>
      </c>
      <c r="M392" s="26">
        <f t="shared" si="34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67" t="e">
        <f>SUMIFS([1]Up!$J:$J,[1]Up!$D:$D,D392)</f>
        <v>#VALUE!</v>
      </c>
      <c r="BI392" s="82"/>
      <c r="BJ392" s="82" t="str">
        <f t="shared" si="39"/>
        <v>PL15</v>
      </c>
      <c r="BK392" s="53" t="str">
        <f t="shared" si="40"/>
        <v/>
      </c>
      <c r="BL392" s="53" t="s">
        <v>148</v>
      </c>
      <c r="BM392" s="53" t="s">
        <v>1093</v>
      </c>
      <c r="BN392" s="53" t="s">
        <v>1094</v>
      </c>
      <c r="BO392" s="84" t="s">
        <v>2155</v>
      </c>
      <c r="BP392" s="53">
        <v>8</v>
      </c>
      <c r="BQ392" s="83" t="s">
        <v>2224</v>
      </c>
      <c r="BR392" s="53"/>
      <c r="BS392" s="53"/>
      <c r="BT392" s="238"/>
    </row>
    <row r="393" spans="3:72" ht="14.25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8"/>
        <v>2</v>
      </c>
      <c r="M393" s="26">
        <f t="shared" si="34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67" t="e">
        <f>SUMIFS([1]Up!$J:$J,[1]Up!$D:$D,D393)</f>
        <v>#VALUE!</v>
      </c>
      <c r="BI393" s="82"/>
      <c r="BJ393" s="82" t="str">
        <f t="shared" si="39"/>
        <v>PL20</v>
      </c>
      <c r="BK393" s="53" t="str">
        <f t="shared" si="40"/>
        <v/>
      </c>
      <c r="BL393" s="53" t="s">
        <v>148</v>
      </c>
      <c r="BM393" s="53" t="s">
        <v>1099</v>
      </c>
      <c r="BN393" s="53" t="s">
        <v>1100</v>
      </c>
      <c r="BO393" s="84" t="s">
        <v>2157</v>
      </c>
      <c r="BP393" s="53">
        <v>8</v>
      </c>
      <c r="BQ393" s="83">
        <v>46242</v>
      </c>
      <c r="BR393" s="53"/>
      <c r="BS393" s="53"/>
      <c r="BT393" s="238"/>
    </row>
    <row r="394" spans="3:72" ht="14.25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8"/>
        <v>1</v>
      </c>
      <c r="M394" s="26">
        <f t="shared" si="3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67" t="e">
        <f>SUMIFS([1]Up!$J:$J,[1]Up!$D:$D,D394)</f>
        <v>#VALUE!</v>
      </c>
      <c r="BI394" s="82"/>
      <c r="BJ394" s="82" t="str">
        <f t="shared" si="39"/>
        <v>PL10</v>
      </c>
      <c r="BK394" s="53" t="str">
        <f t="shared" si="40"/>
        <v/>
      </c>
      <c r="BL394" s="53" t="s">
        <v>148</v>
      </c>
      <c r="BM394" s="53" t="s">
        <v>1004</v>
      </c>
      <c r="BN394" s="53" t="s">
        <v>1005</v>
      </c>
      <c r="BO394" s="84" t="s">
        <v>2156</v>
      </c>
      <c r="BP394" s="53">
        <v>4</v>
      </c>
      <c r="BQ394" s="83">
        <v>46302</v>
      </c>
      <c r="BR394" s="53"/>
      <c r="BS394" s="53"/>
      <c r="BT394" s="238"/>
    </row>
    <row r="395" spans="3:72" ht="14.25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8"/>
        <v>2</v>
      </c>
      <c r="M395" s="26">
        <f t="shared" si="34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67" t="e">
        <f>SUMIFS([1]Up!$J:$J,[1]Up!$D:$D,D395)</f>
        <v>#VALUE!</v>
      </c>
      <c r="BI395" s="82" t="s">
        <v>2237</v>
      </c>
      <c r="BJ395" s="82" t="str">
        <f t="shared" si="39"/>
        <v>PL10</v>
      </c>
      <c r="BK395" s="53" t="str">
        <f t="shared" si="40"/>
        <v/>
      </c>
      <c r="BL395" s="53" t="s">
        <v>154</v>
      </c>
      <c r="BM395" s="53" t="s">
        <v>1004</v>
      </c>
      <c r="BN395" s="53" t="s">
        <v>1005</v>
      </c>
      <c r="BO395" s="53" t="s">
        <v>57</v>
      </c>
      <c r="BP395" s="53">
        <v>4</v>
      </c>
      <c r="BQ395" s="83"/>
      <c r="BR395" s="53"/>
      <c r="BS395" s="53"/>
    </row>
    <row r="396" spans="3:72" ht="14.25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8"/>
        <v>2</v>
      </c>
      <c r="M396" s="26">
        <f t="shared" si="3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26"/>
      <c r="BD396" s="26">
        <v>1</v>
      </c>
      <c r="BE396" s="26"/>
      <c r="BF396" s="26"/>
      <c r="BG396" s="26"/>
      <c r="BH396" s="67" t="e">
        <f>SUMIFS([1]Up!$J:$J,[1]Up!$D:$D,D396)</f>
        <v>#VALUE!</v>
      </c>
      <c r="BI396" s="82"/>
      <c r="BJ396" s="82" t="str">
        <f t="shared" si="39"/>
        <v>PL10</v>
      </c>
      <c r="BK396" s="53" t="str">
        <f t="shared" si="40"/>
        <v/>
      </c>
      <c r="BL396" s="53" t="s">
        <v>154</v>
      </c>
      <c r="BM396" s="53" t="s">
        <v>1004</v>
      </c>
      <c r="BN396" s="53" t="s">
        <v>1005</v>
      </c>
      <c r="BO396" s="84" t="s">
        <v>2156</v>
      </c>
      <c r="BP396" s="53">
        <v>4</v>
      </c>
      <c r="BQ396" s="83">
        <v>46302</v>
      </c>
      <c r="BR396" s="53"/>
      <c r="BS396" s="53"/>
      <c r="BT396" s="238"/>
    </row>
    <row r="397" spans="3:72" ht="14.25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8"/>
        <v>2</v>
      </c>
      <c r="M397" s="26">
        <f t="shared" si="34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67" t="e">
        <f>SUMIFS([1]Up!$J:$J,[1]Up!$D:$D,D397)</f>
        <v>#VALUE!</v>
      </c>
      <c r="BI397" s="82"/>
      <c r="BJ397" s="82" t="str">
        <f t="shared" si="39"/>
        <v>PL20</v>
      </c>
      <c r="BK397" s="53" t="str">
        <f t="shared" si="40"/>
        <v/>
      </c>
      <c r="BL397" s="53" t="s">
        <v>148</v>
      </c>
      <c r="BM397" s="53" t="s">
        <v>1099</v>
      </c>
      <c r="BN397" s="53" t="s">
        <v>1100</v>
      </c>
      <c r="BO397" s="84" t="s">
        <v>2157</v>
      </c>
      <c r="BP397" s="53">
        <v>8</v>
      </c>
      <c r="BQ397" s="83">
        <v>46242</v>
      </c>
      <c r="BR397" s="53"/>
      <c r="BS397" s="53"/>
      <c r="BT397" s="238"/>
    </row>
    <row r="398" spans="3:72" ht="14.25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8"/>
        <v>0</v>
      </c>
      <c r="M398" s="26">
        <f t="shared" si="34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67" t="e">
        <f>SUMIFS([1]Up!$J:$J,[1]Up!$D:$D,D398)</f>
        <v>#VALUE!</v>
      </c>
      <c r="BI398" s="82"/>
      <c r="BJ398" s="82" t="str">
        <f t="shared" si="39"/>
        <v>PL12</v>
      </c>
      <c r="BK398" s="53" t="str">
        <f t="shared" si="40"/>
        <v/>
      </c>
      <c r="BL398" s="53" t="s">
        <v>154</v>
      </c>
      <c r="BM398" s="53" t="s">
        <v>1020</v>
      </c>
      <c r="BN398" s="53" t="s">
        <v>1021</v>
      </c>
      <c r="BO398" s="53" t="s">
        <v>57</v>
      </c>
      <c r="BP398" s="53">
        <v>4</v>
      </c>
      <c r="BQ398" s="83"/>
      <c r="BR398" s="53"/>
      <c r="BS398" s="53"/>
    </row>
    <row r="399" spans="3:72" ht="14.25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8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67" t="e">
        <f>SUMIFS([1]Up!$J:$J,[1]Up!$D:$D,D399)</f>
        <v>#VALUE!</v>
      </c>
      <c r="BI399" s="82" t="s">
        <v>2244</v>
      </c>
      <c r="BJ399" s="82" t="str">
        <f t="shared" si="39"/>
        <v>PL12</v>
      </c>
      <c r="BK399" s="53" t="str">
        <f t="shared" si="40"/>
        <v>Thừa 1</v>
      </c>
      <c r="BL399" s="53" t="s">
        <v>154</v>
      </c>
      <c r="BM399" s="53" t="s">
        <v>1020</v>
      </c>
      <c r="BN399" s="53" t="s">
        <v>1021</v>
      </c>
      <c r="BO399" s="53" t="s">
        <v>57</v>
      </c>
      <c r="BP399" s="53">
        <v>4</v>
      </c>
      <c r="BQ399" s="83"/>
      <c r="BR399" s="53"/>
      <c r="BS399" s="53"/>
    </row>
    <row r="400" spans="3:72" ht="14.25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8"/>
        <v>3</v>
      </c>
      <c r="M400" s="26">
        <f t="shared" si="34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67" t="e">
        <f>SUMIFS([1]Up!$J:$J,[1]Up!$D:$D,D400)</f>
        <v>#VALUE!</v>
      </c>
      <c r="BI400" s="82"/>
      <c r="BJ400" s="82" t="str">
        <f t="shared" si="39"/>
        <v>PL12</v>
      </c>
      <c r="BK400" s="53" t="str">
        <f t="shared" si="40"/>
        <v/>
      </c>
      <c r="BL400" s="53" t="s">
        <v>148</v>
      </c>
      <c r="BM400" s="53" t="s">
        <v>1020</v>
      </c>
      <c r="BN400" s="53" t="s">
        <v>1021</v>
      </c>
      <c r="BO400" s="84" t="s">
        <v>2159</v>
      </c>
      <c r="BP400" s="53">
        <v>12</v>
      </c>
      <c r="BQ400" s="83">
        <v>46302</v>
      </c>
      <c r="BR400" s="53"/>
      <c r="BS400" s="53"/>
      <c r="BT400" s="238"/>
    </row>
    <row r="401" spans="3:72" ht="14.25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8"/>
        <v>1</v>
      </c>
      <c r="M401" s="26">
        <f t="shared" si="3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67" t="e">
        <f>SUMIFS([1]Up!$J:$J,[1]Up!$D:$D,D401)</f>
        <v>#VALUE!</v>
      </c>
      <c r="BI401" s="82"/>
      <c r="BJ401" s="82" t="str">
        <f t="shared" si="39"/>
        <v>PL10</v>
      </c>
      <c r="BK401" s="53" t="str">
        <f t="shared" si="40"/>
        <v/>
      </c>
      <c r="BL401" s="53" t="s">
        <v>148</v>
      </c>
      <c r="BM401" s="53" t="s">
        <v>1004</v>
      </c>
      <c r="BN401" s="53" t="s">
        <v>1005</v>
      </c>
      <c r="BO401" s="84" t="s">
        <v>2156</v>
      </c>
      <c r="BP401" s="53">
        <v>4</v>
      </c>
      <c r="BQ401" s="83">
        <v>46302</v>
      </c>
      <c r="BR401" s="53"/>
      <c r="BS401" s="53"/>
      <c r="BT401" s="238"/>
    </row>
    <row r="402" spans="3:72" ht="14.25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8"/>
        <v>2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67" t="e">
        <f>SUMIFS([1]Up!$J:$J,[1]Up!$D:$D,D402)</f>
        <v>#VALUE!</v>
      </c>
      <c r="BI402" s="82" t="s">
        <v>2073</v>
      </c>
      <c r="BJ402" s="82" t="str">
        <f t="shared" si="39"/>
        <v>PL10</v>
      </c>
      <c r="BK402" s="53" t="str">
        <f t="shared" si="40"/>
        <v/>
      </c>
      <c r="BL402" s="53" t="s">
        <v>154</v>
      </c>
      <c r="BM402" s="53" t="s">
        <v>1004</v>
      </c>
      <c r="BN402" s="53" t="s">
        <v>1005</v>
      </c>
      <c r="BO402" s="53" t="s">
        <v>57</v>
      </c>
      <c r="BP402" s="53">
        <v>4</v>
      </c>
      <c r="BQ402" s="83"/>
      <c r="BR402" s="53"/>
      <c r="BS402" s="53"/>
    </row>
    <row r="403" spans="3:72" ht="14.25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8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>
        <v>1</v>
      </c>
      <c r="BE403" s="26"/>
      <c r="BF403" s="26"/>
      <c r="BG403" s="26"/>
      <c r="BH403" s="67" t="e">
        <f>SUMIFS([1]Up!$J:$J,[1]Up!$D:$D,D403)</f>
        <v>#VALUE!</v>
      </c>
      <c r="BI403" s="82"/>
      <c r="BJ403" s="82" t="str">
        <f t="shared" si="39"/>
        <v>PL10</v>
      </c>
      <c r="BK403" s="53" t="str">
        <f t="shared" si="40"/>
        <v/>
      </c>
      <c r="BL403" s="53" t="s">
        <v>154</v>
      </c>
      <c r="BM403" s="53" t="s">
        <v>1004</v>
      </c>
      <c r="BN403" s="53" t="s">
        <v>1005</v>
      </c>
      <c r="BO403" s="84" t="s">
        <v>2156</v>
      </c>
      <c r="BP403" s="53">
        <v>4</v>
      </c>
      <c r="BQ403" s="83">
        <v>46302</v>
      </c>
      <c r="BR403" s="53"/>
      <c r="BS403" s="53"/>
      <c r="BT403" s="238"/>
    </row>
    <row r="404" spans="3:72" ht="14.25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8"/>
        <v>2</v>
      </c>
      <c r="M404" s="26">
        <f t="shared" si="3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67" t="e">
        <f>SUMIFS([1]Up!$J:$J,[1]Up!$D:$D,D404)</f>
        <v>#VALUE!</v>
      </c>
      <c r="BI404" s="82"/>
      <c r="BJ404" s="82" t="str">
        <f t="shared" si="39"/>
        <v>PL20</v>
      </c>
      <c r="BK404" s="53" t="str">
        <f t="shared" si="40"/>
        <v/>
      </c>
      <c r="BL404" s="53" t="s">
        <v>148</v>
      </c>
      <c r="BM404" s="53" t="s">
        <v>1099</v>
      </c>
      <c r="BN404" s="53" t="s">
        <v>1100</v>
      </c>
      <c r="BO404" s="84" t="s">
        <v>2157</v>
      </c>
      <c r="BP404" s="53">
        <v>8</v>
      </c>
      <c r="BQ404" s="83">
        <v>46242</v>
      </c>
      <c r="BR404" s="53"/>
      <c r="BS404" s="53"/>
      <c r="BT404" s="238"/>
    </row>
    <row r="405" spans="3:72" ht="14.25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8"/>
        <v>0</v>
      </c>
      <c r="M405" s="26">
        <f t="shared" si="34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67" t="e">
        <f>SUMIFS([1]Up!$J:$J,[1]Up!$D:$D,D405)</f>
        <v>#VALUE!</v>
      </c>
      <c r="BI405" s="82"/>
      <c r="BJ405" s="82" t="str">
        <f t="shared" si="39"/>
        <v>PL12</v>
      </c>
      <c r="BK405" s="53" t="str">
        <f t="shared" si="40"/>
        <v/>
      </c>
      <c r="BL405" s="53" t="s">
        <v>154</v>
      </c>
      <c r="BM405" s="53" t="s">
        <v>1020</v>
      </c>
      <c r="BN405" s="53" t="s">
        <v>1021</v>
      </c>
      <c r="BO405" s="53" t="s">
        <v>57</v>
      </c>
      <c r="BP405" s="53">
        <v>4</v>
      </c>
      <c r="BQ405" s="83"/>
      <c r="BR405" s="53"/>
      <c r="BS405" s="53"/>
    </row>
    <row r="406" spans="3:72" ht="14.25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8"/>
        <v>2</v>
      </c>
      <c r="M406" s="26">
        <f t="shared" si="34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67" t="e">
        <f>SUMIFS([1]Up!$J:$J,[1]Up!$D:$D,D406)</f>
        <v>#VALUE!</v>
      </c>
      <c r="BI406" s="82" t="s">
        <v>2247</v>
      </c>
      <c r="BJ406" s="82" t="str">
        <f t="shared" si="39"/>
        <v>PL12</v>
      </c>
      <c r="BK406" s="53" t="str">
        <f t="shared" si="40"/>
        <v>Thừa 1</v>
      </c>
      <c r="BL406" s="53" t="s">
        <v>154</v>
      </c>
      <c r="BM406" s="53" t="s">
        <v>1020</v>
      </c>
      <c r="BN406" s="53" t="s">
        <v>1021</v>
      </c>
      <c r="BO406" s="53" t="s">
        <v>57</v>
      </c>
      <c r="BP406" s="53">
        <v>4</v>
      </c>
      <c r="BQ406" s="83"/>
      <c r="BR406" s="53"/>
      <c r="BS406" s="53"/>
    </row>
    <row r="407" spans="3:72" ht="14.25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8"/>
        <v>3</v>
      </c>
      <c r="M407" s="26">
        <f t="shared" si="34"/>
        <v>3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>
        <v>3</v>
      </c>
      <c r="BF407" s="26"/>
      <c r="BG407" s="26"/>
      <c r="BH407" s="67" t="e">
        <f>SUMIFS([1]Up!$J:$J,[1]Up!$D:$D,D407)</f>
        <v>#VALUE!</v>
      </c>
      <c r="BI407" s="82"/>
      <c r="BJ407" s="82" t="str">
        <f t="shared" si="39"/>
        <v>PL12</v>
      </c>
      <c r="BK407" s="53" t="str">
        <f t="shared" si="40"/>
        <v/>
      </c>
      <c r="BL407" s="53" t="s">
        <v>148</v>
      </c>
      <c r="BM407" s="53" t="s">
        <v>1020</v>
      </c>
      <c r="BN407" s="53" t="s">
        <v>1021</v>
      </c>
      <c r="BO407" s="84" t="s">
        <v>2159</v>
      </c>
      <c r="BP407" s="53">
        <v>12</v>
      </c>
      <c r="BQ407" s="83">
        <v>46302</v>
      </c>
      <c r="BR407" s="53"/>
      <c r="BS407" s="53"/>
      <c r="BT407" s="238"/>
    </row>
    <row r="408" spans="3:72" ht="14.25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8"/>
        <v>1</v>
      </c>
      <c r="M408" s="26">
        <f t="shared" si="3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67" t="e">
        <f>SUMIFS([1]Up!$J:$J,[1]Up!$D:$D,D408)</f>
        <v>#VALUE!</v>
      </c>
      <c r="BI408" s="82"/>
      <c r="BJ408" s="82" t="str">
        <f t="shared" si="39"/>
        <v>PL10</v>
      </c>
      <c r="BK408" s="53" t="str">
        <f t="shared" si="40"/>
        <v/>
      </c>
      <c r="BL408" s="53" t="s">
        <v>148</v>
      </c>
      <c r="BM408" s="53" t="s">
        <v>1004</v>
      </c>
      <c r="BN408" s="53" t="s">
        <v>1005</v>
      </c>
      <c r="BO408" s="84" t="s">
        <v>2156</v>
      </c>
      <c r="BP408" s="53">
        <v>4</v>
      </c>
      <c r="BQ408" s="83">
        <v>46302</v>
      </c>
      <c r="BR408" s="53"/>
      <c r="BS408" s="53"/>
      <c r="BT408" s="238"/>
    </row>
    <row r="409" spans="3:72" ht="14.25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8"/>
        <v>6</v>
      </c>
      <c r="M409" s="26">
        <f t="shared" si="34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67" t="e">
        <f>SUMIFS([1]Up!$J:$J,[1]Up!$D:$D,D409)</f>
        <v>#VALUE!</v>
      </c>
      <c r="BI409" s="82"/>
      <c r="BJ409" s="82" t="str">
        <f t="shared" si="39"/>
        <v/>
      </c>
      <c r="BK409" s="53" t="str">
        <f t="shared" si="40"/>
        <v/>
      </c>
      <c r="BL409" s="53" t="s">
        <v>148</v>
      </c>
      <c r="BM409" s="53" t="s">
        <v>1078</v>
      </c>
      <c r="BN409" s="53" t="s">
        <v>1075</v>
      </c>
      <c r="BO409" s="53" t="s">
        <v>1289</v>
      </c>
      <c r="BP409" s="53">
        <v>6</v>
      </c>
      <c r="BQ409" s="83">
        <v>46362</v>
      </c>
      <c r="BR409" s="53"/>
      <c r="BS409" s="53"/>
    </row>
    <row r="410" spans="3:72" ht="14.25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8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67" t="e">
        <f>SUMIFS([1]Up!$J:$J,[1]Up!$D:$D,D410)</f>
        <v>#VALUE!</v>
      </c>
      <c r="BI410" s="82" t="s">
        <v>2083</v>
      </c>
      <c r="BJ410" s="82" t="str">
        <f t="shared" si="39"/>
        <v>PL10</v>
      </c>
      <c r="BK410" s="53" t="str">
        <f t="shared" si="40"/>
        <v>Thừa 8</v>
      </c>
      <c r="BL410" s="53" t="s">
        <v>154</v>
      </c>
      <c r="BM410" s="53" t="s">
        <v>1004</v>
      </c>
      <c r="BN410" s="53" t="s">
        <v>1005</v>
      </c>
      <c r="BO410" s="53" t="s">
        <v>57</v>
      </c>
      <c r="BP410" s="53">
        <v>1</v>
      </c>
      <c r="BQ410" s="83"/>
      <c r="BR410" s="53"/>
      <c r="BS410" s="53"/>
    </row>
    <row r="411" spans="3:72" ht="14.25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8"/>
        <v>2</v>
      </c>
      <c r="M411" s="26">
        <f t="shared" si="34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67" t="e">
        <f>SUMIFS([1]Up!$J:$J,[1]Up!$D:$D,D411)</f>
        <v>#VALUE!</v>
      </c>
      <c r="BI411" s="82"/>
      <c r="BJ411" s="82" t="str">
        <f t="shared" si="39"/>
        <v>PL15</v>
      </c>
      <c r="BK411" s="53" t="str">
        <f t="shared" si="40"/>
        <v/>
      </c>
      <c r="BL411" s="53" t="s">
        <v>148</v>
      </c>
      <c r="BM411" s="53" t="s">
        <v>1093</v>
      </c>
      <c r="BN411" s="53" t="s">
        <v>1094</v>
      </c>
      <c r="BO411" s="53" t="s">
        <v>1303</v>
      </c>
      <c r="BP411" s="53">
        <v>2</v>
      </c>
      <c r="BQ411" s="83">
        <v>46088</v>
      </c>
      <c r="BR411" s="53"/>
      <c r="BS411" s="53"/>
    </row>
    <row r="412" spans="3:72" ht="14.25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8"/>
        <v>1</v>
      </c>
      <c r="M412" s="26">
        <f t="shared" si="34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67" t="e">
        <f>SUMIFS([1]Up!$J:$J,[1]Up!$D:$D,D412)</f>
        <v>#VALUE!</v>
      </c>
      <c r="BI412" s="82"/>
      <c r="BJ412" s="82" t="str">
        <f t="shared" si="39"/>
        <v>PL10</v>
      </c>
      <c r="BK412" s="53" t="str">
        <f t="shared" si="40"/>
        <v/>
      </c>
      <c r="BL412" s="53" t="s">
        <v>148</v>
      </c>
      <c r="BM412" s="53" t="s">
        <v>1004</v>
      </c>
      <c r="BN412" s="53" t="s">
        <v>1005</v>
      </c>
      <c r="BO412" s="53" t="s">
        <v>1063</v>
      </c>
      <c r="BP412" s="53">
        <v>1</v>
      </c>
      <c r="BQ412" s="83">
        <v>46088</v>
      </c>
      <c r="BR412" s="53"/>
      <c r="BS412" s="53"/>
    </row>
    <row r="413" spans="3:72" ht="14.25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8"/>
        <v>7</v>
      </c>
      <c r="M413" s="26">
        <f t="shared" si="34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67" t="e">
        <f>SUMIFS([1]Up!$J:$J,[1]Up!$D:$D,D413)</f>
        <v>#VALUE!</v>
      </c>
      <c r="BI413" s="82"/>
      <c r="BJ413" s="82" t="str">
        <f t="shared" si="39"/>
        <v>PL10</v>
      </c>
      <c r="BK413" s="53" t="str">
        <f t="shared" si="40"/>
        <v/>
      </c>
      <c r="BL413" s="53" t="s">
        <v>148</v>
      </c>
      <c r="BM413" s="53" t="s">
        <v>1004</v>
      </c>
      <c r="BN413" s="53" t="s">
        <v>1005</v>
      </c>
      <c r="BO413" s="53" t="s">
        <v>1063</v>
      </c>
      <c r="BP413" s="53">
        <v>7</v>
      </c>
      <c r="BQ413" s="83">
        <v>46088</v>
      </c>
      <c r="BR413" s="53"/>
      <c r="BS413" s="53"/>
    </row>
    <row r="414" spans="3:72" ht="14.25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41">MIN(SUM(N414:BG414),I414)</f>
        <v>7</v>
      </c>
      <c r="M414" s="26">
        <f t="shared" si="34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67" t="e">
        <f>SUMIFS([1]Up!$J:$J,[1]Up!$D:$D,D414)</f>
        <v>#VALUE!</v>
      </c>
      <c r="BI414" s="82"/>
      <c r="BJ414" s="82" t="str">
        <f t="shared" ref="BJ414:BJ477" si="42">IFERROR(IF(C414="Plate",LEFT(E414,FIND("*",E414,1)-1),""),IF(C414="Plate",LEFT(E414,FIND("x",E414,1)-1),""))</f>
        <v>PL10</v>
      </c>
      <c r="BK414" s="53" t="str">
        <f t="shared" ref="BK414:BK477" si="43">IF(ROUND(SUM(N414:BG414)-I414,0)&gt;0,"Thừa "&amp;SUM(N414:BG414)-I414,"")</f>
        <v/>
      </c>
      <c r="BL414" s="53" t="s">
        <v>148</v>
      </c>
      <c r="BM414" s="53" t="s">
        <v>1004</v>
      </c>
      <c r="BN414" s="53" t="s">
        <v>1005</v>
      </c>
      <c r="BO414" s="53" t="s">
        <v>1063</v>
      </c>
      <c r="BP414" s="53">
        <v>7</v>
      </c>
      <c r="BQ414" s="83">
        <v>46088</v>
      </c>
      <c r="BR414" s="53"/>
      <c r="BS414" s="53"/>
    </row>
    <row r="415" spans="3:72" ht="14.25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41"/>
        <v>14</v>
      </c>
      <c r="M415" s="26">
        <f t="shared" si="3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67" t="e">
        <f>SUMIFS([1]Up!$J:$J,[1]Up!$D:$D,D415)</f>
        <v>#VALUE!</v>
      </c>
      <c r="BI415" s="82"/>
      <c r="BJ415" s="82" t="str">
        <f t="shared" si="42"/>
        <v>PL16</v>
      </c>
      <c r="BK415" s="53" t="str">
        <f t="shared" si="43"/>
        <v/>
      </c>
      <c r="BL415" s="53" t="s">
        <v>148</v>
      </c>
      <c r="BM415" s="53" t="s">
        <v>987</v>
      </c>
      <c r="BN415" s="53" t="s">
        <v>988</v>
      </c>
      <c r="BO415" s="53" t="s">
        <v>989</v>
      </c>
      <c r="BP415" s="53">
        <v>14</v>
      </c>
      <c r="BQ415" s="83" t="s">
        <v>2222</v>
      </c>
      <c r="BR415" s="53"/>
      <c r="BS415" s="53"/>
    </row>
    <row r="416" spans="3:72" ht="14.25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41"/>
        <v>4</v>
      </c>
      <c r="M416" s="26">
        <f t="shared" si="34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67" t="e">
        <f>SUMIFS([1]Up!$J:$J,[1]Up!$D:$D,D416)</f>
        <v>#VALUE!</v>
      </c>
      <c r="BI416" s="82"/>
      <c r="BJ416" s="82" t="str">
        <f t="shared" si="42"/>
        <v>PL10</v>
      </c>
      <c r="BK416" s="53" t="str">
        <f t="shared" si="43"/>
        <v/>
      </c>
      <c r="BL416" s="53" t="s">
        <v>148</v>
      </c>
      <c r="BM416" s="53" t="s">
        <v>1004</v>
      </c>
      <c r="BN416" s="53" t="s">
        <v>1005</v>
      </c>
      <c r="BO416" s="53" t="s">
        <v>1063</v>
      </c>
      <c r="BP416" s="53">
        <v>4</v>
      </c>
      <c r="BQ416" s="83">
        <v>46088</v>
      </c>
      <c r="BR416" s="53"/>
      <c r="BS416" s="53"/>
    </row>
    <row r="417" spans="3:72" ht="14.25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41"/>
        <v>4</v>
      </c>
      <c r="M417" s="26">
        <f t="shared" si="34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67" t="e">
        <f>SUMIFS([1]Up!$J:$J,[1]Up!$D:$D,D417)</f>
        <v>#VALUE!</v>
      </c>
      <c r="BI417" s="82"/>
      <c r="BJ417" s="82" t="str">
        <f t="shared" si="42"/>
        <v>PL10</v>
      </c>
      <c r="BK417" s="53" t="str">
        <f t="shared" si="43"/>
        <v/>
      </c>
      <c r="BL417" s="53" t="s">
        <v>148</v>
      </c>
      <c r="BM417" s="53" t="s">
        <v>1004</v>
      </c>
      <c r="BN417" s="53" t="s">
        <v>1005</v>
      </c>
      <c r="BO417" s="53" t="s">
        <v>1063</v>
      </c>
      <c r="BP417" s="53">
        <v>4</v>
      </c>
      <c r="BQ417" s="83">
        <v>46088</v>
      </c>
      <c r="BR417" s="53"/>
      <c r="BS417" s="53"/>
    </row>
    <row r="418" spans="3:72" ht="14.25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41"/>
        <v>4</v>
      </c>
      <c r="M418" s="26">
        <f t="shared" si="34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67" t="e">
        <f>SUMIFS([1]Up!$J:$J,[1]Up!$D:$D,D418)</f>
        <v>#VALUE!</v>
      </c>
      <c r="BI418" s="82"/>
      <c r="BJ418" s="82" t="str">
        <f t="shared" si="42"/>
        <v>PL15</v>
      </c>
      <c r="BK418" s="53" t="str">
        <f t="shared" si="43"/>
        <v/>
      </c>
      <c r="BL418" s="53" t="s">
        <v>148</v>
      </c>
      <c r="BM418" s="53" t="s">
        <v>1093</v>
      </c>
      <c r="BN418" s="53" t="s">
        <v>1094</v>
      </c>
      <c r="BO418" s="53" t="s">
        <v>1303</v>
      </c>
      <c r="BP418" s="53">
        <v>4</v>
      </c>
      <c r="BQ418" s="83">
        <v>46088</v>
      </c>
      <c r="BR418" s="53"/>
      <c r="BS418" s="53"/>
    </row>
    <row r="419" spans="3:72" ht="14.25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41"/>
        <v>1</v>
      </c>
      <c r="M419" s="26">
        <f t="shared" si="3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67" t="e">
        <f>SUMIFS([1]Up!$J:$J,[1]Up!$D:$D,D419)</f>
        <v>#VALUE!</v>
      </c>
      <c r="BI419" s="82" t="s">
        <v>2229</v>
      </c>
      <c r="BJ419" s="82" t="str">
        <f t="shared" si="42"/>
        <v>PL10</v>
      </c>
      <c r="BK419" s="53" t="str">
        <f t="shared" si="43"/>
        <v>Thừa 6</v>
      </c>
      <c r="BL419" s="53" t="s">
        <v>154</v>
      </c>
      <c r="BM419" s="53" t="s">
        <v>1004</v>
      </c>
      <c r="BN419" s="53" t="s">
        <v>1005</v>
      </c>
      <c r="BO419" s="53" t="s">
        <v>57</v>
      </c>
      <c r="BP419" s="53">
        <v>1</v>
      </c>
      <c r="BQ419" s="83"/>
      <c r="BR419" s="53"/>
      <c r="BS419" s="53"/>
    </row>
    <row r="420" spans="3:72" ht="14.25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41"/>
        <v>3</v>
      </c>
      <c r="M420" s="26">
        <f t="shared" si="34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67" t="e">
        <f>SUMIFS([1]Up!$J:$J,[1]Up!$D:$D,D420)</f>
        <v>#VALUE!</v>
      </c>
      <c r="BI420" s="82"/>
      <c r="BJ420" s="82" t="str">
        <f t="shared" si="42"/>
        <v>PL10</v>
      </c>
      <c r="BK420" s="53" t="str">
        <f t="shared" si="43"/>
        <v/>
      </c>
      <c r="BL420" s="53" t="s">
        <v>148</v>
      </c>
      <c r="BM420" s="53" t="s">
        <v>1004</v>
      </c>
      <c r="BN420" s="53" t="s">
        <v>1005</v>
      </c>
      <c r="BO420" s="53" t="s">
        <v>1063</v>
      </c>
      <c r="BP420" s="53">
        <v>3</v>
      </c>
      <c r="BQ420" s="83">
        <v>46088</v>
      </c>
      <c r="BR420" s="53"/>
      <c r="BS420" s="53"/>
    </row>
    <row r="421" spans="3:72" ht="14.25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41"/>
        <v>1</v>
      </c>
      <c r="M421" s="26">
        <f t="shared" si="34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67" t="e">
        <f>SUMIFS([1]Up!$J:$J,[1]Up!$D:$D,D421)</f>
        <v>#VALUE!</v>
      </c>
      <c r="BI421" s="82"/>
      <c r="BJ421" s="82" t="str">
        <f t="shared" si="42"/>
        <v>PL15</v>
      </c>
      <c r="BK421" s="53" t="str">
        <f t="shared" si="43"/>
        <v/>
      </c>
      <c r="BL421" s="53" t="s">
        <v>148</v>
      </c>
      <c r="BM421" s="53" t="s">
        <v>1093</v>
      </c>
      <c r="BN421" s="53" t="s">
        <v>1094</v>
      </c>
      <c r="BO421" s="53" t="s">
        <v>1303</v>
      </c>
      <c r="BP421" s="53">
        <v>1</v>
      </c>
      <c r="BQ421" s="83">
        <v>46088</v>
      </c>
      <c r="BR421" s="53"/>
      <c r="BS421" s="53"/>
    </row>
    <row r="422" spans="3:72" ht="14.25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41"/>
        <v>1</v>
      </c>
      <c r="M422" s="26">
        <f t="shared" si="34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67" t="e">
        <f>SUMIFS([1]Up!$J:$J,[1]Up!$D:$D,D422)</f>
        <v>#VALUE!</v>
      </c>
      <c r="BI422" s="82"/>
      <c r="BJ422" s="82" t="str">
        <f t="shared" si="42"/>
        <v>PL20</v>
      </c>
      <c r="BK422" s="53" t="str">
        <f t="shared" si="43"/>
        <v/>
      </c>
      <c r="BL422" s="53" t="s">
        <v>148</v>
      </c>
      <c r="BM422" s="53" t="s">
        <v>1099</v>
      </c>
      <c r="BN422" s="53" t="s">
        <v>1100</v>
      </c>
      <c r="BO422" s="53" t="s">
        <v>1307</v>
      </c>
      <c r="BP422" s="53">
        <v>1</v>
      </c>
      <c r="BQ422" s="83">
        <v>46242</v>
      </c>
      <c r="BR422" s="53"/>
      <c r="BS422" s="53"/>
    </row>
    <row r="423" spans="3:72" ht="14.25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41"/>
        <v>1</v>
      </c>
      <c r="M423" s="26">
        <f t="shared" si="3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67" t="e">
        <f>SUMIFS([1]Up!$J:$J,[1]Up!$D:$D,D423)</f>
        <v>#VALUE!</v>
      </c>
      <c r="BI423" s="82" t="s">
        <v>2230</v>
      </c>
      <c r="BJ423" s="82" t="str">
        <f t="shared" si="42"/>
        <v>PL10</v>
      </c>
      <c r="BK423" s="53" t="str">
        <f t="shared" si="43"/>
        <v>Thừa 6</v>
      </c>
      <c r="BL423" s="53" t="s">
        <v>154</v>
      </c>
      <c r="BM423" s="53" t="s">
        <v>1004</v>
      </c>
      <c r="BN423" s="53" t="s">
        <v>1005</v>
      </c>
      <c r="BO423" s="53" t="s">
        <v>57</v>
      </c>
      <c r="BP423" s="53">
        <v>1</v>
      </c>
      <c r="BQ423" s="83"/>
      <c r="BR423" s="53"/>
      <c r="BS423" s="53"/>
    </row>
    <row r="424" spans="3:72" ht="14.25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41"/>
        <v>7</v>
      </c>
      <c r="M424" s="26">
        <f t="shared" si="34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67" t="e">
        <f>SUMIFS([1]Up!$J:$J,[1]Up!$D:$D,D424)</f>
        <v>#VALUE!</v>
      </c>
      <c r="BI424" s="82"/>
      <c r="BJ424" s="82" t="str">
        <f t="shared" si="42"/>
        <v>PL10</v>
      </c>
      <c r="BK424" s="53" t="str">
        <f t="shared" si="43"/>
        <v/>
      </c>
      <c r="BL424" s="53" t="s">
        <v>148</v>
      </c>
      <c r="BM424" s="53" t="s">
        <v>1004</v>
      </c>
      <c r="BN424" s="53" t="s">
        <v>1005</v>
      </c>
      <c r="BO424" s="53" t="s">
        <v>1063</v>
      </c>
      <c r="BP424" s="53">
        <v>7</v>
      </c>
      <c r="BQ424" s="83">
        <v>46088</v>
      </c>
      <c r="BR424" s="53"/>
      <c r="BS424" s="53"/>
    </row>
    <row r="425" spans="3:72" ht="14.25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41"/>
        <v>1</v>
      </c>
      <c r="M425" s="26">
        <f t="shared" si="34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67" t="e">
        <f>SUMIFS([1]Up!$J:$J,[1]Up!$D:$D,D425)</f>
        <v>#VALUE!</v>
      </c>
      <c r="BI425" s="82"/>
      <c r="BJ425" s="82" t="str">
        <f t="shared" si="42"/>
        <v>PL15</v>
      </c>
      <c r="BK425" s="53" t="str">
        <f t="shared" si="43"/>
        <v/>
      </c>
      <c r="BL425" s="53" t="s">
        <v>148</v>
      </c>
      <c r="BM425" s="53" t="s">
        <v>1093</v>
      </c>
      <c r="BN425" s="53" t="s">
        <v>1094</v>
      </c>
      <c r="BO425" s="53" t="s">
        <v>1303</v>
      </c>
      <c r="BP425" s="53">
        <v>1</v>
      </c>
      <c r="BQ425" s="83">
        <v>46088</v>
      </c>
      <c r="BR425" s="53"/>
      <c r="BS425" s="53"/>
    </row>
    <row r="426" spans="3:72" ht="14.25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41"/>
        <v>1</v>
      </c>
      <c r="M426" s="26">
        <f t="shared" si="34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67" t="e">
        <f>SUMIFS([1]Up!$J:$J,[1]Up!$D:$D,D426)</f>
        <v>#VALUE!</v>
      </c>
      <c r="BI426" s="82"/>
      <c r="BJ426" s="82" t="str">
        <f t="shared" si="42"/>
        <v>PL20</v>
      </c>
      <c r="BK426" s="53" t="str">
        <f t="shared" si="43"/>
        <v/>
      </c>
      <c r="BL426" s="53" t="s">
        <v>148</v>
      </c>
      <c r="BM426" s="53" t="s">
        <v>1099</v>
      </c>
      <c r="BN426" s="53" t="s">
        <v>1100</v>
      </c>
      <c r="BO426" s="53" t="s">
        <v>1307</v>
      </c>
      <c r="BP426" s="53">
        <v>1</v>
      </c>
      <c r="BQ426" s="83">
        <v>46242</v>
      </c>
      <c r="BR426" s="53"/>
      <c r="BS426" s="53"/>
    </row>
    <row r="427" spans="3:72" ht="14.25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41"/>
        <v>6</v>
      </c>
      <c r="M427" s="26">
        <f t="shared" si="34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67" t="e">
        <f>SUMIFS([1]Up!$J:$J,[1]Up!$D:$D,D427)</f>
        <v>#VALUE!</v>
      </c>
      <c r="BI427" s="82"/>
      <c r="BJ427" s="82" t="str">
        <f t="shared" si="42"/>
        <v/>
      </c>
      <c r="BK427" s="53" t="str">
        <f t="shared" si="43"/>
        <v/>
      </c>
      <c r="BL427" s="53" t="s">
        <v>148</v>
      </c>
      <c r="BM427" s="53" t="s">
        <v>1078</v>
      </c>
      <c r="BN427" s="53" t="s">
        <v>1075</v>
      </c>
      <c r="BO427" s="84" t="s">
        <v>2161</v>
      </c>
      <c r="BP427" s="53">
        <v>24</v>
      </c>
      <c r="BQ427" s="83" t="s">
        <v>2224</v>
      </c>
      <c r="BR427" s="53"/>
      <c r="BS427" s="53"/>
      <c r="BT427" s="238"/>
    </row>
    <row r="428" spans="3:72" ht="14.25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41"/>
        <v>1</v>
      </c>
      <c r="M428" s="26">
        <f t="shared" si="34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67" t="e">
        <f>SUMIFS([1]Up!$J:$J,[1]Up!$D:$D,D428)</f>
        <v>#VALUE!</v>
      </c>
      <c r="BI428" s="82" t="s">
        <v>1829</v>
      </c>
      <c r="BJ428" s="82" t="str">
        <f t="shared" si="42"/>
        <v>PL10</v>
      </c>
      <c r="BK428" s="53" t="str">
        <f t="shared" si="43"/>
        <v/>
      </c>
      <c r="BL428" s="53" t="s">
        <v>154</v>
      </c>
      <c r="BM428" s="53" t="s">
        <v>1004</v>
      </c>
      <c r="BN428" s="53" t="s">
        <v>1005</v>
      </c>
      <c r="BO428" s="53" t="s">
        <v>57</v>
      </c>
      <c r="BP428" s="53">
        <v>4</v>
      </c>
      <c r="BQ428" s="83"/>
      <c r="BR428" s="53"/>
      <c r="BS428" s="53"/>
    </row>
    <row r="429" spans="3:72" ht="14.25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41"/>
        <v>2</v>
      </c>
      <c r="M429" s="26">
        <f t="shared" si="34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67" t="e">
        <f>SUMIFS([1]Up!$J:$J,[1]Up!$D:$D,D429)</f>
        <v>#VALUE!</v>
      </c>
      <c r="BI429" s="82"/>
      <c r="BJ429" s="82" t="str">
        <f t="shared" si="42"/>
        <v>PL15</v>
      </c>
      <c r="BK429" s="53" t="str">
        <f t="shared" si="43"/>
        <v/>
      </c>
      <c r="BL429" s="53" t="s">
        <v>148</v>
      </c>
      <c r="BM429" s="53" t="s">
        <v>1093</v>
      </c>
      <c r="BN429" s="53" t="s">
        <v>1094</v>
      </c>
      <c r="BO429" s="84" t="s">
        <v>2155</v>
      </c>
      <c r="BP429" s="53">
        <v>8</v>
      </c>
      <c r="BQ429" s="83" t="s">
        <v>2224</v>
      </c>
      <c r="BR429" s="53"/>
      <c r="BS429" s="53"/>
      <c r="BT429" s="238"/>
    </row>
    <row r="430" spans="3:72" ht="14.25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41"/>
        <v>1</v>
      </c>
      <c r="M430" s="26">
        <f t="shared" si="34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67" t="e">
        <f>SUMIFS([1]Up!$J:$J,[1]Up!$D:$D,D430)</f>
        <v>#VALUE!</v>
      </c>
      <c r="BI430" s="82"/>
      <c r="BJ430" s="82" t="str">
        <f t="shared" si="42"/>
        <v>PL10</v>
      </c>
      <c r="BK430" s="53" t="str">
        <f t="shared" si="43"/>
        <v/>
      </c>
      <c r="BL430" s="53" t="s">
        <v>148</v>
      </c>
      <c r="BM430" s="53" t="s">
        <v>1004</v>
      </c>
      <c r="BN430" s="53" t="s">
        <v>1005</v>
      </c>
      <c r="BO430" s="84" t="s">
        <v>2156</v>
      </c>
      <c r="BP430" s="53">
        <v>4</v>
      </c>
      <c r="BQ430" s="83">
        <v>46302</v>
      </c>
      <c r="BR430" s="53"/>
      <c r="BS430" s="53"/>
      <c r="BT430" s="238"/>
    </row>
    <row r="431" spans="3:72" ht="14.25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41"/>
        <v>7</v>
      </c>
      <c r="M431" s="26">
        <f t="shared" si="34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67" t="e">
        <f>SUMIFS([1]Up!$J:$J,[1]Up!$D:$D,D431)</f>
        <v>#VALUE!</v>
      </c>
      <c r="BI431" s="82"/>
      <c r="BJ431" s="82" t="str">
        <f t="shared" si="42"/>
        <v>PL10</v>
      </c>
      <c r="BK431" s="53" t="str">
        <f t="shared" si="43"/>
        <v/>
      </c>
      <c r="BL431" s="53" t="s">
        <v>148</v>
      </c>
      <c r="BM431" s="53" t="s">
        <v>1004</v>
      </c>
      <c r="BN431" s="53" t="s">
        <v>1005</v>
      </c>
      <c r="BO431" s="84" t="s">
        <v>2156</v>
      </c>
      <c r="BP431" s="53">
        <v>28</v>
      </c>
      <c r="BQ431" s="83">
        <v>46302</v>
      </c>
      <c r="BR431" s="53"/>
      <c r="BS431" s="53"/>
      <c r="BT431" s="238"/>
    </row>
    <row r="432" spans="3:72" ht="14.25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41"/>
        <v>8</v>
      </c>
      <c r="M432" s="26">
        <f t="shared" si="34"/>
        <v>6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>
        <v>1</v>
      </c>
      <c r="BC432" s="26"/>
      <c r="BD432" s="26"/>
      <c r="BE432" s="26"/>
      <c r="BF432" s="26"/>
      <c r="BG432" s="26"/>
      <c r="BH432" s="67" t="e">
        <f>SUMIFS([1]Up!$J:$J,[1]Up!$D:$D,D432)</f>
        <v>#VALUE!</v>
      </c>
      <c r="BI432" s="82"/>
      <c r="BJ432" s="82" t="str">
        <f t="shared" si="42"/>
        <v>PL10</v>
      </c>
      <c r="BK432" s="53" t="str">
        <f t="shared" si="43"/>
        <v/>
      </c>
      <c r="BL432" s="53" t="s">
        <v>148</v>
      </c>
      <c r="BM432" s="53" t="s">
        <v>1004</v>
      </c>
      <c r="BN432" s="53" t="s">
        <v>1005</v>
      </c>
      <c r="BO432" s="84" t="s">
        <v>2156</v>
      </c>
      <c r="BP432" s="53">
        <v>28</v>
      </c>
      <c r="BQ432" s="83">
        <v>46302</v>
      </c>
      <c r="BR432" s="53"/>
      <c r="BS432" s="53"/>
      <c r="BT432" s="238"/>
    </row>
    <row r="433" spans="3:72" ht="14.25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41"/>
        <v>14</v>
      </c>
      <c r="M433" s="26">
        <f t="shared" si="34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67" t="e">
        <f>SUMIFS([1]Up!$J:$J,[1]Up!$D:$D,D433)</f>
        <v>#VALUE!</v>
      </c>
      <c r="BI433" s="82"/>
      <c r="BJ433" s="82" t="str">
        <f t="shared" si="42"/>
        <v>PL16</v>
      </c>
      <c r="BK433" s="53" t="str">
        <f t="shared" si="43"/>
        <v/>
      </c>
      <c r="BL433" s="53" t="s">
        <v>148</v>
      </c>
      <c r="BM433" s="53" t="s">
        <v>987</v>
      </c>
      <c r="BN433" s="53" t="s">
        <v>988</v>
      </c>
      <c r="BO433" s="84" t="s">
        <v>2160</v>
      </c>
      <c r="BP433" s="53">
        <v>56</v>
      </c>
      <c r="BQ433" s="83" t="s">
        <v>2225</v>
      </c>
      <c r="BR433" s="53"/>
      <c r="BS433" s="53"/>
      <c r="BT433" s="238"/>
    </row>
    <row r="434" spans="3:72" ht="14.25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41"/>
        <v>2</v>
      </c>
      <c r="M434" s="26">
        <f t="shared" si="34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67" t="e">
        <f>SUMIFS([1]Up!$J:$J,[1]Up!$D:$D,D434)</f>
        <v>#VALUE!</v>
      </c>
      <c r="BI434" s="82" t="s">
        <v>2239</v>
      </c>
      <c r="BJ434" s="82" t="str">
        <f>IFERROR(IF(C434="Plate",LEFT(E434,FIND("*",E434,1)-1),""),IF(C434="Plate",LEFT(E434,FIND("x",E434,1)-1),""))</f>
        <v>PL10</v>
      </c>
      <c r="BK434" s="53" t="str">
        <f t="shared" si="43"/>
        <v>Thừa 5</v>
      </c>
      <c r="BL434" s="53" t="s">
        <v>154</v>
      </c>
      <c r="BM434" s="53" t="s">
        <v>1004</v>
      </c>
      <c r="BN434" s="53" t="s">
        <v>1005</v>
      </c>
      <c r="BO434" s="53" t="s">
        <v>57</v>
      </c>
      <c r="BP434" s="53">
        <v>4</v>
      </c>
      <c r="BQ434" s="83"/>
      <c r="BR434" s="53"/>
      <c r="BS434" s="53"/>
    </row>
    <row r="435" spans="3:72" ht="14.25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41"/>
        <v>7</v>
      </c>
      <c r="M435" s="26">
        <f t="shared" si="34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26"/>
      <c r="BD435" s="26"/>
      <c r="BE435" s="26"/>
      <c r="BF435" s="26"/>
      <c r="BG435" s="26"/>
      <c r="BH435" s="67" t="e">
        <f>SUMIFS([1]Up!$J:$J,[1]Up!$D:$D,D435)</f>
        <v>#VALUE!</v>
      </c>
      <c r="BI435" s="82"/>
      <c r="BJ435" s="82" t="str">
        <f t="shared" si="42"/>
        <v>PL10</v>
      </c>
      <c r="BK435" s="53" t="str">
        <f t="shared" si="43"/>
        <v/>
      </c>
      <c r="BL435" s="53" t="s">
        <v>148</v>
      </c>
      <c r="BM435" s="53" t="s">
        <v>1004</v>
      </c>
      <c r="BN435" s="53" t="s">
        <v>1005</v>
      </c>
      <c r="BO435" s="84" t="s">
        <v>2156</v>
      </c>
      <c r="BP435" s="53">
        <v>28</v>
      </c>
      <c r="BQ435" s="83">
        <v>46302</v>
      </c>
      <c r="BR435" s="53"/>
      <c r="BS435" s="53"/>
      <c r="BT435" s="238"/>
    </row>
    <row r="436" spans="3:72" ht="14.25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41"/>
        <v>2</v>
      </c>
      <c r="M436" s="26">
        <f t="shared" si="34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67" t="e">
        <f>SUMIFS([1]Up!$J:$J,[1]Up!$D:$D,D436)</f>
        <v>#VALUE!</v>
      </c>
      <c r="BI436" s="82"/>
      <c r="BJ436" s="82" t="str">
        <f t="shared" si="42"/>
        <v>PL15</v>
      </c>
      <c r="BK436" s="53" t="str">
        <f t="shared" si="43"/>
        <v/>
      </c>
      <c r="BL436" s="53" t="s">
        <v>148</v>
      </c>
      <c r="BM436" s="53" t="s">
        <v>1093</v>
      </c>
      <c r="BN436" s="53" t="s">
        <v>1094</v>
      </c>
      <c r="BO436" s="84" t="s">
        <v>2155</v>
      </c>
      <c r="BP436" s="53">
        <v>4</v>
      </c>
      <c r="BQ436" s="83" t="s">
        <v>2224</v>
      </c>
      <c r="BR436" s="53"/>
      <c r="BS436" s="53"/>
      <c r="BT436" s="238"/>
    </row>
    <row r="437" spans="3:72" ht="14.25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41"/>
        <v>1</v>
      </c>
      <c r="M437" s="26">
        <f t="shared" si="34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67" t="e">
        <f>SUMIFS([1]Up!$J:$J,[1]Up!$D:$D,D437)</f>
        <v>#VALUE!</v>
      </c>
      <c r="BI437" s="82"/>
      <c r="BJ437" s="82" t="str">
        <f t="shared" si="42"/>
        <v>PL20</v>
      </c>
      <c r="BK437" s="53" t="str">
        <f t="shared" si="43"/>
        <v/>
      </c>
      <c r="BL437" s="53" t="s">
        <v>148</v>
      </c>
      <c r="BM437" s="53" t="s">
        <v>1099</v>
      </c>
      <c r="BN437" s="53" t="s">
        <v>1100</v>
      </c>
      <c r="BO437" s="84" t="s">
        <v>2157</v>
      </c>
      <c r="BP437" s="53">
        <v>4</v>
      </c>
      <c r="BQ437" s="83">
        <v>46242</v>
      </c>
      <c r="BR437" s="53"/>
      <c r="BS437" s="53"/>
      <c r="BT437" s="238"/>
    </row>
    <row r="438" spans="3:72" ht="14.25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41"/>
        <v>2</v>
      </c>
      <c r="M438" s="26">
        <f t="shared" si="34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67" t="e">
        <f>SUMIFS([1]Up!$J:$J,[1]Up!$D:$D,D438)</f>
        <v>#VALUE!</v>
      </c>
      <c r="BI438" s="82" t="s">
        <v>2238</v>
      </c>
      <c r="BJ438" s="82" t="str">
        <f t="shared" si="42"/>
        <v>PL10</v>
      </c>
      <c r="BK438" s="53" t="str">
        <f t="shared" si="43"/>
        <v>Thừa 4</v>
      </c>
      <c r="BL438" s="53" t="s">
        <v>154</v>
      </c>
      <c r="BM438" s="53" t="s">
        <v>1004</v>
      </c>
      <c r="BN438" s="53" t="s">
        <v>1005</v>
      </c>
      <c r="BO438" s="53" t="s">
        <v>57</v>
      </c>
      <c r="BP438" s="53">
        <v>4</v>
      </c>
      <c r="BQ438" s="83"/>
      <c r="BR438" s="53"/>
      <c r="BS438" s="53"/>
    </row>
    <row r="439" spans="3:72" ht="14.25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41"/>
        <v>7</v>
      </c>
      <c r="M439" s="26">
        <f t="shared" si="34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26"/>
      <c r="BD439" s="26"/>
      <c r="BE439" s="26"/>
      <c r="BF439" s="26"/>
      <c r="BG439" s="26"/>
      <c r="BH439" s="67" t="e">
        <f>SUMIFS([1]Up!$J:$J,[1]Up!$D:$D,D439)</f>
        <v>#VALUE!</v>
      </c>
      <c r="BI439" s="82"/>
      <c r="BJ439" s="82" t="str">
        <f t="shared" si="42"/>
        <v>PL10</v>
      </c>
      <c r="BK439" s="53" t="str">
        <f t="shared" si="43"/>
        <v/>
      </c>
      <c r="BL439" s="53" t="s">
        <v>148</v>
      </c>
      <c r="BM439" s="53" t="s">
        <v>1004</v>
      </c>
      <c r="BN439" s="53" t="s">
        <v>1005</v>
      </c>
      <c r="BO439" s="84" t="s">
        <v>2156</v>
      </c>
      <c r="BP439" s="53">
        <v>28</v>
      </c>
      <c r="BQ439" s="83">
        <v>46302</v>
      </c>
      <c r="BR439" s="53"/>
      <c r="BS439" s="53"/>
      <c r="BT439" s="238"/>
    </row>
    <row r="440" spans="3:72" ht="14.25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41"/>
        <v>2</v>
      </c>
      <c r="M440" s="26">
        <f t="shared" si="34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67" t="e">
        <f>SUMIFS([1]Up!$J:$J,[1]Up!$D:$D,D440)</f>
        <v>#VALUE!</v>
      </c>
      <c r="BI440" s="82"/>
      <c r="BJ440" s="82" t="str">
        <f t="shared" si="42"/>
        <v>PL15</v>
      </c>
      <c r="BK440" s="53" t="str">
        <f t="shared" si="43"/>
        <v/>
      </c>
      <c r="BL440" s="53" t="s">
        <v>148</v>
      </c>
      <c r="BM440" s="53" t="s">
        <v>1093</v>
      </c>
      <c r="BN440" s="53" t="s">
        <v>1094</v>
      </c>
      <c r="BO440" s="84" t="s">
        <v>2155</v>
      </c>
      <c r="BP440" s="53">
        <v>4</v>
      </c>
      <c r="BQ440" s="83" t="s">
        <v>2224</v>
      </c>
      <c r="BR440" s="53"/>
      <c r="BS440" s="53"/>
      <c r="BT440" s="238"/>
    </row>
    <row r="441" spans="3:72" ht="14.25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41"/>
        <v>1</v>
      </c>
      <c r="M441" s="26">
        <f t="shared" si="34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67" t="e">
        <f>SUMIFS([1]Up!$J:$J,[1]Up!$D:$D,D441)</f>
        <v>#VALUE!</v>
      </c>
      <c r="BI441" s="82"/>
      <c r="BJ441" s="82" t="str">
        <f t="shared" si="42"/>
        <v>PL20</v>
      </c>
      <c r="BK441" s="53" t="str">
        <f t="shared" si="43"/>
        <v/>
      </c>
      <c r="BL441" s="53" t="s">
        <v>148</v>
      </c>
      <c r="BM441" s="53" t="s">
        <v>1099</v>
      </c>
      <c r="BN441" s="53" t="s">
        <v>1100</v>
      </c>
      <c r="BO441" s="84" t="s">
        <v>2157</v>
      </c>
      <c r="BP441" s="53">
        <v>4</v>
      </c>
      <c r="BQ441" s="83">
        <v>46242</v>
      </c>
      <c r="BR441" s="53"/>
      <c r="BS441" s="53"/>
      <c r="BT441" s="238"/>
    </row>
    <row r="442" spans="3:72" ht="14.25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41"/>
        <v>2</v>
      </c>
      <c r="M442" s="26">
        <f t="shared" si="34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67" t="e">
        <f>SUMIFS([1]Up!$J:$J,[1]Up!$D:$D,D442)</f>
        <v>#VALUE!</v>
      </c>
      <c r="BI442" s="82"/>
      <c r="BJ442" s="82" t="str">
        <f t="shared" si="42"/>
        <v/>
      </c>
      <c r="BK442" s="53" t="str">
        <f t="shared" si="43"/>
        <v/>
      </c>
      <c r="BL442" s="53" t="s">
        <v>148</v>
      </c>
      <c r="BM442" s="53" t="s">
        <v>1078</v>
      </c>
      <c r="BN442" s="53" t="s">
        <v>1075</v>
      </c>
      <c r="BO442" s="53" t="s">
        <v>1289</v>
      </c>
      <c r="BP442" s="53">
        <v>2</v>
      </c>
      <c r="BQ442" s="83">
        <v>46362</v>
      </c>
      <c r="BR442" s="53"/>
      <c r="BS442" s="53"/>
    </row>
    <row r="443" spans="3:72" ht="14.25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41"/>
        <v>1</v>
      </c>
      <c r="M443" s="26">
        <f t="shared" si="34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67" t="e">
        <f>SUMIFS([1]Up!$J:$J,[1]Up!$D:$D,D443)</f>
        <v>#VALUE!</v>
      </c>
      <c r="BI443" s="82" t="s">
        <v>2070</v>
      </c>
      <c r="BJ443" s="82" t="str">
        <f t="shared" si="42"/>
        <v>PL10</v>
      </c>
      <c r="BK443" s="53" t="str">
        <f t="shared" si="43"/>
        <v>Thừa 4</v>
      </c>
      <c r="BL443" s="53" t="s">
        <v>154</v>
      </c>
      <c r="BM443" s="53" t="s">
        <v>1004</v>
      </c>
      <c r="BN443" s="53" t="s">
        <v>1005</v>
      </c>
      <c r="BO443" s="53" t="s">
        <v>57</v>
      </c>
      <c r="BP443" s="53">
        <v>1</v>
      </c>
      <c r="BQ443" s="83"/>
      <c r="BR443" s="53"/>
      <c r="BS443" s="53"/>
    </row>
    <row r="444" spans="3:72" ht="14.25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41"/>
        <v>2</v>
      </c>
      <c r="M444" s="26">
        <f t="shared" si="34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67" t="e">
        <f>SUMIFS([1]Up!$J:$J,[1]Up!$D:$D,D444)</f>
        <v>#VALUE!</v>
      </c>
      <c r="BI444" s="82"/>
      <c r="BJ444" s="82" t="str">
        <f t="shared" si="42"/>
        <v>PL20</v>
      </c>
      <c r="BK444" s="53" t="str">
        <f t="shared" si="43"/>
        <v/>
      </c>
      <c r="BL444" s="53" t="s">
        <v>148</v>
      </c>
      <c r="BM444" s="53" t="s">
        <v>1099</v>
      </c>
      <c r="BN444" s="53" t="s">
        <v>1100</v>
      </c>
      <c r="BO444" s="53" t="s">
        <v>1307</v>
      </c>
      <c r="BP444" s="53">
        <v>2</v>
      </c>
      <c r="BQ444" s="83">
        <v>46242</v>
      </c>
      <c r="BR444" s="53"/>
      <c r="BS444" s="53"/>
    </row>
    <row r="445" spans="3:72" ht="14.25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41"/>
        <v>2</v>
      </c>
      <c r="M445" s="26">
        <f t="shared" si="34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67" t="e">
        <f>SUMIFS([1]Up!$J:$J,[1]Up!$D:$D,D445)</f>
        <v>#VALUE!</v>
      </c>
      <c r="BI445" s="82"/>
      <c r="BJ445" s="82" t="str">
        <f t="shared" si="42"/>
        <v>PL15</v>
      </c>
      <c r="BK445" s="53" t="str">
        <f t="shared" si="43"/>
        <v/>
      </c>
      <c r="BL445" s="53" t="s">
        <v>148</v>
      </c>
      <c r="BM445" s="53" t="s">
        <v>1093</v>
      </c>
      <c r="BN445" s="53" t="s">
        <v>1094</v>
      </c>
      <c r="BO445" s="53" t="s">
        <v>1303</v>
      </c>
      <c r="BP445" s="53">
        <v>2</v>
      </c>
      <c r="BQ445" s="83">
        <v>46088</v>
      </c>
      <c r="BR445" s="53"/>
      <c r="BS445" s="53"/>
    </row>
    <row r="446" spans="3:72" ht="14.25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41"/>
        <v>2</v>
      </c>
      <c r="M446" s="26">
        <f t="shared" si="34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67" t="e">
        <f>SUMIFS([1]Up!$J:$J,[1]Up!$D:$D,D446)</f>
        <v>#VALUE!</v>
      </c>
      <c r="BI446" s="82"/>
      <c r="BJ446" s="82" t="str">
        <f t="shared" si="42"/>
        <v>PL15</v>
      </c>
      <c r="BK446" s="53" t="str">
        <f t="shared" si="43"/>
        <v/>
      </c>
      <c r="BL446" s="53" t="s">
        <v>148</v>
      </c>
      <c r="BM446" s="53" t="s">
        <v>1093</v>
      </c>
      <c r="BN446" s="53" t="s">
        <v>1094</v>
      </c>
      <c r="BO446" s="53" t="s">
        <v>1303</v>
      </c>
      <c r="BP446" s="53">
        <v>2</v>
      </c>
      <c r="BQ446" s="83">
        <v>46088</v>
      </c>
      <c r="BR446" s="53"/>
      <c r="BS446" s="53"/>
    </row>
    <row r="447" spans="3:72" ht="14.25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41"/>
        <v>1</v>
      </c>
      <c r="M447" s="26">
        <f t="shared" si="34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67" t="e">
        <f>SUMIFS([1]Up!$J:$J,[1]Up!$D:$D,D447)</f>
        <v>#VALUE!</v>
      </c>
      <c r="BI447" s="82" t="s">
        <v>2071</v>
      </c>
      <c r="BJ447" s="82" t="str">
        <f t="shared" si="42"/>
        <v>PL10</v>
      </c>
      <c r="BK447" s="53" t="str">
        <f t="shared" si="43"/>
        <v>Thừa 2</v>
      </c>
      <c r="BL447" s="53" t="s">
        <v>148</v>
      </c>
      <c r="BM447" s="53" t="s">
        <v>1004</v>
      </c>
      <c r="BN447" s="53" t="s">
        <v>1005</v>
      </c>
      <c r="BO447" s="53" t="s">
        <v>57</v>
      </c>
      <c r="BP447" s="53">
        <v>1</v>
      </c>
      <c r="BQ447" s="83"/>
      <c r="BR447" s="53"/>
      <c r="BS447" s="53"/>
    </row>
    <row r="448" spans="3:72" ht="14.25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41"/>
        <v>1</v>
      </c>
      <c r="M448" s="26">
        <f t="shared" si="34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67" t="e">
        <f>SUMIFS([1]Up!$J:$J,[1]Up!$D:$D,D448)</f>
        <v>#VALUE!</v>
      </c>
      <c r="BI448" s="82" t="s">
        <v>2076</v>
      </c>
      <c r="BJ448" s="82" t="str">
        <f t="shared" si="42"/>
        <v>PL20</v>
      </c>
      <c r="BK448" s="53" t="str">
        <f t="shared" si="43"/>
        <v>Thừa 7</v>
      </c>
      <c r="BL448" s="53" t="s">
        <v>148</v>
      </c>
      <c r="BM448" s="53" t="s">
        <v>1099</v>
      </c>
      <c r="BN448" s="53" t="s">
        <v>1100</v>
      </c>
      <c r="BO448" s="53" t="s">
        <v>57</v>
      </c>
      <c r="BP448" s="53">
        <v>1</v>
      </c>
      <c r="BQ448" s="83"/>
      <c r="BR448" s="53"/>
      <c r="BS448" s="53"/>
    </row>
    <row r="449" spans="3:71" ht="14.25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41"/>
        <v>1</v>
      </c>
      <c r="M449" s="26">
        <f t="shared" si="34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1</v>
      </c>
      <c r="BH449" s="67" t="e">
        <f>SUMIFS([1]Up!$J:$J,[1]Up!$D:$D,D449)</f>
        <v>#VALUE!</v>
      </c>
      <c r="BI449" s="82"/>
      <c r="BJ449" s="82" t="str">
        <f t="shared" si="42"/>
        <v>PL10</v>
      </c>
      <c r="BK449" s="53" t="str">
        <f t="shared" si="43"/>
        <v/>
      </c>
      <c r="BL449" s="53" t="s">
        <v>154</v>
      </c>
      <c r="BM449" s="53" t="s">
        <v>1004</v>
      </c>
      <c r="BN449" s="53" t="s">
        <v>1005</v>
      </c>
      <c r="BO449" s="53" t="s">
        <v>1063</v>
      </c>
      <c r="BP449" s="53">
        <v>1</v>
      </c>
      <c r="BQ449" s="83">
        <v>46088</v>
      </c>
      <c r="BR449" s="53"/>
      <c r="BS449" s="53"/>
    </row>
    <row r="450" spans="3:71" ht="14.25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41"/>
        <v>2</v>
      </c>
      <c r="M450" s="26">
        <f t="shared" si="34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67" t="e">
        <f>SUMIFS([1]Up!$J:$J,[1]Up!$D:$D,D450)</f>
        <v>#VALUE!</v>
      </c>
      <c r="BI450" s="82"/>
      <c r="BJ450" s="82" t="str">
        <f t="shared" si="42"/>
        <v>PL20</v>
      </c>
      <c r="BK450" s="53" t="str">
        <f t="shared" si="43"/>
        <v/>
      </c>
      <c r="BL450" s="53" t="s">
        <v>148</v>
      </c>
      <c r="BM450" s="53" t="s">
        <v>1099</v>
      </c>
      <c r="BN450" s="53" t="s">
        <v>1100</v>
      </c>
      <c r="BO450" s="53" t="s">
        <v>1307</v>
      </c>
      <c r="BP450" s="53">
        <v>2</v>
      </c>
      <c r="BQ450" s="83">
        <v>46242</v>
      </c>
      <c r="BR450" s="53"/>
      <c r="BS450" s="53"/>
    </row>
    <row r="451" spans="3:71" ht="14.25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41"/>
        <v>1</v>
      </c>
      <c r="M451" s="26">
        <f t="shared" si="34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67" t="e">
        <f>SUMIFS([1]Up!$J:$J,[1]Up!$D:$D,D451)</f>
        <v>#VALUE!</v>
      </c>
      <c r="BI451" s="82"/>
      <c r="BJ451" s="82" t="str">
        <f t="shared" si="42"/>
        <v>PL10</v>
      </c>
      <c r="BK451" s="53" t="str">
        <f t="shared" si="43"/>
        <v/>
      </c>
      <c r="BL451" s="53" t="s">
        <v>148</v>
      </c>
      <c r="BM451" s="53" t="s">
        <v>1004</v>
      </c>
      <c r="BN451" s="53" t="s">
        <v>1005</v>
      </c>
      <c r="BO451" s="53" t="s">
        <v>1063</v>
      </c>
      <c r="BP451" s="53">
        <v>1</v>
      </c>
      <c r="BQ451" s="83">
        <v>46088</v>
      </c>
      <c r="BR451" s="53"/>
      <c r="BS451" s="53"/>
    </row>
    <row r="452" spans="3:71" ht="14.25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41"/>
        <v>1</v>
      </c>
      <c r="M452" s="26">
        <f t="shared" si="34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>
        <v>-1</v>
      </c>
      <c r="BH452" s="67" t="e">
        <f>SUMIFS([1]Up!$J:$J,[1]Up!$D:$D,D452)</f>
        <v>#VALUE!</v>
      </c>
      <c r="BI452" s="82" t="s">
        <v>2236</v>
      </c>
      <c r="BJ452" s="82" t="str">
        <f t="shared" si="42"/>
        <v>PL3</v>
      </c>
      <c r="BK452" s="53" t="str">
        <f t="shared" si="43"/>
        <v/>
      </c>
      <c r="BL452" s="53" t="s">
        <v>148</v>
      </c>
      <c r="BM452" s="53" t="s">
        <v>1631</v>
      </c>
      <c r="BN452" s="53" t="s">
        <v>961</v>
      </c>
      <c r="BO452" s="53" t="s">
        <v>1632</v>
      </c>
      <c r="BP452" s="53">
        <v>1</v>
      </c>
      <c r="BQ452" s="83" t="s">
        <v>2222</v>
      </c>
      <c r="BR452" s="53"/>
      <c r="BS452" s="53"/>
    </row>
    <row r="453" spans="3:71" ht="14.25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41"/>
        <v>2</v>
      </c>
      <c r="M453" s="26">
        <f t="shared" si="34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67" t="e">
        <f>SUMIFS([1]Up!$J:$J,[1]Up!$D:$D,D453)</f>
        <v>#VALUE!</v>
      </c>
      <c r="BI453" s="82"/>
      <c r="BJ453" s="82" t="str">
        <f t="shared" si="42"/>
        <v>PL15</v>
      </c>
      <c r="BK453" s="53" t="str">
        <f t="shared" si="43"/>
        <v/>
      </c>
      <c r="BL453" s="53" t="s">
        <v>148</v>
      </c>
      <c r="BM453" s="53" t="s">
        <v>1093</v>
      </c>
      <c r="BN453" s="53" t="s">
        <v>1094</v>
      </c>
      <c r="BO453" s="53" t="s">
        <v>1303</v>
      </c>
      <c r="BP453" s="53">
        <v>2</v>
      </c>
      <c r="BQ453" s="83">
        <v>46088</v>
      </c>
      <c r="BR453" s="53"/>
      <c r="BS453" s="53"/>
    </row>
    <row r="454" spans="3:71" ht="14.25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41"/>
        <v>1</v>
      </c>
      <c r="M454" s="26">
        <f t="shared" si="34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67" t="e">
        <f>SUMIFS([1]Up!$J:$J,[1]Up!$D:$D,D454)</f>
        <v>#VALUE!</v>
      </c>
      <c r="BI454" s="82" t="s">
        <v>2073</v>
      </c>
      <c r="BJ454" s="82" t="str">
        <f t="shared" si="42"/>
        <v>PL10</v>
      </c>
      <c r="BK454" s="53" t="str">
        <f t="shared" si="43"/>
        <v>Thừa 1</v>
      </c>
      <c r="BL454" s="53" t="s">
        <v>154</v>
      </c>
      <c r="BM454" s="53" t="s">
        <v>1004</v>
      </c>
      <c r="BN454" s="53" t="s">
        <v>1005</v>
      </c>
      <c r="BO454" s="53" t="s">
        <v>57</v>
      </c>
      <c r="BP454" s="53">
        <v>1</v>
      </c>
      <c r="BQ454" s="83"/>
      <c r="BR454" s="53"/>
      <c r="BS454" s="53"/>
    </row>
    <row r="455" spans="3:71" ht="14.25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41"/>
        <v>1</v>
      </c>
      <c r="M455" s="26">
        <f t="shared" si="34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67" t="e">
        <f>SUMIFS([1]Up!$J:$J,[1]Up!$D:$D,D455)</f>
        <v>#VALUE!</v>
      </c>
      <c r="BI455" s="82" t="s">
        <v>2073</v>
      </c>
      <c r="BJ455" s="82" t="str">
        <f t="shared" si="42"/>
        <v>PL10</v>
      </c>
      <c r="BK455" s="53" t="str">
        <f t="shared" si="43"/>
        <v>Thừa 1</v>
      </c>
      <c r="BL455" s="53" t="s">
        <v>148</v>
      </c>
      <c r="BM455" s="53" t="s">
        <v>1004</v>
      </c>
      <c r="BN455" s="53" t="s">
        <v>1005</v>
      </c>
      <c r="BO455" s="53" t="s">
        <v>57</v>
      </c>
      <c r="BP455" s="53">
        <v>1</v>
      </c>
      <c r="BQ455" s="83"/>
      <c r="BR455" s="53"/>
      <c r="BS455" s="53"/>
    </row>
    <row r="456" spans="3:71" ht="14.25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41"/>
        <v>1</v>
      </c>
      <c r="M456" s="26">
        <f t="shared" si="34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67" t="e">
        <f>SUMIFS([1]Up!$J:$J,[1]Up!$D:$D,D456)</f>
        <v>#VALUE!</v>
      </c>
      <c r="BI456" s="82"/>
      <c r="BJ456" s="82" t="str">
        <f t="shared" si="42"/>
        <v>PL10</v>
      </c>
      <c r="BK456" s="53" t="str">
        <f t="shared" si="43"/>
        <v/>
      </c>
      <c r="BL456" s="53" t="s">
        <v>148</v>
      </c>
      <c r="BM456" s="53" t="s">
        <v>1004</v>
      </c>
      <c r="BN456" s="53" t="s">
        <v>1005</v>
      </c>
      <c r="BO456" s="53" t="s">
        <v>1063</v>
      </c>
      <c r="BP456" s="53">
        <v>1</v>
      </c>
      <c r="BQ456" s="83">
        <v>46088</v>
      </c>
      <c r="BR456" s="53"/>
      <c r="BS456" s="53"/>
    </row>
    <row r="457" spans="3:71" ht="14.25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41"/>
        <v>2</v>
      </c>
      <c r="M457" s="26">
        <f t="shared" si="34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67" t="e">
        <f>SUMIFS([1]Up!$J:$J,[1]Up!$D:$D,D457)</f>
        <v>#VALUE!</v>
      </c>
      <c r="BI457" s="82"/>
      <c r="BJ457" s="82" t="str">
        <f t="shared" si="42"/>
        <v>PL16</v>
      </c>
      <c r="BK457" s="53" t="str">
        <f t="shared" si="43"/>
        <v/>
      </c>
      <c r="BL457" s="53" t="s">
        <v>148</v>
      </c>
      <c r="BM457" s="53" t="s">
        <v>987</v>
      </c>
      <c r="BN457" s="53" t="s">
        <v>988</v>
      </c>
      <c r="BO457" s="53" t="s">
        <v>989</v>
      </c>
      <c r="BP457" s="53">
        <v>2</v>
      </c>
      <c r="BQ457" s="83" t="s">
        <v>2222</v>
      </c>
      <c r="BR457" s="53"/>
      <c r="BS457" s="53"/>
    </row>
    <row r="458" spans="3:71" ht="14.25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41"/>
        <v>1</v>
      </c>
      <c r="M458" s="26">
        <f t="shared" ref="M458" si="44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>
        <v>1</v>
      </c>
      <c r="BH458" s="67" t="e">
        <f>SUMIFS([1]Up!$J:$J,[1]Up!$D:$D,D458)</f>
        <v>#VALUE!</v>
      </c>
      <c r="BI458" s="82"/>
      <c r="BJ458" s="82" t="str">
        <f t="shared" si="42"/>
        <v>PL10</v>
      </c>
      <c r="BK458" s="53" t="str">
        <f t="shared" si="43"/>
        <v/>
      </c>
      <c r="BL458" s="53"/>
      <c r="BM458" s="53"/>
      <c r="BN458" s="53"/>
      <c r="BO458" s="53"/>
      <c r="BP458" s="53"/>
      <c r="BQ458" s="83"/>
      <c r="BR458" s="53"/>
      <c r="BS458" s="53"/>
    </row>
    <row r="459" spans="3:71" ht="14.25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41"/>
        <v>1</v>
      </c>
      <c r="M459" s="26">
        <f t="shared" si="34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67" t="e">
        <f>SUMIFS([1]Up!$J:$J,[1]Up!$D:$D,D459)</f>
        <v>#VALUE!</v>
      </c>
      <c r="BI459" s="82" t="s">
        <v>2073</v>
      </c>
      <c r="BJ459" s="82" t="str">
        <f t="shared" si="42"/>
        <v>PL10</v>
      </c>
      <c r="BK459" s="53" t="str">
        <f t="shared" si="43"/>
        <v>Thừa 1</v>
      </c>
      <c r="BL459" s="53" t="s">
        <v>148</v>
      </c>
      <c r="BM459" s="53" t="s">
        <v>1004</v>
      </c>
      <c r="BN459" s="53" t="s">
        <v>1005</v>
      </c>
      <c r="BO459" s="53" t="s">
        <v>57</v>
      </c>
      <c r="BP459" s="53">
        <v>1</v>
      </c>
      <c r="BQ459" s="83"/>
      <c r="BR459" s="53"/>
      <c r="BS459" s="53"/>
    </row>
    <row r="460" spans="3:71" ht="14.25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41"/>
        <v>1</v>
      </c>
      <c r="M460" s="26">
        <f t="shared" si="34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67" t="e">
        <f>SUMIFS([1]Up!$J:$J,[1]Up!$D:$D,D460)</f>
        <v>#VALUE!</v>
      </c>
      <c r="BI460" s="82"/>
      <c r="BJ460" s="82" t="str">
        <f t="shared" si="42"/>
        <v>PL10</v>
      </c>
      <c r="BK460" s="53" t="str">
        <f t="shared" si="43"/>
        <v/>
      </c>
      <c r="BL460" s="53" t="s">
        <v>148</v>
      </c>
      <c r="BM460" s="53" t="s">
        <v>1004</v>
      </c>
      <c r="BN460" s="53" t="s">
        <v>1005</v>
      </c>
      <c r="BO460" s="53" t="s">
        <v>1063</v>
      </c>
      <c r="BP460" s="53">
        <v>1</v>
      </c>
      <c r="BQ460" s="83">
        <v>46088</v>
      </c>
      <c r="BR460" s="53"/>
      <c r="BS460" s="53"/>
    </row>
    <row r="461" spans="3:71" ht="14.25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41"/>
        <v>1</v>
      </c>
      <c r="M461" s="26">
        <f t="shared" si="34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67" t="e">
        <f>SUMIFS([1]Up!$J:$J,[1]Up!$D:$D,D461)</f>
        <v>#VALUE!</v>
      </c>
      <c r="BI461" s="82"/>
      <c r="BJ461" s="82" t="str">
        <f t="shared" si="42"/>
        <v>PL15</v>
      </c>
      <c r="BK461" s="53" t="str">
        <f t="shared" si="43"/>
        <v/>
      </c>
      <c r="BL461" s="53" t="s">
        <v>148</v>
      </c>
      <c r="BM461" s="53" t="s">
        <v>1093</v>
      </c>
      <c r="BN461" s="53" t="s">
        <v>1094</v>
      </c>
      <c r="BO461" s="53" t="s">
        <v>1303</v>
      </c>
      <c r="BP461" s="53">
        <v>1</v>
      </c>
      <c r="BQ461" s="83">
        <v>46088</v>
      </c>
      <c r="BR461" s="53"/>
      <c r="BS461" s="53"/>
    </row>
    <row r="462" spans="3:71" ht="14.25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41"/>
        <v>2</v>
      </c>
      <c r="M462" s="26">
        <f t="shared" si="34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67" t="e">
        <f>SUMIFS([1]Up!$J:$J,[1]Up!$D:$D,D462)</f>
        <v>#VALUE!</v>
      </c>
      <c r="BI462" s="82"/>
      <c r="BJ462" s="82" t="str">
        <f t="shared" si="42"/>
        <v>PL15</v>
      </c>
      <c r="BK462" s="53" t="str">
        <f t="shared" si="43"/>
        <v/>
      </c>
      <c r="BL462" s="53" t="s">
        <v>148</v>
      </c>
      <c r="BM462" s="53" t="s">
        <v>1093</v>
      </c>
      <c r="BN462" s="53" t="s">
        <v>1094</v>
      </c>
      <c r="BO462" s="53" t="s">
        <v>1303</v>
      </c>
      <c r="BP462" s="53">
        <v>2</v>
      </c>
      <c r="BQ462" s="83">
        <v>46088</v>
      </c>
      <c r="BR462" s="53"/>
      <c r="BS462" s="53"/>
    </row>
    <row r="463" spans="3:71" ht="14.25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41"/>
        <v>1</v>
      </c>
      <c r="M463" s="26">
        <f t="shared" si="34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67" t="e">
        <f>SUMIFS([1]Up!$J:$J,[1]Up!$D:$D,D463)</f>
        <v>#VALUE!</v>
      </c>
      <c r="BI463" s="82" t="s">
        <v>2071</v>
      </c>
      <c r="BJ463" s="82" t="str">
        <f t="shared" si="42"/>
        <v>PL10</v>
      </c>
      <c r="BK463" s="53" t="str">
        <f t="shared" si="43"/>
        <v>Thừa 2</v>
      </c>
      <c r="BL463" s="53" t="s">
        <v>148</v>
      </c>
      <c r="BM463" s="53" t="s">
        <v>1004</v>
      </c>
      <c r="BN463" s="53" t="s">
        <v>1005</v>
      </c>
      <c r="BO463" s="53" t="s">
        <v>57</v>
      </c>
      <c r="BP463" s="53">
        <v>1</v>
      </c>
      <c r="BQ463" s="83"/>
      <c r="BR463" s="53"/>
      <c r="BS463" s="53"/>
    </row>
    <row r="464" spans="3:71" ht="14.25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41"/>
        <v>2</v>
      </c>
      <c r="M464" s="26">
        <f t="shared" si="34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67" t="e">
        <f>SUMIFS([1]Up!$J:$J,[1]Up!$D:$D,D464)</f>
        <v>#VALUE!</v>
      </c>
      <c r="BI464" s="82"/>
      <c r="BJ464" s="82" t="str">
        <f t="shared" si="42"/>
        <v>PL10</v>
      </c>
      <c r="BK464" s="53" t="str">
        <f t="shared" si="43"/>
        <v/>
      </c>
      <c r="BL464" s="53" t="s">
        <v>148</v>
      </c>
      <c r="BM464" s="53" t="s">
        <v>1004</v>
      </c>
      <c r="BN464" s="53" t="s">
        <v>1005</v>
      </c>
      <c r="BO464" s="53" t="s">
        <v>1063</v>
      </c>
      <c r="BP464" s="53">
        <v>2</v>
      </c>
      <c r="BQ464" s="83">
        <v>46088</v>
      </c>
      <c r="BR464" s="53"/>
      <c r="BS464" s="53"/>
    </row>
    <row r="465" spans="3:72" ht="14.25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41"/>
        <v>4</v>
      </c>
      <c r="M465" s="26">
        <f t="shared" si="34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67" t="e">
        <f>SUMIFS([1]Up!$J:$J,[1]Up!$D:$D,D465)</f>
        <v>#VALUE!</v>
      </c>
      <c r="BI465" s="82"/>
      <c r="BJ465" s="82" t="str">
        <f t="shared" si="42"/>
        <v>PL16</v>
      </c>
      <c r="BK465" s="53" t="str">
        <f t="shared" si="43"/>
        <v/>
      </c>
      <c r="BL465" s="53" t="s">
        <v>148</v>
      </c>
      <c r="BM465" s="53" t="s">
        <v>987</v>
      </c>
      <c r="BN465" s="53" t="s">
        <v>988</v>
      </c>
      <c r="BO465" s="53" t="s">
        <v>989</v>
      </c>
      <c r="BP465" s="53">
        <v>4</v>
      </c>
      <c r="BQ465" s="83" t="s">
        <v>2222</v>
      </c>
      <c r="BR465" s="53"/>
      <c r="BS465" s="53"/>
    </row>
    <row r="466" spans="3:72" ht="14.25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41"/>
        <v>2</v>
      </c>
      <c r="M466" s="26">
        <f t="shared" si="34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67" t="e">
        <f>SUMIFS([1]Up!$J:$J,[1]Up!$D:$D,D466)</f>
        <v>#VALUE!</v>
      </c>
      <c r="BI466" s="82"/>
      <c r="BJ466" s="82" t="str">
        <f t="shared" si="42"/>
        <v/>
      </c>
      <c r="BK466" s="53" t="str">
        <f t="shared" si="43"/>
        <v/>
      </c>
      <c r="BL466" s="53" t="s">
        <v>148</v>
      </c>
      <c r="BM466" s="53" t="s">
        <v>1078</v>
      </c>
      <c r="BN466" s="53" t="s">
        <v>1075</v>
      </c>
      <c r="BO466" s="84" t="s">
        <v>2161</v>
      </c>
      <c r="BP466" s="53">
        <v>8</v>
      </c>
      <c r="BQ466" s="83" t="s">
        <v>2224</v>
      </c>
      <c r="BR466" s="53"/>
      <c r="BS466" s="53"/>
      <c r="BT466" s="238"/>
    </row>
    <row r="467" spans="3:72" ht="14.25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41"/>
        <v>2</v>
      </c>
      <c r="M467" s="26">
        <f t="shared" si="34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67" t="e">
        <f>SUMIFS([1]Up!$J:$J,[1]Up!$D:$D,D467)</f>
        <v>#VALUE!</v>
      </c>
      <c r="BI467" s="82" t="s">
        <v>2245</v>
      </c>
      <c r="BJ467" s="82" t="str">
        <f t="shared" si="42"/>
        <v>PL10</v>
      </c>
      <c r="BK467" s="53" t="str">
        <f t="shared" si="43"/>
        <v>Thừa 3</v>
      </c>
      <c r="BL467" s="53" t="s">
        <v>154</v>
      </c>
      <c r="BM467" s="53" t="s">
        <v>1004</v>
      </c>
      <c r="BN467" s="53" t="s">
        <v>1005</v>
      </c>
      <c r="BO467" s="53" t="s">
        <v>57</v>
      </c>
      <c r="BP467" s="53">
        <v>4</v>
      </c>
      <c r="BQ467" s="83"/>
      <c r="BR467" s="53"/>
      <c r="BS467" s="53"/>
    </row>
    <row r="468" spans="3:72" ht="14.25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41"/>
        <v>2</v>
      </c>
      <c r="M468" s="26">
        <f t="shared" si="34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>
        <v>1</v>
      </c>
      <c r="BC468" s="26"/>
      <c r="BD468" s="26"/>
      <c r="BE468" s="26"/>
      <c r="BF468" s="26"/>
      <c r="BG468" s="26"/>
      <c r="BH468" s="67" t="e">
        <f>SUMIFS([1]Up!$J:$J,[1]Up!$D:$D,D468)</f>
        <v>#VALUE!</v>
      </c>
      <c r="BI468" s="82"/>
      <c r="BJ468" s="82" t="str">
        <f t="shared" si="42"/>
        <v>PL10</v>
      </c>
      <c r="BK468" s="53" t="str">
        <f t="shared" si="43"/>
        <v/>
      </c>
      <c r="BL468" s="53" t="s">
        <v>148</v>
      </c>
      <c r="BM468" s="53" t="s">
        <v>1004</v>
      </c>
      <c r="BN468" s="53" t="s">
        <v>1005</v>
      </c>
      <c r="BO468" s="84" t="s">
        <v>2156</v>
      </c>
      <c r="BP468" s="53">
        <v>4</v>
      </c>
      <c r="BQ468" s="83">
        <v>46302</v>
      </c>
      <c r="BR468" s="53"/>
      <c r="BS468" s="53"/>
      <c r="BT468" s="238"/>
    </row>
    <row r="469" spans="3:72" ht="14.25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41"/>
        <v>0</v>
      </c>
      <c r="M469" s="26">
        <f t="shared" si="34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67" t="e">
        <f>SUMIFS([1]Up!$J:$J,[1]Up!$D:$D,D469)</f>
        <v>#VALUE!</v>
      </c>
      <c r="BI469" s="82"/>
      <c r="BJ469" s="82" t="str">
        <f t="shared" si="42"/>
        <v>PL3</v>
      </c>
      <c r="BK469" s="53" t="str">
        <f t="shared" si="43"/>
        <v/>
      </c>
      <c r="BL469" s="53" t="s">
        <v>148</v>
      </c>
      <c r="BM469" s="53" t="s">
        <v>1631</v>
      </c>
      <c r="BN469" s="53" t="s">
        <v>961</v>
      </c>
      <c r="BO469" s="84" t="s">
        <v>2189</v>
      </c>
      <c r="BP469" s="53">
        <v>4</v>
      </c>
      <c r="BQ469" s="83" t="s">
        <v>2224</v>
      </c>
      <c r="BR469" s="53"/>
      <c r="BS469" s="53"/>
      <c r="BT469" s="238"/>
    </row>
    <row r="470" spans="3:72" ht="14.25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41"/>
        <v>2</v>
      </c>
      <c r="M470" s="26">
        <f t="shared" si="34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67" t="e">
        <f>SUMIFS([1]Up!$J:$J,[1]Up!$D:$D,D470)</f>
        <v>#VALUE!</v>
      </c>
      <c r="BI470" s="82"/>
      <c r="BJ470" s="82" t="str">
        <f t="shared" si="42"/>
        <v>PL10</v>
      </c>
      <c r="BK470" s="53" t="str">
        <f t="shared" si="43"/>
        <v/>
      </c>
      <c r="BL470" s="53" t="s">
        <v>148</v>
      </c>
      <c r="BM470" s="53" t="s">
        <v>1004</v>
      </c>
      <c r="BN470" s="53" t="s">
        <v>1005</v>
      </c>
      <c r="BO470" s="84" t="s">
        <v>2156</v>
      </c>
      <c r="BP470" s="53">
        <v>8</v>
      </c>
      <c r="BQ470" s="83">
        <v>46302</v>
      </c>
      <c r="BR470" s="53"/>
      <c r="BS470" s="53"/>
      <c r="BT470" s="238"/>
    </row>
    <row r="471" spans="3:72" ht="14.25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41"/>
        <v>2</v>
      </c>
      <c r="M471" s="26">
        <f t="shared" si="34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67" t="e">
        <f>SUMIFS([1]Up!$J:$J,[1]Up!$D:$D,D471)</f>
        <v>#VALUE!</v>
      </c>
      <c r="BI471" s="82"/>
      <c r="BJ471" s="82" t="str">
        <f t="shared" si="42"/>
        <v>PL16</v>
      </c>
      <c r="BK471" s="53" t="str">
        <f t="shared" si="43"/>
        <v/>
      </c>
      <c r="BL471" s="53" t="s">
        <v>148</v>
      </c>
      <c r="BM471" s="53" t="s">
        <v>987</v>
      </c>
      <c r="BN471" s="53" t="s">
        <v>988</v>
      </c>
      <c r="BO471" s="84" t="s">
        <v>2160</v>
      </c>
      <c r="BP471" s="53">
        <v>8</v>
      </c>
      <c r="BQ471" s="83" t="s">
        <v>2225</v>
      </c>
      <c r="BR471" s="53"/>
      <c r="BS471" s="53"/>
      <c r="BT471" s="238"/>
    </row>
    <row r="472" spans="3:72" ht="14.25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41"/>
        <v>2</v>
      </c>
      <c r="M472" s="26">
        <f t="shared" si="34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67" t="e">
        <f>SUMIFS([1]Up!$J:$J,[1]Up!$D:$D,D472)</f>
        <v>#VALUE!</v>
      </c>
      <c r="BI472" s="82"/>
      <c r="BJ472" s="82" t="str">
        <f t="shared" si="42"/>
        <v>PL15</v>
      </c>
      <c r="BK472" s="53" t="str">
        <f t="shared" si="43"/>
        <v/>
      </c>
      <c r="BL472" s="53" t="s">
        <v>148</v>
      </c>
      <c r="BM472" s="53" t="s">
        <v>1093</v>
      </c>
      <c r="BN472" s="53" t="s">
        <v>1094</v>
      </c>
      <c r="BO472" s="84" t="s">
        <v>2155</v>
      </c>
      <c r="BP472" s="53">
        <v>8</v>
      </c>
      <c r="BQ472" s="83" t="s">
        <v>2224</v>
      </c>
      <c r="BR472" s="53"/>
      <c r="BS472" s="53"/>
      <c r="BT472" s="238"/>
    </row>
    <row r="473" spans="3:72" ht="14.25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41"/>
        <v>2</v>
      </c>
      <c r="M473" s="26">
        <f t="shared" si="34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67" t="e">
        <f>SUMIFS([1]Up!$J:$J,[1]Up!$D:$D,D473)</f>
        <v>#VALUE!</v>
      </c>
      <c r="BI473" s="82"/>
      <c r="BJ473" s="82" t="str">
        <f t="shared" si="42"/>
        <v>PL16</v>
      </c>
      <c r="BK473" s="53" t="str">
        <f t="shared" si="43"/>
        <v/>
      </c>
      <c r="BL473" s="53" t="s">
        <v>148</v>
      </c>
      <c r="BM473" s="53" t="s">
        <v>987</v>
      </c>
      <c r="BN473" s="53" t="s">
        <v>988</v>
      </c>
      <c r="BO473" s="84" t="s">
        <v>2160</v>
      </c>
      <c r="BP473" s="53">
        <v>8</v>
      </c>
      <c r="BQ473" s="83" t="s">
        <v>2225</v>
      </c>
      <c r="BR473" s="53"/>
      <c r="BS473" s="53"/>
      <c r="BT473" s="238"/>
    </row>
    <row r="474" spans="3:72" ht="14.25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41"/>
        <v>1</v>
      </c>
      <c r="M474" s="26">
        <f t="shared" si="34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67" t="e">
        <f>SUMIFS([1]Up!$J:$J,[1]Up!$D:$D,D474)</f>
        <v>#VALUE!</v>
      </c>
      <c r="BI474" s="82"/>
      <c r="BJ474" s="82" t="str">
        <f t="shared" si="42"/>
        <v>PL20</v>
      </c>
      <c r="BK474" s="53" t="str">
        <f t="shared" si="43"/>
        <v/>
      </c>
      <c r="BL474" s="53" t="s">
        <v>148</v>
      </c>
      <c r="BM474" s="53" t="s">
        <v>1099</v>
      </c>
      <c r="BN474" s="53" t="s">
        <v>1100</v>
      </c>
      <c r="BO474" s="84" t="s">
        <v>2157</v>
      </c>
      <c r="BP474" s="53">
        <v>4</v>
      </c>
      <c r="BQ474" s="83">
        <v>46242</v>
      </c>
      <c r="BR474" s="53"/>
      <c r="BS474" s="53"/>
      <c r="BT474" s="238"/>
    </row>
    <row r="475" spans="3:72" ht="14.25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41"/>
        <v>2</v>
      </c>
      <c r="M475" s="26">
        <f t="shared" si="34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67" t="e">
        <f>SUMIFS([1]Up!$J:$J,[1]Up!$D:$D,D475)</f>
        <v>#VALUE!</v>
      </c>
      <c r="BI475" s="82"/>
      <c r="BJ475" s="82" t="str">
        <f t="shared" si="42"/>
        <v>PL15</v>
      </c>
      <c r="BK475" s="53" t="str">
        <f t="shared" si="43"/>
        <v/>
      </c>
      <c r="BL475" s="53" t="s">
        <v>148</v>
      </c>
      <c r="BM475" s="53" t="s">
        <v>1093</v>
      </c>
      <c r="BN475" s="53" t="s">
        <v>1094</v>
      </c>
      <c r="BO475" s="84" t="s">
        <v>2155</v>
      </c>
      <c r="BP475" s="53">
        <v>4</v>
      </c>
      <c r="BQ475" s="83" t="s">
        <v>2224</v>
      </c>
      <c r="BR475" s="53"/>
      <c r="BS475" s="53"/>
      <c r="BT475" s="238"/>
    </row>
    <row r="476" spans="3:72" ht="14.25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41"/>
        <v>2</v>
      </c>
      <c r="M476" s="26">
        <f t="shared" si="34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67" t="e">
        <f>SUMIFS([1]Up!$J:$J,[1]Up!$D:$D,D476)</f>
        <v>#VALUE!</v>
      </c>
      <c r="BI476" s="82" t="s">
        <v>2073</v>
      </c>
      <c r="BJ476" s="82" t="str">
        <f t="shared" si="42"/>
        <v>PL10</v>
      </c>
      <c r="BK476" s="53" t="str">
        <f t="shared" si="43"/>
        <v/>
      </c>
      <c r="BL476" s="53" t="s">
        <v>154</v>
      </c>
      <c r="BM476" s="53" t="s">
        <v>1004</v>
      </c>
      <c r="BN476" s="53" t="s">
        <v>1005</v>
      </c>
      <c r="BO476" s="53" t="s">
        <v>57</v>
      </c>
      <c r="BP476" s="53">
        <v>4</v>
      </c>
      <c r="BQ476" s="83"/>
      <c r="BR476" s="53"/>
      <c r="BS476" s="53"/>
    </row>
    <row r="477" spans="3:72" ht="14.25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41"/>
        <v>4</v>
      </c>
      <c r="M477" s="26">
        <f t="shared" si="34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26"/>
      <c r="BD477" s="26"/>
      <c r="BE477" s="26"/>
      <c r="BF477" s="26"/>
      <c r="BG477" s="26"/>
      <c r="BH477" s="67" t="e">
        <f>SUMIFS([1]Up!$J:$J,[1]Up!$D:$D,D477)</f>
        <v>#VALUE!</v>
      </c>
      <c r="BI477" s="82" t="s">
        <v>2390</v>
      </c>
      <c r="BJ477" s="82" t="str">
        <f t="shared" si="42"/>
        <v>PL10</v>
      </c>
      <c r="BK477" s="53" t="str">
        <f t="shared" si="43"/>
        <v>Thừa 2</v>
      </c>
      <c r="BL477" s="53" t="s">
        <v>148</v>
      </c>
      <c r="BM477" s="53" t="s">
        <v>1004</v>
      </c>
      <c r="BN477" s="53" t="s">
        <v>1005</v>
      </c>
      <c r="BO477" s="53" t="s">
        <v>57</v>
      </c>
      <c r="BP477" s="53">
        <v>8</v>
      </c>
      <c r="BQ477" s="83"/>
      <c r="BR477" s="53"/>
      <c r="BS477" s="53"/>
    </row>
    <row r="478" spans="3:72" ht="14.25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5">MIN(SUM(N478:BG478),I478)</f>
        <v>4</v>
      </c>
      <c r="M478" s="26">
        <f t="shared" si="34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26"/>
      <c r="BD478" s="26"/>
      <c r="BE478" s="26"/>
      <c r="BF478" s="26"/>
      <c r="BG478" s="26"/>
      <c r="BH478" s="67" t="e">
        <f>SUMIFS([1]Up!$J:$J,[1]Up!$D:$D,D478)</f>
        <v>#VALUE!</v>
      </c>
      <c r="BI478" s="82" t="s">
        <v>2391</v>
      </c>
      <c r="BJ478" s="82" t="str">
        <f t="shared" ref="BJ478:BJ541" si="46">IFERROR(IF(C478="Plate",LEFT(E478,FIND("*",E478,1)-1),""),IF(C478="Plate",LEFT(E478,FIND("x",E478,1)-1),""))</f>
        <v>PL10</v>
      </c>
      <c r="BK478" s="53" t="str">
        <f t="shared" ref="BK478:BK541" si="47">IF(ROUND(SUM(N478:BG478)-I478,0)&gt;0,"Thừa "&amp;SUM(N478:BG478)-I478,"")</f>
        <v>Thừa 2</v>
      </c>
      <c r="BL478" s="53" t="s">
        <v>148</v>
      </c>
      <c r="BM478" s="53" t="s">
        <v>1004</v>
      </c>
      <c r="BN478" s="53" t="s">
        <v>1005</v>
      </c>
      <c r="BO478" s="53" t="s">
        <v>57</v>
      </c>
      <c r="BP478" s="53">
        <v>8</v>
      </c>
      <c r="BQ478" s="83"/>
      <c r="BR478" s="53"/>
      <c r="BS478" s="53"/>
    </row>
    <row r="479" spans="3:72" ht="14.25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5"/>
        <v>4</v>
      </c>
      <c r="M479" s="26">
        <f t="shared" si="34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67" t="e">
        <f>SUMIFS([1]Up!$J:$J,[1]Up!$D:$D,D479)</f>
        <v>#VALUE!</v>
      </c>
      <c r="BI479" s="82"/>
      <c r="BJ479" s="82" t="str">
        <f t="shared" si="46"/>
        <v>PL15</v>
      </c>
      <c r="BK479" s="53" t="str">
        <f t="shared" si="47"/>
        <v/>
      </c>
      <c r="BL479" s="53" t="s">
        <v>148</v>
      </c>
      <c r="BM479" s="53" t="s">
        <v>1093</v>
      </c>
      <c r="BN479" s="53" t="s">
        <v>1094</v>
      </c>
      <c r="BO479" s="84" t="s">
        <v>2155</v>
      </c>
      <c r="BP479" s="53">
        <v>8</v>
      </c>
      <c r="BQ479" s="83" t="s">
        <v>2224</v>
      </c>
      <c r="BR479" s="53"/>
      <c r="BS479" s="53"/>
      <c r="BT479" s="238"/>
    </row>
    <row r="480" spans="3:72" ht="14.25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5"/>
        <v>2</v>
      </c>
      <c r="M480" s="26">
        <f t="shared" si="34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26"/>
      <c r="BD480" s="26"/>
      <c r="BE480" s="26"/>
      <c r="BF480" s="26"/>
      <c r="BG480" s="26"/>
      <c r="BH480" s="67" t="e">
        <f>SUMIFS([1]Up!$J:$J,[1]Up!$D:$D,D480)</f>
        <v>#VALUE!</v>
      </c>
      <c r="BI480" s="82" t="s">
        <v>2071</v>
      </c>
      <c r="BJ480" s="82" t="str">
        <f t="shared" si="46"/>
        <v>PL10</v>
      </c>
      <c r="BK480" s="53" t="str">
        <f t="shared" si="47"/>
        <v>Thừa 1</v>
      </c>
      <c r="BL480" s="53" t="s">
        <v>148</v>
      </c>
      <c r="BM480" s="53" t="s">
        <v>1004</v>
      </c>
      <c r="BN480" s="53" t="s">
        <v>1005</v>
      </c>
      <c r="BO480" s="53" t="s">
        <v>57</v>
      </c>
      <c r="BP480" s="53">
        <v>4</v>
      </c>
      <c r="BQ480" s="83"/>
      <c r="BR480" s="53"/>
      <c r="BS480" s="53"/>
    </row>
    <row r="481" spans="3:72" ht="14.25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5"/>
        <v>2</v>
      </c>
      <c r="M481" s="26">
        <f t="shared" si="34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67" t="e">
        <f>SUMIFS([1]Up!$J:$J,[1]Up!$D:$D,D481)</f>
        <v>#VALUE!</v>
      </c>
      <c r="BI481" s="82" t="s">
        <v>2072</v>
      </c>
      <c r="BJ481" s="82" t="str">
        <f t="shared" si="46"/>
        <v>PL20</v>
      </c>
      <c r="BK481" s="53" t="str">
        <f t="shared" si="47"/>
        <v>Thừa 2</v>
      </c>
      <c r="BL481" s="53" t="s">
        <v>148</v>
      </c>
      <c r="BM481" s="53" t="s">
        <v>1099</v>
      </c>
      <c r="BN481" s="53" t="s">
        <v>1100</v>
      </c>
      <c r="BO481" s="53" t="s">
        <v>57</v>
      </c>
      <c r="BP481" s="53">
        <v>4</v>
      </c>
      <c r="BQ481" s="83"/>
      <c r="BR481" s="53"/>
      <c r="BS481" s="53"/>
    </row>
    <row r="482" spans="3:72" ht="14.25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5"/>
        <v>1</v>
      </c>
      <c r="M482" s="26">
        <f t="shared" si="34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26"/>
      <c r="BD482" s="26"/>
      <c r="BE482" s="26"/>
      <c r="BF482" s="26"/>
      <c r="BG482" s="26"/>
      <c r="BH482" s="67" t="e">
        <f>SUMIFS([1]Up!$J:$J,[1]Up!$D:$D,D482)</f>
        <v>#VALUE!</v>
      </c>
      <c r="BI482" s="82"/>
      <c r="BJ482" s="82" t="str">
        <f t="shared" si="46"/>
        <v>PL10</v>
      </c>
      <c r="BK482" s="53" t="str">
        <f t="shared" si="47"/>
        <v/>
      </c>
      <c r="BL482" s="53" t="s">
        <v>154</v>
      </c>
      <c r="BM482" s="53" t="s">
        <v>1004</v>
      </c>
      <c r="BN482" s="53" t="s">
        <v>1005</v>
      </c>
      <c r="BO482" s="84" t="s">
        <v>2156</v>
      </c>
      <c r="BP482" s="53">
        <v>4</v>
      </c>
      <c r="BQ482" s="83">
        <v>46302</v>
      </c>
      <c r="BR482" s="53"/>
      <c r="BS482" s="53"/>
      <c r="BT482" s="238"/>
    </row>
    <row r="483" spans="3:72" ht="14.25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5"/>
        <v>2</v>
      </c>
      <c r="M483" s="26">
        <f t="shared" si="34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67" t="e">
        <f>SUMIFS([1]Up!$J:$J,[1]Up!$D:$D,D483)</f>
        <v>#VALUE!</v>
      </c>
      <c r="BI483" s="82"/>
      <c r="BJ483" s="82" t="str">
        <f t="shared" si="46"/>
        <v>PL20</v>
      </c>
      <c r="BK483" s="53" t="str">
        <f t="shared" si="47"/>
        <v/>
      </c>
      <c r="BL483" s="53" t="s">
        <v>148</v>
      </c>
      <c r="BM483" s="53" t="s">
        <v>1099</v>
      </c>
      <c r="BN483" s="53" t="s">
        <v>1100</v>
      </c>
      <c r="BO483" s="84" t="s">
        <v>2157</v>
      </c>
      <c r="BP483" s="53">
        <v>8</v>
      </c>
      <c r="BQ483" s="83">
        <v>46242</v>
      </c>
      <c r="BR483" s="53"/>
      <c r="BS483" s="53"/>
      <c r="BT483" s="238"/>
    </row>
    <row r="484" spans="3:72" ht="14.25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5"/>
        <v>5</v>
      </c>
      <c r="M484" s="26">
        <f t="shared" si="34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67" t="e">
        <f>SUMIFS([1]Up!$J:$J,[1]Up!$D:$D,D484)</f>
        <v>#VALUE!</v>
      </c>
      <c r="BI484" s="82"/>
      <c r="BJ484" s="82" t="str">
        <f t="shared" si="46"/>
        <v/>
      </c>
      <c r="BK484" s="53" t="str">
        <f t="shared" si="47"/>
        <v/>
      </c>
      <c r="BL484" s="53" t="s">
        <v>148</v>
      </c>
      <c r="BM484" s="53" t="s">
        <v>1078</v>
      </c>
      <c r="BN484" s="53" t="s">
        <v>1075</v>
      </c>
      <c r="BO484" s="53" t="s">
        <v>1289</v>
      </c>
      <c r="BP484" s="53">
        <v>5</v>
      </c>
      <c r="BQ484" s="83">
        <v>46362</v>
      </c>
      <c r="BR484" s="53"/>
      <c r="BS484" s="53"/>
    </row>
    <row r="485" spans="3:72" ht="14.25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5"/>
        <v>1</v>
      </c>
      <c r="M485" s="26">
        <f t="shared" si="34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67" t="e">
        <f>SUMIFS([1]Up!$J:$J,[1]Up!$D:$D,D485)</f>
        <v>#VALUE!</v>
      </c>
      <c r="BI485" s="82" t="s">
        <v>2073</v>
      </c>
      <c r="BJ485" s="82" t="str">
        <f t="shared" si="46"/>
        <v>PL8</v>
      </c>
      <c r="BK485" s="53" t="str">
        <f t="shared" si="47"/>
        <v>Thừa 1</v>
      </c>
      <c r="BL485" s="53" t="s">
        <v>154</v>
      </c>
      <c r="BM485" s="53" t="s">
        <v>1011</v>
      </c>
      <c r="BN485" s="53" t="s">
        <v>1012</v>
      </c>
      <c r="BO485" s="53" t="s">
        <v>57</v>
      </c>
      <c r="BP485" s="53">
        <v>1</v>
      </c>
      <c r="BQ485" s="83"/>
      <c r="BR485" s="53"/>
      <c r="BS485" s="53"/>
    </row>
    <row r="486" spans="3:72" ht="14.25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5"/>
        <v>2</v>
      </c>
      <c r="M486" s="26">
        <f t="shared" si="34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67" t="e">
        <f>SUMIFS([1]Up!$J:$J,[1]Up!$D:$D,D486)</f>
        <v>#VALUE!</v>
      </c>
      <c r="BI486" s="82"/>
      <c r="BJ486" s="82" t="str">
        <f t="shared" si="46"/>
        <v>PL15</v>
      </c>
      <c r="BK486" s="53" t="str">
        <f t="shared" si="47"/>
        <v/>
      </c>
      <c r="BL486" s="53" t="s">
        <v>148</v>
      </c>
      <c r="BM486" s="53" t="s">
        <v>1093</v>
      </c>
      <c r="BN486" s="53" t="s">
        <v>1094</v>
      </c>
      <c r="BO486" s="53" t="s">
        <v>1303</v>
      </c>
      <c r="BP486" s="53">
        <v>2</v>
      </c>
      <c r="BQ486" s="83">
        <v>46088</v>
      </c>
      <c r="BR486" s="53"/>
      <c r="BS486" s="53"/>
    </row>
    <row r="487" spans="3:72" ht="14.25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5"/>
        <v>2</v>
      </c>
      <c r="M487" s="26">
        <f t="shared" si="34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67" t="e">
        <f>SUMIFS([1]Up!$J:$J,[1]Up!$D:$D,D487)</f>
        <v>#VALUE!</v>
      </c>
      <c r="BI487" s="82"/>
      <c r="BJ487" s="82" t="str">
        <f t="shared" si="46"/>
        <v>PL15</v>
      </c>
      <c r="BK487" s="53" t="str">
        <f t="shared" si="47"/>
        <v/>
      </c>
      <c r="BL487" s="53" t="s">
        <v>148</v>
      </c>
      <c r="BM487" s="53" t="s">
        <v>1093</v>
      </c>
      <c r="BN487" s="53" t="s">
        <v>1094</v>
      </c>
      <c r="BO487" s="53" t="s">
        <v>1303</v>
      </c>
      <c r="BP487" s="53">
        <v>2</v>
      </c>
      <c r="BQ487" s="83">
        <v>46088</v>
      </c>
      <c r="BR487" s="53"/>
      <c r="BS487" s="53"/>
    </row>
    <row r="488" spans="3:72" ht="14.25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5"/>
        <v>4</v>
      </c>
      <c r="M488" s="26">
        <f t="shared" si="34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67" t="e">
        <f>SUMIFS([1]Up!$J:$J,[1]Up!$D:$D,D488)</f>
        <v>#VALUE!</v>
      </c>
      <c r="BI488" s="82"/>
      <c r="BJ488" s="82" t="str">
        <f t="shared" si="46"/>
        <v>PL16</v>
      </c>
      <c r="BK488" s="53" t="str">
        <f t="shared" si="47"/>
        <v/>
      </c>
      <c r="BL488" s="53" t="s">
        <v>148</v>
      </c>
      <c r="BM488" s="53" t="s">
        <v>987</v>
      </c>
      <c r="BN488" s="53" t="s">
        <v>988</v>
      </c>
      <c r="BO488" s="53" t="s">
        <v>989</v>
      </c>
      <c r="BP488" s="53">
        <v>4</v>
      </c>
      <c r="BQ488" s="83" t="s">
        <v>2222</v>
      </c>
      <c r="BR488" s="53"/>
      <c r="BS488" s="53"/>
    </row>
    <row r="489" spans="3:72" ht="14.25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5"/>
        <v>2</v>
      </c>
      <c r="M489" s="26">
        <f t="shared" si="34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67" t="e">
        <f>SUMIFS([1]Up!$J:$J,[1]Up!$D:$D,D489)</f>
        <v>#VALUE!</v>
      </c>
      <c r="BI489" s="82"/>
      <c r="BJ489" s="82" t="str">
        <f t="shared" si="46"/>
        <v>PL16</v>
      </c>
      <c r="BK489" s="53" t="str">
        <f t="shared" si="47"/>
        <v/>
      </c>
      <c r="BL489" s="53" t="s">
        <v>148</v>
      </c>
      <c r="BM489" s="53" t="s">
        <v>987</v>
      </c>
      <c r="BN489" s="53" t="s">
        <v>988</v>
      </c>
      <c r="BO489" s="53" t="s">
        <v>989</v>
      </c>
      <c r="BP489" s="53">
        <v>2</v>
      </c>
      <c r="BQ489" s="83" t="s">
        <v>2222</v>
      </c>
      <c r="BR489" s="53"/>
      <c r="BS489" s="53"/>
    </row>
    <row r="490" spans="3:72" ht="14.25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5"/>
        <v>4</v>
      </c>
      <c r="M490" s="26">
        <f t="shared" si="34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67" t="e">
        <f>SUMIFS([1]Up!$J:$J,[1]Up!$D:$D,D490)</f>
        <v>#VALUE!</v>
      </c>
      <c r="BI490" s="82"/>
      <c r="BJ490" s="82" t="str">
        <f t="shared" si="46"/>
        <v>PL16</v>
      </c>
      <c r="BK490" s="53" t="str">
        <f t="shared" si="47"/>
        <v/>
      </c>
      <c r="BL490" s="53" t="s">
        <v>148</v>
      </c>
      <c r="BM490" s="53" t="s">
        <v>987</v>
      </c>
      <c r="BN490" s="53" t="s">
        <v>988</v>
      </c>
      <c r="BO490" s="53" t="s">
        <v>989</v>
      </c>
      <c r="BP490" s="53">
        <v>4</v>
      </c>
      <c r="BQ490" s="83" t="s">
        <v>2222</v>
      </c>
      <c r="BR490" s="53"/>
      <c r="BS490" s="53"/>
    </row>
    <row r="491" spans="3:72" ht="14.25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5"/>
        <v>1</v>
      </c>
      <c r="M491" s="26">
        <f t="shared" si="34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67" t="e">
        <f>SUMIFS([1]Up!$J:$J,[1]Up!$D:$D,D491)</f>
        <v>#VALUE!</v>
      </c>
      <c r="BI491" s="82"/>
      <c r="BJ491" s="82" t="str">
        <f t="shared" si="46"/>
        <v>PL15</v>
      </c>
      <c r="BK491" s="53" t="str">
        <f t="shared" si="47"/>
        <v/>
      </c>
      <c r="BL491" s="53" t="s">
        <v>148</v>
      </c>
      <c r="BM491" s="53" t="s">
        <v>1093</v>
      </c>
      <c r="BN491" s="53" t="s">
        <v>1094</v>
      </c>
      <c r="BO491" s="53" t="s">
        <v>1303</v>
      </c>
      <c r="BP491" s="53">
        <v>1</v>
      </c>
      <c r="BQ491" s="83">
        <v>46088</v>
      </c>
      <c r="BR491" s="53"/>
      <c r="BS491" s="53"/>
    </row>
    <row r="492" spans="3:72" ht="14.25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5"/>
        <v>2</v>
      </c>
      <c r="M492" s="26">
        <f t="shared" si="34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67" t="e">
        <f>SUMIFS([1]Up!$J:$J,[1]Up!$D:$D,D492)</f>
        <v>#VALUE!</v>
      </c>
      <c r="BI492" s="82"/>
      <c r="BJ492" s="82" t="str">
        <f t="shared" si="46"/>
        <v>PL20</v>
      </c>
      <c r="BK492" s="53" t="str">
        <f t="shared" si="47"/>
        <v/>
      </c>
      <c r="BL492" s="53" t="s">
        <v>148</v>
      </c>
      <c r="BM492" s="53" t="s">
        <v>1099</v>
      </c>
      <c r="BN492" s="53" t="s">
        <v>1100</v>
      </c>
      <c r="BO492" s="53" t="s">
        <v>1307</v>
      </c>
      <c r="BP492" s="53">
        <v>2</v>
      </c>
      <c r="BQ492" s="83">
        <v>46242</v>
      </c>
      <c r="BR492" s="53"/>
      <c r="BS492" s="53"/>
    </row>
    <row r="493" spans="3:72" ht="14.25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5"/>
        <v>2</v>
      </c>
      <c r="M493" s="26">
        <f t="shared" si="34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67" t="e">
        <f>SUMIFS([1]Up!$J:$J,[1]Up!$D:$D,D493)</f>
        <v>#VALUE!</v>
      </c>
      <c r="BI493" s="82"/>
      <c r="BJ493" s="82" t="str">
        <f t="shared" si="46"/>
        <v>PL15</v>
      </c>
      <c r="BK493" s="53" t="str">
        <f t="shared" si="47"/>
        <v/>
      </c>
      <c r="BL493" s="53" t="s">
        <v>148</v>
      </c>
      <c r="BM493" s="53" t="s">
        <v>1093</v>
      </c>
      <c r="BN493" s="53" t="s">
        <v>1094</v>
      </c>
      <c r="BO493" s="53" t="s">
        <v>1303</v>
      </c>
      <c r="BP493" s="53">
        <v>2</v>
      </c>
      <c r="BQ493" s="83">
        <v>46088</v>
      </c>
      <c r="BR493" s="53"/>
      <c r="BS493" s="53"/>
    </row>
    <row r="494" spans="3:72" ht="14.25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5"/>
        <v>1</v>
      </c>
      <c r="M494" s="26">
        <f t="shared" si="34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67" t="e">
        <f>SUMIFS([1]Up!$J:$J,[1]Up!$D:$D,D494)</f>
        <v>#VALUE!</v>
      </c>
      <c r="BI494" s="82" t="s">
        <v>2085</v>
      </c>
      <c r="BJ494" s="82" t="str">
        <f t="shared" si="46"/>
        <v>PL10</v>
      </c>
      <c r="BK494" s="53" t="str">
        <f t="shared" si="47"/>
        <v>Thừa 2</v>
      </c>
      <c r="BL494" s="53" t="s">
        <v>154</v>
      </c>
      <c r="BM494" s="53" t="s">
        <v>1004</v>
      </c>
      <c r="BN494" s="53" t="s">
        <v>1005</v>
      </c>
      <c r="BO494" s="53" t="s">
        <v>57</v>
      </c>
      <c r="BP494" s="53">
        <v>1</v>
      </c>
      <c r="BQ494" s="83"/>
      <c r="BR494" s="53"/>
      <c r="BS494" s="53"/>
    </row>
    <row r="495" spans="3:72" ht="14.25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5"/>
        <v>1</v>
      </c>
      <c r="M495" s="26">
        <f t="shared" si="34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67" t="e">
        <f>SUMIFS([1]Up!$J:$J,[1]Up!$D:$D,D495)</f>
        <v>#VALUE!</v>
      </c>
      <c r="BI495" s="82" t="s">
        <v>2071</v>
      </c>
      <c r="BJ495" s="82" t="str">
        <f t="shared" si="46"/>
        <v>PL10</v>
      </c>
      <c r="BK495" s="53" t="str">
        <f t="shared" si="47"/>
        <v>Thừa 2</v>
      </c>
      <c r="BL495" s="53" t="s">
        <v>154</v>
      </c>
      <c r="BM495" s="53" t="s">
        <v>1004</v>
      </c>
      <c r="BN495" s="53" t="s">
        <v>1005</v>
      </c>
      <c r="BO495" s="53" t="s">
        <v>57</v>
      </c>
      <c r="BP495" s="53">
        <v>1</v>
      </c>
      <c r="BQ495" s="83"/>
      <c r="BR495" s="53"/>
      <c r="BS495" s="53"/>
    </row>
    <row r="496" spans="3:72" ht="14.25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5"/>
        <v>2</v>
      </c>
      <c r="M496" s="26">
        <f t="shared" si="34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67" t="e">
        <f>SUMIFS([1]Up!$J:$J,[1]Up!$D:$D,D496)</f>
        <v>#VALUE!</v>
      </c>
      <c r="BI496" s="82" t="s">
        <v>2081</v>
      </c>
      <c r="BJ496" s="82" t="str">
        <f t="shared" si="46"/>
        <v>PL8</v>
      </c>
      <c r="BK496" s="53" t="str">
        <f t="shared" si="47"/>
        <v>Thừa 2</v>
      </c>
      <c r="BL496" s="53" t="s">
        <v>148</v>
      </c>
      <c r="BM496" s="53" t="s">
        <v>1011</v>
      </c>
      <c r="BN496" s="53" t="s">
        <v>1012</v>
      </c>
      <c r="BO496" s="53" t="s">
        <v>57</v>
      </c>
      <c r="BP496" s="53">
        <v>2</v>
      </c>
      <c r="BQ496" s="83"/>
      <c r="BR496" s="53"/>
      <c r="BS496" s="53"/>
    </row>
    <row r="497" spans="3:72" ht="14.25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5"/>
        <v>1</v>
      </c>
      <c r="M497" s="26">
        <f t="shared" si="34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67" t="e">
        <f>SUMIFS([1]Up!$J:$J,[1]Up!$D:$D,D497)</f>
        <v>#VALUE!</v>
      </c>
      <c r="BI497" s="82" t="s">
        <v>2073</v>
      </c>
      <c r="BJ497" s="82" t="str">
        <f t="shared" si="46"/>
        <v>PL8</v>
      </c>
      <c r="BK497" s="53" t="str">
        <f t="shared" si="47"/>
        <v>Thừa 1</v>
      </c>
      <c r="BL497" s="53" t="s">
        <v>148</v>
      </c>
      <c r="BM497" s="53" t="s">
        <v>1011</v>
      </c>
      <c r="BN497" s="53" t="s">
        <v>1012</v>
      </c>
      <c r="BO497" s="53" t="s">
        <v>57</v>
      </c>
      <c r="BP497" s="53">
        <v>1</v>
      </c>
      <c r="BQ497" s="83"/>
      <c r="BR497" s="53"/>
      <c r="BS497" s="53"/>
    </row>
    <row r="498" spans="3:72" ht="14.25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5"/>
        <v>1</v>
      </c>
      <c r="M498" s="26">
        <f t="shared" si="34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67" t="e">
        <f>SUMIFS([1]Up!$J:$J,[1]Up!$D:$D,D498)</f>
        <v>#VALUE!</v>
      </c>
      <c r="BI498" s="82" t="s">
        <v>2071</v>
      </c>
      <c r="BJ498" s="82" t="str">
        <f t="shared" si="46"/>
        <v>PL10</v>
      </c>
      <c r="BK498" s="53" t="str">
        <f t="shared" si="47"/>
        <v>Thừa 2</v>
      </c>
      <c r="BL498" s="53" t="s">
        <v>148</v>
      </c>
      <c r="BM498" s="53" t="s">
        <v>1004</v>
      </c>
      <c r="BN498" s="53" t="s">
        <v>1005</v>
      </c>
      <c r="BO498" s="53" t="s">
        <v>57</v>
      </c>
      <c r="BP498" s="53">
        <v>1</v>
      </c>
      <c r="BQ498" s="83"/>
      <c r="BR498" s="53"/>
      <c r="BS498" s="53"/>
    </row>
    <row r="499" spans="3:72" ht="14.25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5"/>
        <v>1</v>
      </c>
      <c r="M499" s="26">
        <f t="shared" si="34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67" t="e">
        <f>SUMIFS([1]Up!$J:$J,[1]Up!$D:$D,D499)</f>
        <v>#VALUE!</v>
      </c>
      <c r="BI499" s="82" t="s">
        <v>2071</v>
      </c>
      <c r="BJ499" s="82" t="str">
        <f t="shared" si="46"/>
        <v>PL10</v>
      </c>
      <c r="BK499" s="53" t="str">
        <f t="shared" si="47"/>
        <v>Thừa 2</v>
      </c>
      <c r="BL499" s="53" t="s">
        <v>148</v>
      </c>
      <c r="BM499" s="53" t="s">
        <v>1004</v>
      </c>
      <c r="BN499" s="53" t="s">
        <v>1005</v>
      </c>
      <c r="BO499" s="53" t="s">
        <v>57</v>
      </c>
      <c r="BP499" s="53">
        <v>1</v>
      </c>
      <c r="BQ499" s="83"/>
      <c r="BR499" s="53"/>
      <c r="BS499" s="53"/>
    </row>
    <row r="500" spans="3:72" ht="14.25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5"/>
        <v>1</v>
      </c>
      <c r="M500" s="26">
        <f t="shared" si="34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67" t="e">
        <f>SUMIFS([1]Up!$J:$J,[1]Up!$D:$D,D500)</f>
        <v>#VALUE!</v>
      </c>
      <c r="BI500" s="82" t="s">
        <v>2073</v>
      </c>
      <c r="BJ500" s="82" t="str">
        <f t="shared" si="46"/>
        <v>PL10</v>
      </c>
      <c r="BK500" s="53" t="str">
        <f t="shared" si="47"/>
        <v>Thừa 1</v>
      </c>
      <c r="BL500" s="53" t="s">
        <v>148</v>
      </c>
      <c r="BM500" s="53" t="s">
        <v>1004</v>
      </c>
      <c r="BN500" s="53" t="s">
        <v>1005</v>
      </c>
      <c r="BO500" s="53" t="s">
        <v>57</v>
      </c>
      <c r="BP500" s="53">
        <v>1</v>
      </c>
      <c r="BQ500" s="83"/>
      <c r="BR500" s="53"/>
      <c r="BS500" s="53"/>
    </row>
    <row r="501" spans="3:72" ht="14.25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5"/>
        <v>1</v>
      </c>
      <c r="M501" s="26">
        <f t="shared" si="34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67" t="e">
        <f>SUMIFS([1]Up!$J:$J,[1]Up!$D:$D,D501)</f>
        <v>#VALUE!</v>
      </c>
      <c r="BI501" s="82"/>
      <c r="BJ501" s="82" t="str">
        <f t="shared" si="46"/>
        <v>PL10</v>
      </c>
      <c r="BK501" s="53" t="str">
        <f t="shared" si="47"/>
        <v/>
      </c>
      <c r="BL501" s="53" t="s">
        <v>148</v>
      </c>
      <c r="BM501" s="53" t="s">
        <v>1004</v>
      </c>
      <c r="BN501" s="53" t="s">
        <v>1005</v>
      </c>
      <c r="BO501" s="53" t="s">
        <v>1063</v>
      </c>
      <c r="BP501" s="53">
        <v>1</v>
      </c>
      <c r="BQ501" s="83">
        <v>46088</v>
      </c>
      <c r="BR501" s="53"/>
      <c r="BS501" s="53"/>
    </row>
    <row r="502" spans="3:72" ht="14.25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5"/>
        <v>5</v>
      </c>
      <c r="M502" s="26">
        <f t="shared" si="34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67" t="e">
        <f>SUMIFS([1]Up!$J:$J,[1]Up!$D:$D,D502)</f>
        <v>#VALUE!</v>
      </c>
      <c r="BI502" s="82"/>
      <c r="BJ502" s="82" t="str">
        <f t="shared" si="46"/>
        <v/>
      </c>
      <c r="BK502" s="53" t="str">
        <f t="shared" si="47"/>
        <v/>
      </c>
      <c r="BL502" s="53" t="s">
        <v>148</v>
      </c>
      <c r="BM502" s="53" t="s">
        <v>1078</v>
      </c>
      <c r="BN502" s="53" t="s">
        <v>1075</v>
      </c>
      <c r="BO502" s="84" t="s">
        <v>2161</v>
      </c>
      <c r="BP502" s="53">
        <v>20</v>
      </c>
      <c r="BQ502" s="83" t="s">
        <v>2224</v>
      </c>
      <c r="BR502" s="53"/>
      <c r="BS502" s="53"/>
      <c r="BT502" s="238"/>
    </row>
    <row r="503" spans="3:72" ht="14.25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5"/>
        <v>0</v>
      </c>
      <c r="M503" s="26">
        <f t="shared" si="34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67" t="e">
        <f>SUMIFS([1]Up!$J:$J,[1]Up!$D:$D,D503)</f>
        <v>#VALUE!</v>
      </c>
      <c r="BI503" s="82"/>
      <c r="BJ503" s="82" t="str">
        <f t="shared" si="46"/>
        <v>PL8</v>
      </c>
      <c r="BK503" s="53" t="str">
        <f t="shared" si="47"/>
        <v/>
      </c>
      <c r="BL503" s="53" t="s">
        <v>154</v>
      </c>
      <c r="BM503" s="53" t="s">
        <v>1011</v>
      </c>
      <c r="BN503" s="53" t="s">
        <v>1012</v>
      </c>
      <c r="BO503" s="53" t="s">
        <v>57</v>
      </c>
      <c r="BP503" s="53">
        <v>4</v>
      </c>
      <c r="BQ503" s="83"/>
      <c r="BR503" s="53"/>
      <c r="BS503" s="53"/>
    </row>
    <row r="504" spans="3:72" ht="14.25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5"/>
        <v>6</v>
      </c>
      <c r="M504" s="26">
        <f t="shared" si="34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67" t="e">
        <f>SUMIFS([1]Up!$J:$J,[1]Up!$D:$D,D504)</f>
        <v>#VALUE!</v>
      </c>
      <c r="BI504" s="82"/>
      <c r="BJ504" s="82" t="str">
        <f t="shared" si="46"/>
        <v>PL16</v>
      </c>
      <c r="BK504" s="53" t="str">
        <f t="shared" si="47"/>
        <v/>
      </c>
      <c r="BL504" s="53" t="s">
        <v>148</v>
      </c>
      <c r="BM504" s="53" t="s">
        <v>987</v>
      </c>
      <c r="BN504" s="53" t="s">
        <v>988</v>
      </c>
      <c r="BO504" s="84" t="s">
        <v>2160</v>
      </c>
      <c r="BP504" s="53">
        <v>24</v>
      </c>
      <c r="BQ504" s="83" t="s">
        <v>2225</v>
      </c>
      <c r="BR504" s="53"/>
      <c r="BS504" s="53"/>
      <c r="BT504" s="238"/>
    </row>
    <row r="505" spans="3:72" ht="14.25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5"/>
        <v>2</v>
      </c>
      <c r="M505" s="26">
        <f t="shared" si="34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67" t="e">
        <f>SUMIFS([1]Up!$J:$J,[1]Up!$D:$D,D505)</f>
        <v>#VALUE!</v>
      </c>
      <c r="BI505" s="82"/>
      <c r="BJ505" s="82" t="str">
        <f t="shared" si="46"/>
        <v>PL15</v>
      </c>
      <c r="BK505" s="53" t="str">
        <f t="shared" si="47"/>
        <v/>
      </c>
      <c r="BL505" s="53" t="s">
        <v>148</v>
      </c>
      <c r="BM505" s="53" t="s">
        <v>1093</v>
      </c>
      <c r="BN505" s="53" t="s">
        <v>1094</v>
      </c>
      <c r="BO505" s="84" t="s">
        <v>2155</v>
      </c>
      <c r="BP505" s="53">
        <v>8</v>
      </c>
      <c r="BQ505" s="83" t="s">
        <v>2224</v>
      </c>
      <c r="BR505" s="53"/>
      <c r="BS505" s="53"/>
      <c r="BT505" s="238"/>
    </row>
    <row r="506" spans="3:72" ht="14.25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5"/>
        <v>2</v>
      </c>
      <c r="M506" s="26">
        <f t="shared" si="34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67" t="e">
        <f>SUMIFS([1]Up!$J:$J,[1]Up!$D:$D,D506)</f>
        <v>#VALUE!</v>
      </c>
      <c r="BI506" s="82"/>
      <c r="BJ506" s="82" t="str">
        <f t="shared" si="46"/>
        <v>PL20</v>
      </c>
      <c r="BK506" s="53" t="str">
        <f t="shared" si="47"/>
        <v/>
      </c>
      <c r="BL506" s="53" t="s">
        <v>148</v>
      </c>
      <c r="BM506" s="53" t="s">
        <v>1099</v>
      </c>
      <c r="BN506" s="53" t="s">
        <v>1100</v>
      </c>
      <c r="BO506" s="84" t="s">
        <v>2157</v>
      </c>
      <c r="BP506" s="53">
        <v>8</v>
      </c>
      <c r="BQ506" s="83">
        <v>46242</v>
      </c>
      <c r="BR506" s="53"/>
      <c r="BS506" s="53"/>
      <c r="BT506" s="238"/>
    </row>
    <row r="507" spans="3:72" ht="14.25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5"/>
        <v>5</v>
      </c>
      <c r="M507" s="26">
        <f t="shared" si="34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67" t="e">
        <f>SUMIFS([1]Up!$J:$J,[1]Up!$D:$D,D507)</f>
        <v>#VALUE!</v>
      </c>
      <c r="BI507" s="82"/>
      <c r="BJ507" s="82" t="str">
        <f t="shared" si="46"/>
        <v>PL16</v>
      </c>
      <c r="BK507" s="53" t="str">
        <f t="shared" si="47"/>
        <v/>
      </c>
      <c r="BL507" s="53" t="s">
        <v>148</v>
      </c>
      <c r="BM507" s="53" t="s">
        <v>987</v>
      </c>
      <c r="BN507" s="53" t="s">
        <v>988</v>
      </c>
      <c r="BO507" s="84" t="s">
        <v>2160</v>
      </c>
      <c r="BP507" s="53">
        <v>20</v>
      </c>
      <c r="BQ507" s="83" t="s">
        <v>2225</v>
      </c>
      <c r="BR507" s="53"/>
      <c r="BS507" s="53"/>
      <c r="BT507" s="238"/>
    </row>
    <row r="508" spans="3:72" ht="14.25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5"/>
        <v>1</v>
      </c>
      <c r="M508" s="26">
        <f t="shared" si="34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67" t="e">
        <f>SUMIFS([1]Up!$J:$J,[1]Up!$D:$D,D508)</f>
        <v>#VALUE!</v>
      </c>
      <c r="BI508" s="82" t="s">
        <v>2250</v>
      </c>
      <c r="BJ508" s="82" t="str">
        <f t="shared" si="46"/>
        <v>PL10</v>
      </c>
      <c r="BK508" s="53" t="str">
        <f t="shared" si="47"/>
        <v/>
      </c>
      <c r="BL508" s="53" t="s">
        <v>154</v>
      </c>
      <c r="BM508" s="53" t="s">
        <v>1004</v>
      </c>
      <c r="BN508" s="53" t="s">
        <v>1005</v>
      </c>
      <c r="BO508" s="53" t="s">
        <v>57</v>
      </c>
      <c r="BP508" s="53">
        <v>4</v>
      </c>
      <c r="BQ508" s="83"/>
      <c r="BR508" s="53"/>
      <c r="BS508" s="53"/>
    </row>
    <row r="509" spans="3:72" ht="14.25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5"/>
        <v>2</v>
      </c>
      <c r="M509" s="26">
        <f t="shared" si="34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67" t="e">
        <f>SUMIFS([1]Up!$J:$J,[1]Up!$D:$D,D509)</f>
        <v>#VALUE!</v>
      </c>
      <c r="BI509" s="82" t="s">
        <v>2071</v>
      </c>
      <c r="BJ509" s="82" t="str">
        <f t="shared" si="46"/>
        <v>PL10</v>
      </c>
      <c r="BK509" s="53" t="str">
        <f t="shared" si="47"/>
        <v>Thừa 1</v>
      </c>
      <c r="BL509" s="53" t="s">
        <v>154</v>
      </c>
      <c r="BM509" s="53" t="s">
        <v>1004</v>
      </c>
      <c r="BN509" s="53" t="s">
        <v>1005</v>
      </c>
      <c r="BO509" s="53" t="s">
        <v>57</v>
      </c>
      <c r="BP509" s="53">
        <v>4</v>
      </c>
      <c r="BQ509" s="83"/>
      <c r="BR509" s="53"/>
      <c r="BS509" s="53"/>
    </row>
    <row r="510" spans="3:72" ht="14.25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5"/>
        <v>2</v>
      </c>
      <c r="M510" s="26">
        <f t="shared" si="34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67" t="e">
        <f>SUMIFS([1]Up!$J:$J,[1]Up!$D:$D,D510)</f>
        <v>#VALUE!</v>
      </c>
      <c r="BI510" s="82"/>
      <c r="BJ510" s="82" t="str">
        <f t="shared" si="46"/>
        <v>PL15</v>
      </c>
      <c r="BK510" s="53" t="str">
        <f t="shared" si="47"/>
        <v/>
      </c>
      <c r="BL510" s="53" t="s">
        <v>148</v>
      </c>
      <c r="BM510" s="53" t="s">
        <v>1093</v>
      </c>
      <c r="BN510" s="53" t="s">
        <v>1094</v>
      </c>
      <c r="BO510" s="84" t="s">
        <v>2155</v>
      </c>
      <c r="BP510" s="53">
        <v>8</v>
      </c>
      <c r="BQ510" s="83" t="s">
        <v>2224</v>
      </c>
      <c r="BR510" s="53"/>
      <c r="BS510" s="53"/>
      <c r="BT510" s="238"/>
    </row>
    <row r="511" spans="3:72" ht="14.25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5"/>
        <v>0</v>
      </c>
      <c r="M511" s="26">
        <f t="shared" si="34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67" t="e">
        <f>SUMIFS([1]Up!$J:$J,[1]Up!$D:$D,D511)</f>
        <v>#VALUE!</v>
      </c>
      <c r="BI511" s="82"/>
      <c r="BJ511" s="82" t="str">
        <f t="shared" si="46"/>
        <v>PL8</v>
      </c>
      <c r="BK511" s="53" t="str">
        <f t="shared" si="47"/>
        <v/>
      </c>
      <c r="BL511" s="53" t="s">
        <v>148</v>
      </c>
      <c r="BM511" s="53" t="s">
        <v>1011</v>
      </c>
      <c r="BN511" s="53" t="s">
        <v>1012</v>
      </c>
      <c r="BO511" s="53" t="s">
        <v>57</v>
      </c>
      <c r="BP511" s="53">
        <v>8</v>
      </c>
      <c r="BQ511" s="83"/>
      <c r="BR511" s="53"/>
      <c r="BS511" s="53"/>
    </row>
    <row r="512" spans="3:72" ht="14.25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5"/>
        <v>0</v>
      </c>
      <c r="M512" s="26">
        <f t="shared" si="34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67" t="e">
        <f>SUMIFS([1]Up!$J:$J,[1]Up!$D:$D,D512)</f>
        <v>#VALUE!</v>
      </c>
      <c r="BI512" s="82"/>
      <c r="BJ512" s="82" t="str">
        <f t="shared" si="46"/>
        <v>PL8</v>
      </c>
      <c r="BK512" s="53" t="str">
        <f t="shared" si="47"/>
        <v/>
      </c>
      <c r="BL512" s="53" t="s">
        <v>148</v>
      </c>
      <c r="BM512" s="53" t="s">
        <v>1011</v>
      </c>
      <c r="BN512" s="53" t="s">
        <v>1012</v>
      </c>
      <c r="BO512" s="53" t="s">
        <v>57</v>
      </c>
      <c r="BP512" s="53">
        <v>4</v>
      </c>
      <c r="BQ512" s="83"/>
      <c r="BR512" s="53"/>
      <c r="BS512" s="53"/>
    </row>
    <row r="513" spans="3:72" ht="14.25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5"/>
        <v>2</v>
      </c>
      <c r="M513" s="26">
        <f t="shared" si="34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26"/>
      <c r="BD513" s="26"/>
      <c r="BE513" s="26"/>
      <c r="BF513" s="26"/>
      <c r="BG513" s="26"/>
      <c r="BH513" s="67" t="e">
        <f>SUMIFS([1]Up!$J:$J,[1]Up!$D:$D,D513)</f>
        <v>#VALUE!</v>
      </c>
      <c r="BI513" s="82" t="s">
        <v>2244</v>
      </c>
      <c r="BJ513" s="82" t="str">
        <f t="shared" si="46"/>
        <v>PL10</v>
      </c>
      <c r="BK513" s="53" t="str">
        <f t="shared" si="47"/>
        <v>Thừa 1</v>
      </c>
      <c r="BL513" s="53" t="s">
        <v>148</v>
      </c>
      <c r="BM513" s="53" t="s">
        <v>1004</v>
      </c>
      <c r="BN513" s="53" t="s">
        <v>1005</v>
      </c>
      <c r="BO513" s="53" t="s">
        <v>57</v>
      </c>
      <c r="BP513" s="53">
        <v>4</v>
      </c>
      <c r="BQ513" s="83"/>
      <c r="BR513" s="53"/>
      <c r="BS513" s="53"/>
    </row>
    <row r="514" spans="3:72" ht="14.25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5"/>
        <v>4</v>
      </c>
      <c r="M514" s="26">
        <f t="shared" si="34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>
        <v>2</v>
      </c>
      <c r="BC514" s="26"/>
      <c r="BD514" s="26"/>
      <c r="BE514" s="26"/>
      <c r="BF514" s="26"/>
      <c r="BG514" s="26"/>
      <c r="BH514" s="67" t="e">
        <f>SUMIFS([1]Up!$J:$J,[1]Up!$D:$D,D514)</f>
        <v>#VALUE!</v>
      </c>
      <c r="BI514" s="82" t="s">
        <v>2392</v>
      </c>
      <c r="BJ514" s="82" t="str">
        <f t="shared" si="46"/>
        <v>PL10</v>
      </c>
      <c r="BK514" s="53" t="str">
        <f t="shared" si="47"/>
        <v>Thừa 4</v>
      </c>
      <c r="BL514" s="53" t="s">
        <v>148</v>
      </c>
      <c r="BM514" s="53" t="s">
        <v>1004</v>
      </c>
      <c r="BN514" s="53" t="s">
        <v>1005</v>
      </c>
      <c r="BO514" s="53" t="s">
        <v>57</v>
      </c>
      <c r="BP514" s="53">
        <v>8</v>
      </c>
      <c r="BQ514" s="83"/>
      <c r="BR514" s="53"/>
      <c r="BS514" s="53"/>
    </row>
    <row r="515" spans="3:72" ht="14.25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5"/>
        <v>4</v>
      </c>
      <c r="M515" s="26">
        <f t="shared" si="34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67" t="e">
        <f>SUMIFS([1]Up!$J:$J,[1]Up!$D:$D,D515)</f>
        <v>#VALUE!</v>
      </c>
      <c r="BI515" s="82"/>
      <c r="BJ515" s="82" t="str">
        <f t="shared" si="46"/>
        <v>PL16</v>
      </c>
      <c r="BK515" s="53" t="str">
        <f t="shared" si="47"/>
        <v/>
      </c>
      <c r="BL515" s="53" t="s">
        <v>148</v>
      </c>
      <c r="BM515" s="53" t="s">
        <v>987</v>
      </c>
      <c r="BN515" s="53" t="s">
        <v>988</v>
      </c>
      <c r="BO515" s="84" t="s">
        <v>2160</v>
      </c>
      <c r="BP515" s="53">
        <v>16</v>
      </c>
      <c r="BQ515" s="83" t="s">
        <v>2225</v>
      </c>
      <c r="BR515" s="53"/>
      <c r="BS515" s="53"/>
      <c r="BT515" s="238"/>
    </row>
    <row r="516" spans="3:72" ht="14.25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5"/>
        <v>5</v>
      </c>
      <c r="M516" s="26">
        <f t="shared" si="34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67" t="e">
        <f>SUMIFS([1]Up!$J:$J,[1]Up!$D:$D,D516)</f>
        <v>#VALUE!</v>
      </c>
      <c r="BI516" s="82"/>
      <c r="BJ516" s="82" t="str">
        <f t="shared" si="46"/>
        <v/>
      </c>
      <c r="BK516" s="53" t="str">
        <f t="shared" si="47"/>
        <v/>
      </c>
      <c r="BL516" s="53" t="s">
        <v>148</v>
      </c>
      <c r="BM516" s="53" t="s">
        <v>1078</v>
      </c>
      <c r="BN516" s="53" t="s">
        <v>1075</v>
      </c>
      <c r="BO516" s="53" t="s">
        <v>1289</v>
      </c>
      <c r="BP516" s="53">
        <v>5</v>
      </c>
      <c r="BQ516" s="83">
        <v>46362</v>
      </c>
      <c r="BR516" s="53"/>
      <c r="BS516" s="53"/>
    </row>
    <row r="517" spans="3:72" ht="14.25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5"/>
        <v>1</v>
      </c>
      <c r="M517" s="26">
        <f t="shared" si="34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67" t="e">
        <f>SUMIFS([1]Up!$J:$J,[1]Up!$D:$D,D517)</f>
        <v>#VALUE!</v>
      </c>
      <c r="BI517" s="82" t="s">
        <v>2074</v>
      </c>
      <c r="BJ517" s="82" t="str">
        <f t="shared" si="46"/>
        <v>PL8</v>
      </c>
      <c r="BK517" s="53" t="str">
        <f t="shared" si="47"/>
        <v>Thừa 6</v>
      </c>
      <c r="BL517" s="53" t="s">
        <v>154</v>
      </c>
      <c r="BM517" s="53" t="s">
        <v>1011</v>
      </c>
      <c r="BN517" s="53" t="s">
        <v>1012</v>
      </c>
      <c r="BO517" s="53" t="s">
        <v>57</v>
      </c>
      <c r="BP517" s="53">
        <v>1</v>
      </c>
      <c r="BQ517" s="83"/>
      <c r="BR517" s="53"/>
      <c r="BS517" s="53"/>
    </row>
    <row r="518" spans="3:72" ht="14.25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5"/>
        <v>2</v>
      </c>
      <c r="M518" s="26">
        <f t="shared" si="34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67" t="e">
        <f>SUMIFS([1]Up!$J:$J,[1]Up!$D:$D,D518)</f>
        <v>#VALUE!</v>
      </c>
      <c r="BI518" s="82"/>
      <c r="BJ518" s="82" t="str">
        <f t="shared" si="46"/>
        <v>PL15</v>
      </c>
      <c r="BK518" s="53" t="str">
        <f t="shared" si="47"/>
        <v/>
      </c>
      <c r="BL518" s="53" t="s">
        <v>148</v>
      </c>
      <c r="BM518" s="53" t="s">
        <v>1093</v>
      </c>
      <c r="BN518" s="53" t="s">
        <v>1094</v>
      </c>
      <c r="BO518" s="53" t="s">
        <v>1303</v>
      </c>
      <c r="BP518" s="53">
        <v>2</v>
      </c>
      <c r="BQ518" s="83">
        <v>46088</v>
      </c>
      <c r="BR518" s="53"/>
      <c r="BS518" s="53"/>
    </row>
    <row r="519" spans="3:72" ht="14.25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5"/>
        <v>10</v>
      </c>
      <c r="M519" s="26">
        <f t="shared" si="34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67" t="e">
        <f>SUMIFS([1]Up!$J:$J,[1]Up!$D:$D,D519)</f>
        <v>#VALUE!</v>
      </c>
      <c r="BI519" s="82"/>
      <c r="BJ519" s="82" t="str">
        <f t="shared" si="46"/>
        <v>PL16</v>
      </c>
      <c r="BK519" s="53" t="str">
        <f t="shared" si="47"/>
        <v/>
      </c>
      <c r="BL519" s="53" t="s">
        <v>148</v>
      </c>
      <c r="BM519" s="53" t="s">
        <v>987</v>
      </c>
      <c r="BN519" s="53" t="s">
        <v>988</v>
      </c>
      <c r="BO519" s="53" t="s">
        <v>989</v>
      </c>
      <c r="BP519" s="53">
        <v>10</v>
      </c>
      <c r="BQ519" s="83" t="s">
        <v>2222</v>
      </c>
      <c r="BR519" s="53"/>
      <c r="BS519" s="53"/>
    </row>
    <row r="520" spans="3:72" ht="14.25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5"/>
        <v>1</v>
      </c>
      <c r="M520" s="26">
        <f t="shared" si="34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67" t="e">
        <f>SUMIFS([1]Up!$J:$J,[1]Up!$D:$D,D520)</f>
        <v>#VALUE!</v>
      </c>
      <c r="BI520" s="82"/>
      <c r="BJ520" s="82" t="str">
        <f t="shared" si="46"/>
        <v>PL15</v>
      </c>
      <c r="BK520" s="53" t="str">
        <f t="shared" si="47"/>
        <v/>
      </c>
      <c r="BL520" s="53" t="s">
        <v>148</v>
      </c>
      <c r="BM520" s="53" t="s">
        <v>1093</v>
      </c>
      <c r="BN520" s="53" t="s">
        <v>1094</v>
      </c>
      <c r="BO520" s="53" t="s">
        <v>1303</v>
      </c>
      <c r="BP520" s="53">
        <v>1</v>
      </c>
      <c r="BQ520" s="83">
        <v>46088</v>
      </c>
      <c r="BR520" s="53"/>
      <c r="BS520" s="53"/>
    </row>
    <row r="521" spans="3:72" ht="14.25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5"/>
        <v>1</v>
      </c>
      <c r="M521" s="26">
        <f t="shared" si="34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67" t="e">
        <f>SUMIFS([1]Up!$J:$J,[1]Up!$D:$D,D521)</f>
        <v>#VALUE!</v>
      </c>
      <c r="BI521" s="82"/>
      <c r="BJ521" s="82" t="str">
        <f t="shared" si="46"/>
        <v>PL15</v>
      </c>
      <c r="BK521" s="53" t="str">
        <f t="shared" si="47"/>
        <v/>
      </c>
      <c r="BL521" s="53" t="s">
        <v>148</v>
      </c>
      <c r="BM521" s="53" t="s">
        <v>1093</v>
      </c>
      <c r="BN521" s="53" t="s">
        <v>1094</v>
      </c>
      <c r="BO521" s="53" t="s">
        <v>1303</v>
      </c>
      <c r="BP521" s="53">
        <v>1</v>
      </c>
      <c r="BQ521" s="83">
        <v>46088</v>
      </c>
      <c r="BR521" s="53"/>
      <c r="BS521" s="53"/>
    </row>
    <row r="522" spans="3:72" ht="14.25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5"/>
        <v>2</v>
      </c>
      <c r="M522" s="26">
        <f t="shared" si="34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67" t="e">
        <f>SUMIFS([1]Up!$J:$J,[1]Up!$D:$D,D522)</f>
        <v>#VALUE!</v>
      </c>
      <c r="BI522" s="82" t="s">
        <v>2081</v>
      </c>
      <c r="BJ522" s="82" t="str">
        <f t="shared" si="46"/>
        <v>PL8</v>
      </c>
      <c r="BK522" s="53" t="str">
        <f t="shared" si="47"/>
        <v>Thừa 2</v>
      </c>
      <c r="BL522" s="53" t="s">
        <v>148</v>
      </c>
      <c r="BM522" s="53" t="s">
        <v>1011</v>
      </c>
      <c r="BN522" s="53" t="s">
        <v>1012</v>
      </c>
      <c r="BO522" s="53" t="s">
        <v>57</v>
      </c>
      <c r="BP522" s="53">
        <v>2</v>
      </c>
      <c r="BQ522" s="83"/>
      <c r="BR522" s="53"/>
      <c r="BS522" s="53"/>
    </row>
    <row r="523" spans="3:72" ht="14.25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5"/>
        <v>2</v>
      </c>
      <c r="M523" s="26">
        <f t="shared" si="34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67" t="e">
        <f>SUMIFS([1]Up!$J:$J,[1]Up!$D:$D,D523)</f>
        <v>#VALUE!</v>
      </c>
      <c r="BI523" s="82"/>
      <c r="BJ523" s="82" t="str">
        <f t="shared" si="46"/>
        <v>PL8</v>
      </c>
      <c r="BK523" s="53" t="str">
        <f t="shared" si="47"/>
        <v/>
      </c>
      <c r="BL523" s="53" t="s">
        <v>148</v>
      </c>
      <c r="BM523" s="53" t="s">
        <v>1011</v>
      </c>
      <c r="BN523" s="53" t="s">
        <v>1012</v>
      </c>
      <c r="BO523" s="53" t="s">
        <v>1013</v>
      </c>
      <c r="BP523" s="53">
        <v>2</v>
      </c>
      <c r="BQ523" s="83">
        <v>46088</v>
      </c>
      <c r="BR523" s="53"/>
      <c r="BS523" s="53"/>
    </row>
    <row r="524" spans="3:72" ht="14.25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5"/>
        <v>2</v>
      </c>
      <c r="M524" s="26">
        <f t="shared" si="34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67" t="e">
        <f>SUMIFS([1]Up!$J:$J,[1]Up!$D:$D,D524)</f>
        <v>#VALUE!</v>
      </c>
      <c r="BI524" s="82"/>
      <c r="BJ524" s="82" t="str">
        <f t="shared" si="46"/>
        <v>PL20</v>
      </c>
      <c r="BK524" s="53" t="str">
        <f t="shared" si="47"/>
        <v/>
      </c>
      <c r="BL524" s="53" t="s">
        <v>148</v>
      </c>
      <c r="BM524" s="53" t="s">
        <v>1099</v>
      </c>
      <c r="BN524" s="53" t="s">
        <v>1100</v>
      </c>
      <c r="BO524" s="53" t="s">
        <v>1307</v>
      </c>
      <c r="BP524" s="53">
        <v>2</v>
      </c>
      <c r="BQ524" s="83">
        <v>46242</v>
      </c>
      <c r="BR524" s="53"/>
      <c r="BS524" s="53"/>
    </row>
    <row r="525" spans="3:72" ht="14.25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5"/>
        <v>2</v>
      </c>
      <c r="M525" s="26">
        <f t="shared" si="34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67" t="e">
        <f>SUMIFS([1]Up!$J:$J,[1]Up!$D:$D,D525)</f>
        <v>#VALUE!</v>
      </c>
      <c r="BI525" s="82"/>
      <c r="BJ525" s="82" t="str">
        <f t="shared" si="46"/>
        <v>PL15</v>
      </c>
      <c r="BK525" s="53" t="str">
        <f t="shared" si="47"/>
        <v/>
      </c>
      <c r="BL525" s="53" t="s">
        <v>148</v>
      </c>
      <c r="BM525" s="53" t="s">
        <v>1093</v>
      </c>
      <c r="BN525" s="53" t="s">
        <v>1094</v>
      </c>
      <c r="BO525" s="53" t="s">
        <v>1303</v>
      </c>
      <c r="BP525" s="53">
        <v>2</v>
      </c>
      <c r="BQ525" s="83">
        <v>46088</v>
      </c>
      <c r="BR525" s="53"/>
      <c r="BS525" s="53"/>
    </row>
    <row r="526" spans="3:72" ht="14.25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5"/>
        <v>2</v>
      </c>
      <c r="M526" s="26">
        <f t="shared" si="34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67" t="e">
        <f>SUMIFS([1]Up!$J:$J,[1]Up!$D:$D,D526)</f>
        <v>#VALUE!</v>
      </c>
      <c r="BI526" s="82"/>
      <c r="BJ526" s="82" t="str">
        <f t="shared" si="46"/>
        <v>PL15</v>
      </c>
      <c r="BK526" s="53" t="str">
        <f t="shared" si="47"/>
        <v/>
      </c>
      <c r="BL526" s="53" t="s">
        <v>148</v>
      </c>
      <c r="BM526" s="53" t="s">
        <v>1093</v>
      </c>
      <c r="BN526" s="53" t="s">
        <v>1094</v>
      </c>
      <c r="BO526" s="53" t="s">
        <v>1303</v>
      </c>
      <c r="BP526" s="53">
        <v>2</v>
      </c>
      <c r="BQ526" s="83">
        <v>46088</v>
      </c>
      <c r="BR526" s="53"/>
      <c r="BS526" s="53"/>
    </row>
    <row r="527" spans="3:72" ht="14.25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5"/>
        <v>1</v>
      </c>
      <c r="M527" s="26">
        <f t="shared" si="34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67" t="e">
        <f>SUMIFS([1]Up!$J:$J,[1]Up!$D:$D,D527)</f>
        <v>#VALUE!</v>
      </c>
      <c r="BI527" s="82"/>
      <c r="BJ527" s="82" t="str">
        <f t="shared" si="46"/>
        <v>PL20</v>
      </c>
      <c r="BK527" s="53" t="str">
        <f t="shared" si="47"/>
        <v/>
      </c>
      <c r="BL527" s="53" t="s">
        <v>148</v>
      </c>
      <c r="BM527" s="53" t="s">
        <v>1099</v>
      </c>
      <c r="BN527" s="53" t="s">
        <v>1100</v>
      </c>
      <c r="BO527" s="53" t="s">
        <v>1307</v>
      </c>
      <c r="BP527" s="53">
        <v>1</v>
      </c>
      <c r="BQ527" s="83">
        <v>46242</v>
      </c>
      <c r="BR527" s="53"/>
      <c r="BS527" s="53"/>
    </row>
    <row r="528" spans="3:72" ht="14.25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5"/>
        <v>3</v>
      </c>
      <c r="M528" s="26">
        <f t="shared" si="34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67" t="e">
        <f>SUMIFS([1]Up!$J:$J,[1]Up!$D:$D,D528)</f>
        <v>#VALUE!</v>
      </c>
      <c r="BI528" s="82"/>
      <c r="BJ528" s="82" t="str">
        <f t="shared" si="46"/>
        <v>PL16</v>
      </c>
      <c r="BK528" s="53" t="str">
        <f t="shared" si="47"/>
        <v/>
      </c>
      <c r="BL528" s="53" t="s">
        <v>148</v>
      </c>
      <c r="BM528" s="53" t="s">
        <v>987</v>
      </c>
      <c r="BN528" s="53" t="s">
        <v>988</v>
      </c>
      <c r="BO528" s="53" t="s">
        <v>989</v>
      </c>
      <c r="BP528" s="53">
        <v>3</v>
      </c>
      <c r="BQ528" s="83" t="s">
        <v>2222</v>
      </c>
      <c r="BR528" s="53"/>
      <c r="BS528" s="53"/>
    </row>
    <row r="529" spans="3:72" ht="14.25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5"/>
        <v>1</v>
      </c>
      <c r="M529" s="26">
        <f t="shared" si="34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67" t="e">
        <f>SUMIFS([1]Up!$J:$J,[1]Up!$D:$D,D529)</f>
        <v>#VALUE!</v>
      </c>
      <c r="BI529" s="82"/>
      <c r="BJ529" s="82" t="str">
        <f t="shared" si="46"/>
        <v>PL20</v>
      </c>
      <c r="BK529" s="53" t="str">
        <f t="shared" si="47"/>
        <v/>
      </c>
      <c r="BL529" s="53" t="s">
        <v>148</v>
      </c>
      <c r="BM529" s="53" t="s">
        <v>1099</v>
      </c>
      <c r="BN529" s="53" t="s">
        <v>1100</v>
      </c>
      <c r="BO529" s="53" t="s">
        <v>1307</v>
      </c>
      <c r="BP529" s="53">
        <v>1</v>
      </c>
      <c r="BQ529" s="83">
        <v>46242</v>
      </c>
      <c r="BR529" s="53"/>
      <c r="BS529" s="53"/>
    </row>
    <row r="530" spans="3:72" ht="14.25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5"/>
        <v>2</v>
      </c>
      <c r="M530" s="26">
        <f t="shared" si="34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67" t="e">
        <f>SUMIFS([1]Up!$J:$J,[1]Up!$D:$D,D530)</f>
        <v>#VALUE!</v>
      </c>
      <c r="BI530" s="82"/>
      <c r="BJ530" s="82" t="str">
        <f t="shared" si="46"/>
        <v>PL5</v>
      </c>
      <c r="BK530" s="53" t="str">
        <f t="shared" si="47"/>
        <v/>
      </c>
      <c r="BL530" s="53" t="s">
        <v>148</v>
      </c>
      <c r="BM530" s="53" t="s">
        <v>1107</v>
      </c>
      <c r="BN530" s="53" t="s">
        <v>956</v>
      </c>
      <c r="BO530" s="53" t="s">
        <v>1312</v>
      </c>
      <c r="BP530" s="53">
        <v>2</v>
      </c>
      <c r="BQ530" s="83" t="s">
        <v>2222</v>
      </c>
      <c r="BR530" s="53"/>
      <c r="BS530" s="53"/>
    </row>
    <row r="531" spans="3:72" ht="14.25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5"/>
        <v>1</v>
      </c>
      <c r="M531" s="26">
        <f t="shared" si="34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67" t="e">
        <f>SUMIFS([1]Up!$J:$J,[1]Up!$D:$D,D531)</f>
        <v>#VALUE!</v>
      </c>
      <c r="BI531" s="82"/>
      <c r="BJ531" s="82" t="str">
        <f t="shared" si="46"/>
        <v>PL16</v>
      </c>
      <c r="BK531" s="53" t="str">
        <f t="shared" si="47"/>
        <v/>
      </c>
      <c r="BL531" s="53" t="s">
        <v>148</v>
      </c>
      <c r="BM531" s="53" t="s">
        <v>987</v>
      </c>
      <c r="BN531" s="53" t="s">
        <v>988</v>
      </c>
      <c r="BO531" s="53" t="s">
        <v>989</v>
      </c>
      <c r="BP531" s="53">
        <v>1</v>
      </c>
      <c r="BQ531" s="83" t="s">
        <v>2222</v>
      </c>
      <c r="BR531" s="53"/>
      <c r="BS531" s="53"/>
    </row>
    <row r="532" spans="3:72" ht="14.25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5"/>
        <v>1</v>
      </c>
      <c r="M532" s="26">
        <f t="shared" si="34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67" t="e">
        <f>SUMIFS([1]Up!$J:$J,[1]Up!$D:$D,D532)</f>
        <v>#VALUE!</v>
      </c>
      <c r="BI532" s="82"/>
      <c r="BJ532" s="82" t="str">
        <f t="shared" si="46"/>
        <v>PL16</v>
      </c>
      <c r="BK532" s="53" t="str">
        <f t="shared" si="47"/>
        <v/>
      </c>
      <c r="BL532" s="53" t="s">
        <v>148</v>
      </c>
      <c r="BM532" s="53" t="s">
        <v>987</v>
      </c>
      <c r="BN532" s="53" t="s">
        <v>988</v>
      </c>
      <c r="BO532" s="53" t="s">
        <v>989</v>
      </c>
      <c r="BP532" s="53">
        <v>1</v>
      </c>
      <c r="BQ532" s="83" t="s">
        <v>2222</v>
      </c>
      <c r="BR532" s="53"/>
      <c r="BS532" s="53"/>
    </row>
    <row r="533" spans="3:72" ht="14.25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5"/>
        <v>1</v>
      </c>
      <c r="M533" s="26">
        <f t="shared" si="34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67" t="e">
        <f>SUMIFS([1]Up!$J:$J,[1]Up!$D:$D,D533)</f>
        <v>#VALUE!</v>
      </c>
      <c r="BI533" s="82"/>
      <c r="BJ533" s="82" t="str">
        <f t="shared" si="46"/>
        <v>PL16</v>
      </c>
      <c r="BK533" s="53" t="str">
        <f t="shared" si="47"/>
        <v/>
      </c>
      <c r="BL533" s="53" t="s">
        <v>148</v>
      </c>
      <c r="BM533" s="53" t="s">
        <v>987</v>
      </c>
      <c r="BN533" s="53" t="s">
        <v>988</v>
      </c>
      <c r="BO533" s="53" t="s">
        <v>989</v>
      </c>
      <c r="BP533" s="53">
        <v>1</v>
      </c>
      <c r="BQ533" s="83" t="s">
        <v>2222</v>
      </c>
      <c r="BR533" s="53"/>
      <c r="BS533" s="53"/>
    </row>
    <row r="534" spans="3:72" ht="14.25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5"/>
        <v>3</v>
      </c>
      <c r="M534" s="26">
        <f t="shared" si="34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67" t="e">
        <f>SUMIFS([1]Up!$J:$J,[1]Up!$D:$D,D534)</f>
        <v>#VALUE!</v>
      </c>
      <c r="BI534" s="82" t="s">
        <v>2080</v>
      </c>
      <c r="BJ534" s="82" t="str">
        <f t="shared" si="46"/>
        <v>PL8</v>
      </c>
      <c r="BK534" s="53" t="str">
        <f t="shared" si="47"/>
        <v>Thừa 3</v>
      </c>
      <c r="BL534" s="53" t="s">
        <v>148</v>
      </c>
      <c r="BM534" s="53" t="s">
        <v>1011</v>
      </c>
      <c r="BN534" s="53" t="s">
        <v>1012</v>
      </c>
      <c r="BO534" s="53" t="s">
        <v>57</v>
      </c>
      <c r="BP534" s="53">
        <v>3</v>
      </c>
      <c r="BQ534" s="83"/>
      <c r="BR534" s="53"/>
      <c r="BS534" s="53"/>
    </row>
    <row r="535" spans="3:72" ht="14.25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5"/>
        <v>5</v>
      </c>
      <c r="M535" s="26">
        <f t="shared" si="34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67" t="e">
        <f>SUMIFS([1]Up!$J:$J,[1]Up!$D:$D,D535)</f>
        <v>#VALUE!</v>
      </c>
      <c r="BI535" s="82"/>
      <c r="BJ535" s="82" t="str">
        <f t="shared" si="46"/>
        <v/>
      </c>
      <c r="BK535" s="53" t="str">
        <f t="shared" si="47"/>
        <v/>
      </c>
      <c r="BL535" s="53" t="s">
        <v>148</v>
      </c>
      <c r="BM535" s="53" t="s">
        <v>1078</v>
      </c>
      <c r="BN535" s="53" t="s">
        <v>1075</v>
      </c>
      <c r="BO535" s="84" t="s">
        <v>2161</v>
      </c>
      <c r="BP535" s="53">
        <v>20</v>
      </c>
      <c r="BQ535" s="83" t="s">
        <v>2224</v>
      </c>
      <c r="BR535" s="53"/>
      <c r="BS535" s="53"/>
      <c r="BT535" s="238"/>
    </row>
    <row r="536" spans="3:72" ht="14.25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5"/>
        <v>0</v>
      </c>
      <c r="M536" s="26">
        <f t="shared" si="34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67" t="e">
        <f>SUMIFS([1]Up!$J:$J,[1]Up!$D:$D,D536)</f>
        <v>#VALUE!</v>
      </c>
      <c r="BI536" s="82"/>
      <c r="BJ536" s="82" t="str">
        <f t="shared" si="46"/>
        <v>PL8</v>
      </c>
      <c r="BK536" s="53" t="str">
        <f t="shared" si="47"/>
        <v/>
      </c>
      <c r="BL536" s="53" t="s">
        <v>154</v>
      </c>
      <c r="BM536" s="53" t="s">
        <v>1011</v>
      </c>
      <c r="BN536" s="53" t="s">
        <v>1012</v>
      </c>
      <c r="BO536" s="53" t="s">
        <v>57</v>
      </c>
      <c r="BP536" s="53">
        <v>4</v>
      </c>
      <c r="BQ536" s="83"/>
      <c r="BR536" s="53"/>
      <c r="BS536" s="53"/>
    </row>
    <row r="537" spans="3:72" ht="14.25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5"/>
        <v>2</v>
      </c>
      <c r="M537" s="26">
        <f t="shared" si="34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67" t="e">
        <f>SUMIFS([1]Up!$J:$J,[1]Up!$D:$D,D537)</f>
        <v>#VALUE!</v>
      </c>
      <c r="BI537" s="82"/>
      <c r="BJ537" s="82" t="str">
        <f t="shared" si="46"/>
        <v>PL15</v>
      </c>
      <c r="BK537" s="53" t="str">
        <f t="shared" si="47"/>
        <v/>
      </c>
      <c r="BL537" s="53" t="s">
        <v>148</v>
      </c>
      <c r="BM537" s="53" t="s">
        <v>1093</v>
      </c>
      <c r="BN537" s="53" t="s">
        <v>1094</v>
      </c>
      <c r="BO537" s="84" t="s">
        <v>2155</v>
      </c>
      <c r="BP537" s="53">
        <v>8</v>
      </c>
      <c r="BQ537" s="83" t="s">
        <v>2224</v>
      </c>
      <c r="BR537" s="53"/>
      <c r="BS537" s="53"/>
      <c r="BT537" s="238"/>
    </row>
    <row r="538" spans="3:72" ht="14.25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5"/>
        <v>10</v>
      </c>
      <c r="M538" s="26">
        <f t="shared" si="34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67" t="e">
        <f>SUMIFS([1]Up!$J:$J,[1]Up!$D:$D,D538)</f>
        <v>#VALUE!</v>
      </c>
      <c r="BI538" s="82"/>
      <c r="BJ538" s="82" t="str">
        <f t="shared" si="46"/>
        <v>PL16</v>
      </c>
      <c r="BK538" s="53" t="str">
        <f t="shared" si="47"/>
        <v/>
      </c>
      <c r="BL538" s="53" t="s">
        <v>148</v>
      </c>
      <c r="BM538" s="53" t="s">
        <v>987</v>
      </c>
      <c r="BN538" s="53" t="s">
        <v>988</v>
      </c>
      <c r="BO538" s="84" t="s">
        <v>2160</v>
      </c>
      <c r="BP538" s="53">
        <v>40</v>
      </c>
      <c r="BQ538" s="83" t="s">
        <v>2225</v>
      </c>
      <c r="BR538" s="53"/>
      <c r="BS538" s="53"/>
      <c r="BT538" s="238"/>
    </row>
    <row r="539" spans="3:72" ht="14.25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5"/>
        <v>2</v>
      </c>
      <c r="M539" s="26">
        <f t="shared" si="34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67" t="e">
        <f>SUMIFS([1]Up!$J:$J,[1]Up!$D:$D,D539)</f>
        <v>#VALUE!</v>
      </c>
      <c r="BI539" s="82"/>
      <c r="BJ539" s="82" t="str">
        <f t="shared" si="46"/>
        <v>PL15</v>
      </c>
      <c r="BK539" s="53" t="str">
        <f t="shared" si="47"/>
        <v/>
      </c>
      <c r="BL539" s="53" t="s">
        <v>148</v>
      </c>
      <c r="BM539" s="53" t="s">
        <v>1093</v>
      </c>
      <c r="BN539" s="53" t="s">
        <v>1094</v>
      </c>
      <c r="BO539" s="84" t="s">
        <v>2155</v>
      </c>
      <c r="BP539" s="53">
        <v>8</v>
      </c>
      <c r="BQ539" s="83" t="s">
        <v>2224</v>
      </c>
      <c r="BR539" s="53"/>
      <c r="BS539" s="53"/>
      <c r="BT539" s="238"/>
    </row>
    <row r="540" spans="3:72" ht="14.25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5"/>
        <v>2</v>
      </c>
      <c r="M540" s="26">
        <f t="shared" si="34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67" t="e">
        <f>SUMIFS([1]Up!$J:$J,[1]Up!$D:$D,D540)</f>
        <v>#VALUE!</v>
      </c>
      <c r="BI540" s="82"/>
      <c r="BJ540" s="82" t="str">
        <f t="shared" si="46"/>
        <v>PL20</v>
      </c>
      <c r="BK540" s="53" t="str">
        <f t="shared" si="47"/>
        <v/>
      </c>
      <c r="BL540" s="53" t="s">
        <v>148</v>
      </c>
      <c r="BM540" s="53" t="s">
        <v>1099</v>
      </c>
      <c r="BN540" s="53" t="s">
        <v>1100</v>
      </c>
      <c r="BO540" s="84" t="s">
        <v>2157</v>
      </c>
      <c r="BP540" s="53">
        <v>8</v>
      </c>
      <c r="BQ540" s="83">
        <v>46242</v>
      </c>
      <c r="BR540" s="53"/>
      <c r="BS540" s="53"/>
      <c r="BT540" s="238"/>
    </row>
    <row r="541" spans="3:72" ht="14.25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5"/>
        <v>2</v>
      </c>
      <c r="M541" s="26">
        <f t="shared" ref="M541:M549" si="48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67" t="e">
        <f>SUMIFS([1]Up!$J:$J,[1]Up!$D:$D,D541)</f>
        <v>#VALUE!</v>
      </c>
      <c r="BI541" s="82"/>
      <c r="BJ541" s="82" t="str">
        <f t="shared" si="46"/>
        <v>PL15</v>
      </c>
      <c r="BK541" s="53" t="str">
        <f t="shared" si="47"/>
        <v/>
      </c>
      <c r="BL541" s="53" t="s">
        <v>148</v>
      </c>
      <c r="BM541" s="53" t="s">
        <v>1093</v>
      </c>
      <c r="BN541" s="53" t="s">
        <v>1094</v>
      </c>
      <c r="BO541" s="84" t="s">
        <v>2155</v>
      </c>
      <c r="BP541" s="53">
        <v>8</v>
      </c>
      <c r="BQ541" s="83" t="s">
        <v>2224</v>
      </c>
      <c r="BR541" s="53"/>
      <c r="BS541" s="53"/>
      <c r="BT541" s="238"/>
    </row>
    <row r="542" spans="3:72" ht="14.25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9">MIN(SUM(N542:BG542),I542)</f>
        <v>1</v>
      </c>
      <c r="M542" s="26">
        <f t="shared" si="48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67" t="e">
        <f>SUMIFS([1]Up!$J:$J,[1]Up!$D:$D,D542)</f>
        <v>#VALUE!</v>
      </c>
      <c r="BI542" s="82"/>
      <c r="BJ542" s="82" t="str">
        <f t="shared" ref="BJ542:BJ549" si="50">IFERROR(IF(C542="Plate",LEFT(E542,FIND("*",E542,1)-1),""),IF(C542="Plate",LEFT(E542,FIND("x",E542,1)-1),""))</f>
        <v>PL20</v>
      </c>
      <c r="BK542" s="53" t="str">
        <f t="shared" ref="BK542:BK549" si="51">IF(ROUND(SUM(N542:BG542)-I542,0)&gt;0,"Thừa "&amp;SUM(N542:BG542)-I542,"")</f>
        <v/>
      </c>
      <c r="BL542" s="53" t="s">
        <v>148</v>
      </c>
      <c r="BM542" s="53" t="s">
        <v>1099</v>
      </c>
      <c r="BN542" s="53" t="s">
        <v>1100</v>
      </c>
      <c r="BO542" s="84" t="s">
        <v>2157</v>
      </c>
      <c r="BP542" s="53">
        <v>4</v>
      </c>
      <c r="BQ542" s="83">
        <v>46242</v>
      </c>
      <c r="BR542" s="53"/>
      <c r="BS542" s="53"/>
      <c r="BT542" s="238"/>
    </row>
    <row r="543" spans="3:72" ht="14.25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9"/>
        <v>3</v>
      </c>
      <c r="M543" s="26">
        <f t="shared" si="48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67" t="e">
        <f>SUMIFS([1]Up!$J:$J,[1]Up!$D:$D,D543)</f>
        <v>#VALUE!</v>
      </c>
      <c r="BI543" s="82"/>
      <c r="BJ543" s="82" t="str">
        <f t="shared" si="50"/>
        <v>PL16</v>
      </c>
      <c r="BK543" s="53" t="str">
        <f t="shared" si="51"/>
        <v/>
      </c>
      <c r="BL543" s="53" t="s">
        <v>148</v>
      </c>
      <c r="BM543" s="53" t="s">
        <v>987</v>
      </c>
      <c r="BN543" s="53" t="s">
        <v>988</v>
      </c>
      <c r="BO543" s="84" t="s">
        <v>2160</v>
      </c>
      <c r="BP543" s="53">
        <v>12</v>
      </c>
      <c r="BQ543" s="83" t="s">
        <v>2225</v>
      </c>
      <c r="BR543" s="53"/>
      <c r="BS543" s="53"/>
      <c r="BT543" s="238"/>
    </row>
    <row r="544" spans="3:72" ht="14.25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9"/>
        <v>1</v>
      </c>
      <c r="M544" s="26">
        <f t="shared" si="48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67" t="e">
        <f>SUMIFS([1]Up!$J:$J,[1]Up!$D:$D,D544)</f>
        <v>#VALUE!</v>
      </c>
      <c r="BI544" s="82"/>
      <c r="BJ544" s="82" t="str">
        <f t="shared" si="50"/>
        <v>PL20</v>
      </c>
      <c r="BK544" s="53" t="str">
        <f t="shared" si="51"/>
        <v/>
      </c>
      <c r="BL544" s="53" t="s">
        <v>148</v>
      </c>
      <c r="BM544" s="53" t="s">
        <v>1099</v>
      </c>
      <c r="BN544" s="53" t="s">
        <v>1100</v>
      </c>
      <c r="BO544" s="84" t="s">
        <v>2157</v>
      </c>
      <c r="BP544" s="53">
        <v>4</v>
      </c>
      <c r="BQ544" s="83">
        <v>46242</v>
      </c>
      <c r="BR544" s="53"/>
      <c r="BS544" s="53"/>
      <c r="BT544" s="238"/>
    </row>
    <row r="545" spans="3:72" ht="14.25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9"/>
        <v>0</v>
      </c>
      <c r="M545" s="26">
        <f t="shared" si="48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67" t="e">
        <f>SUMIFS([1]Up!$J:$J,[1]Up!$D:$D,D545)</f>
        <v>#VALUE!</v>
      </c>
      <c r="BI545" s="82"/>
      <c r="BJ545" s="82" t="str">
        <f t="shared" si="50"/>
        <v>PL5</v>
      </c>
      <c r="BK545" s="53" t="str">
        <f t="shared" si="51"/>
        <v/>
      </c>
      <c r="BL545" s="53" t="s">
        <v>148</v>
      </c>
      <c r="BM545" s="53" t="s">
        <v>1107</v>
      </c>
      <c r="BN545" s="53" t="s">
        <v>956</v>
      </c>
      <c r="BO545" s="84" t="s">
        <v>2158</v>
      </c>
      <c r="BP545" s="53">
        <v>8</v>
      </c>
      <c r="BQ545" s="83">
        <v>46302</v>
      </c>
      <c r="BR545" s="53"/>
      <c r="BS545" s="53"/>
      <c r="BT545" s="238"/>
    </row>
    <row r="546" spans="3:72" ht="14.25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9"/>
        <v>1</v>
      </c>
      <c r="M546" s="26">
        <f t="shared" si="48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67" t="e">
        <f>SUMIFS([1]Up!$J:$J,[1]Up!$D:$D,D546)</f>
        <v>#VALUE!</v>
      </c>
      <c r="BI546" s="82"/>
      <c r="BJ546" s="82" t="str">
        <f t="shared" si="50"/>
        <v>PL16</v>
      </c>
      <c r="BK546" s="53" t="str">
        <f t="shared" si="51"/>
        <v/>
      </c>
      <c r="BL546" s="53" t="s">
        <v>148</v>
      </c>
      <c r="BM546" s="53" t="s">
        <v>987</v>
      </c>
      <c r="BN546" s="53" t="s">
        <v>988</v>
      </c>
      <c r="BO546" s="84" t="s">
        <v>2160</v>
      </c>
      <c r="BP546" s="53">
        <v>4</v>
      </c>
      <c r="BQ546" s="83" t="s">
        <v>2225</v>
      </c>
      <c r="BR546" s="53"/>
      <c r="BS546" s="53"/>
      <c r="BT546" s="238"/>
    </row>
    <row r="547" spans="3:72" ht="14.25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9"/>
        <v>1</v>
      </c>
      <c r="M547" s="26">
        <f t="shared" si="48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67" t="e">
        <f>SUMIFS([1]Up!$J:$J,[1]Up!$D:$D,D547)</f>
        <v>#VALUE!</v>
      </c>
      <c r="BI547" s="82"/>
      <c r="BJ547" s="82" t="str">
        <f t="shared" si="50"/>
        <v>PL16</v>
      </c>
      <c r="BK547" s="53" t="str">
        <f t="shared" si="51"/>
        <v/>
      </c>
      <c r="BL547" s="53" t="s">
        <v>148</v>
      </c>
      <c r="BM547" s="53" t="s">
        <v>987</v>
      </c>
      <c r="BN547" s="53" t="s">
        <v>988</v>
      </c>
      <c r="BO547" s="84" t="s">
        <v>2160</v>
      </c>
      <c r="BP547" s="53">
        <v>4</v>
      </c>
      <c r="BQ547" s="83" t="s">
        <v>2225</v>
      </c>
      <c r="BR547" s="53"/>
      <c r="BS547" s="53"/>
      <c r="BT547" s="238"/>
    </row>
    <row r="548" spans="3:72" ht="14.25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9"/>
        <v>1</v>
      </c>
      <c r="M548" s="26">
        <f t="shared" si="48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67" t="e">
        <f>SUMIFS([1]Up!$J:$J,[1]Up!$D:$D,D548)</f>
        <v>#VALUE!</v>
      </c>
      <c r="BI548" s="82"/>
      <c r="BJ548" s="82" t="str">
        <f t="shared" si="50"/>
        <v>PL16</v>
      </c>
      <c r="BK548" s="53" t="str">
        <f t="shared" si="51"/>
        <v/>
      </c>
      <c r="BL548" s="53" t="s">
        <v>148</v>
      </c>
      <c r="BM548" s="53" t="s">
        <v>987</v>
      </c>
      <c r="BN548" s="53" t="s">
        <v>988</v>
      </c>
      <c r="BO548" s="84" t="s">
        <v>2160</v>
      </c>
      <c r="BP548" s="53">
        <v>4</v>
      </c>
      <c r="BQ548" s="83" t="s">
        <v>2225</v>
      </c>
      <c r="BR548" s="53"/>
      <c r="BS548" s="53"/>
      <c r="BT548" s="238"/>
    </row>
    <row r="549" spans="3:72" ht="14.25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9"/>
        <v>0</v>
      </c>
      <c r="M549" s="26">
        <f t="shared" si="48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67" t="e">
        <f>SUMIFS([1]Up!$J:$J,[1]Up!$D:$D,D549)</f>
        <v>#VALUE!</v>
      </c>
      <c r="BI549" s="82"/>
      <c r="BJ549" s="82" t="str">
        <f t="shared" si="50"/>
        <v>PL8</v>
      </c>
      <c r="BK549" s="53" t="str">
        <f t="shared" si="51"/>
        <v/>
      </c>
      <c r="BL549" s="53" t="s">
        <v>148</v>
      </c>
      <c r="BM549" s="53" t="s">
        <v>1011</v>
      </c>
      <c r="BN549" s="53" t="s">
        <v>1012</v>
      </c>
      <c r="BO549" s="53" t="s">
        <v>57</v>
      </c>
      <c r="BP549" s="53">
        <v>20</v>
      </c>
      <c r="BQ549" s="83"/>
      <c r="BR549" s="53"/>
      <c r="BS549" s="53"/>
    </row>
    <row r="550" spans="3:72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82"/>
      <c r="BG550" s="82"/>
      <c r="BH550" s="67"/>
      <c r="BI550" s="82"/>
      <c r="BJ550" s="82"/>
      <c r="BK550" s="53"/>
      <c r="BL550" s="53"/>
      <c r="BM550" s="53"/>
      <c r="BN550" s="53"/>
      <c r="BO550" s="53"/>
      <c r="BP550" s="85"/>
      <c r="BQ550" s="53"/>
      <c r="BR550" s="53"/>
      <c r="BS550" s="53"/>
    </row>
    <row r="551" spans="3:72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82"/>
      <c r="BG551" s="82"/>
      <c r="BH551" s="67"/>
      <c r="BI551" s="82"/>
      <c r="BJ551" s="82"/>
      <c r="BK551" s="53"/>
      <c r="BL551" s="53"/>
      <c r="BM551" s="53"/>
      <c r="BN551" s="53"/>
      <c r="BO551" s="53"/>
      <c r="BP551" s="85"/>
      <c r="BQ551" s="53"/>
      <c r="BR551" s="53"/>
      <c r="BS551" s="53"/>
    </row>
    <row r="552" spans="3:72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82"/>
      <c r="BG552" s="82"/>
      <c r="BH552" s="67"/>
      <c r="BI552" s="82"/>
      <c r="BJ552" s="82"/>
      <c r="BK552" s="53"/>
      <c r="BL552" s="53"/>
      <c r="BM552" s="53"/>
      <c r="BN552" s="53"/>
      <c r="BO552" s="53"/>
      <c r="BP552" s="85"/>
      <c r="BQ552" s="53"/>
      <c r="BR552" s="53"/>
      <c r="BS552" s="53"/>
    </row>
    <row r="553" spans="3:72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82"/>
      <c r="BG553" s="82"/>
      <c r="BH553" s="67"/>
      <c r="BI553" s="82"/>
      <c r="BJ553" s="82"/>
      <c r="BK553" s="53"/>
      <c r="BL553" s="53"/>
      <c r="BM553" s="53"/>
      <c r="BN553" s="53"/>
      <c r="BO553" s="53"/>
      <c r="BP553" s="85"/>
      <c r="BQ553" s="53"/>
      <c r="BR553" s="53"/>
      <c r="BS553" s="53"/>
    </row>
    <row r="554" spans="3:72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82"/>
      <c r="BG554" s="82"/>
      <c r="BH554" s="67"/>
      <c r="BI554" s="82"/>
      <c r="BJ554" s="82"/>
      <c r="BK554" s="53"/>
      <c r="BL554" s="53"/>
      <c r="BM554" s="53"/>
      <c r="BN554" s="53"/>
      <c r="BO554" s="53"/>
      <c r="BP554" s="85"/>
      <c r="BQ554" s="53"/>
      <c r="BR554" s="53"/>
      <c r="BS554" s="53"/>
    </row>
    <row r="555" spans="3:72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82"/>
      <c r="BG555" s="82"/>
      <c r="BH555" s="67"/>
      <c r="BI555" s="82"/>
      <c r="BJ555" s="82"/>
      <c r="BK555" s="53"/>
      <c r="BL555" s="53"/>
      <c r="BM555" s="53"/>
      <c r="BN555" s="53"/>
      <c r="BO555" s="53"/>
      <c r="BP555" s="85"/>
      <c r="BQ555" s="53"/>
      <c r="BR555" s="53"/>
      <c r="BS555" s="53"/>
    </row>
    <row r="556" spans="3:72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82"/>
      <c r="BG556" s="82"/>
      <c r="BH556" s="67"/>
      <c r="BI556" s="82"/>
      <c r="BJ556" s="82"/>
      <c r="BK556" s="53"/>
      <c r="BL556" s="53"/>
      <c r="BM556" s="53"/>
      <c r="BN556" s="53"/>
      <c r="BO556" s="53"/>
      <c r="BP556" s="85"/>
      <c r="BQ556" s="53"/>
      <c r="BR556" s="53"/>
      <c r="BS556" s="53"/>
    </row>
    <row r="558" spans="3:72">
      <c r="BH558" s="3" t="s">
        <v>1038</v>
      </c>
    </row>
    <row r="559" spans="3:72">
      <c r="BI559" s="3" t="s">
        <v>1038</v>
      </c>
    </row>
  </sheetData>
  <autoFilter ref="C29:BS556" xr:uid="{B5DE6D30-F474-449D-82A7-1262A8A8C8BB}"/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tabSelected="1" zoomScale="70" zoomScaleNormal="70" workbookViewId="0">
      <pane xSplit="14" ySplit="9" topLeftCell="AE10" activePane="bottomRight" state="frozen"/>
      <selection pane="topRight" activeCell="P1" sqref="P1"/>
      <selection pane="bottomLeft" activeCell="A10" sqref="A10"/>
      <selection pane="bottomRight" activeCell="AO755" sqref="AO75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7.37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0.6495726495726496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hidden="1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hidden="1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hidden="1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hidden="1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hidden="1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hidden="1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hidden="1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hidden="1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hidden="1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hidden="1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hidden="1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hidden="1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hidden="1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hidden="1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hidden="1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0.82539682539682535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hidden="1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hidden="1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hidden="1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hidden="1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hidden="1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hidden="1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hidden="1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hidden="1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hidden="1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hidden="1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hidden="1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hidden="1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hidden="1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hidden="1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hidden="1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hidden="1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hidden="1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hidden="1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hidden="1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hidden="1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hidden="1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hidden="1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hidden="1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hidden="1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hidden="1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hidden="1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hidden="1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hidden="1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hidden="1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hidden="1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0.61403508771929827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hidden="1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hidden="1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hidden="1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hidden="1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hidden="1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hidden="1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hidden="1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hidden="1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hidden="1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hidden="1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hidden="1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hidden="1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0.70370370370370372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hidden="1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hidden="1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hidden="1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hidden="1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hidden="1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hidden="1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0.69230769230769229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hidden="1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hidden="1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hidden="1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hidden="1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hidden="1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hidden="1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hidden="1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hidden="1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hidden="1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hidden="1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hidden="1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hidden="1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hidden="1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hidden="1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hidden="1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hidden="1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hidden="1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hidden="1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hidden="1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hidden="1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hidden="1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0.64516129032258063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hidden="1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hidden="1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hidden="1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hidden="1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hidden="1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hidden="1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hidden="1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hidden="1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hidden="1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hidden="1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hidden="1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hidden="1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hidden="1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hidden="1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hidden="1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hidden="1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hidden="1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0.73333333333333328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hidden="1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hidden="1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hidden="1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hidden="1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hidden="1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hidden="1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hidden="1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hidden="1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0.69230769230769229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hidden="1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hidden="1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hidden="1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hidden="1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hidden="1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hidden="1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hidden="1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hidden="1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hidden="1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hidden="1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hidden="1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hidden="1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hidden="1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hidden="1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hidden="1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hidden="1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hidden="1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hidden="1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hidden="1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hidden="1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hidden="1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hidden="1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hidden="1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0.67543859649122806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hidden="1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hidden="1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hidden="1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hidden="1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hidden="1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hidden="1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hidden="1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hidden="1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hidden="1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hidden="1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hidden="1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hidden="1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hidden="1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hidden="1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hidden="1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hidden="1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hidden="1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hidden="1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hidden="1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hidden="1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hidden="1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hidden="1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hidden="1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hidden="1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hidden="1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hidden="1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hidden="1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hidden="1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hidden="1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hidden="1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hidden="1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hidden="1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hidden="1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hidden="1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hidden="1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hidden="1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hidden="1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hidden="1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hidden="1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hidden="1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hidden="1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hidden="1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hidden="1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hidden="1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hidden="1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hidden="1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hidden="1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hidden="1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hidden="1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hidden="1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hidden="1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hidden="1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hidden="1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hidden="1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hidden="1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hidden="1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hidden="1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hidden="1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hidden="1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hidden="1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hidden="1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hidden="1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hidden="1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hidden="1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hidden="1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hidden="1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hidden="1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hidden="1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hidden="1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hidden="1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hidden="1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hidden="1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hidden="1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hidden="1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hidden="1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hidden="1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hidden="1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hidden="1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hidden="1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hidden="1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hidden="1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hidden="1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hidden="1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hidden="1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hidden="1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hidden="1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hidden="1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hidden="1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hidden="1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hidden="1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0.125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hidden="1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16</v>
      </c>
      <c r="U235" s="203">
        <f t="shared" ref="U235:U238" ca="1" si="391">+L235-T235</f>
        <v>0</v>
      </c>
      <c r="V235" s="203">
        <f t="shared" ref="V235:V238" ca="1" si="392">ROUNDDOWN(T235/J235,0)</f>
        <v>4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16</v>
      </c>
      <c r="AJ235" s="203">
        <f t="shared" ref="AJ235:AJ238" ca="1" si="396">+AH235-AI235</f>
        <v>0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hidden="1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hidden="1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hidden="1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hidden="1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hidden="1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hidden="1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hidden="1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>
        <v>2</v>
      </c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hidden="1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>
        <v>10</v>
      </c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hidden="1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hidden="1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>
        <v>20</v>
      </c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hidden="1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0.16666666666666666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hidden="1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ref="U248:U249" ca="1" si="441">+L248-T248</f>
        <v>0</v>
      </c>
      <c r="V248" s="203">
        <f t="shared" ref="V248:V249" ca="1" si="442">ROUNDDOWN(T248/J248,0)</f>
        <v>1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1</v>
      </c>
      <c r="AJ248" s="203">
        <f t="shared" ref="AJ248:AJ249" ca="1" si="446">+AH248-AI248</f>
        <v>0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hidden="1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hidden="1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2</v>
      </c>
      <c r="X250" s="181">
        <f ca="1">SUMIFS(T:T,C:C,C250,AE:AE,"")/SUMIFS(L:L,C:C,C250,AE:AE,"",AB:AB,"")</f>
        <v>0.5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hidden="1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203">
        <f t="shared" ref="U251" ca="1" si="459">+L251-T251</f>
        <v>0</v>
      </c>
      <c r="V251" s="203">
        <f t="shared" ref="V251" ca="1" si="460">ROUNDDOWN(T251/J251,0)</f>
        <v>4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4</v>
      </c>
      <c r="AJ251" s="203">
        <f ca="1">+AH251-AI251</f>
        <v>0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hidden="1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hidden="1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hidden="1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hidden="1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hidden="1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hidden="1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hidden="1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hidden="1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hidden="1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0.3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hidden="1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hidden="1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hidden="1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hidden="1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hidden="1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0.32142857142857145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hidden="1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hidden="1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hidden="1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hidden="1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hidden="1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hidden="1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hidden="1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0.1875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hidden="1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hidden="1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hidden="1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hidden="1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hidden="1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hidden="1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hidden="1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hidden="1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hidden="1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hidden="1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hidden="1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hidden="1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hidden="1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hidden="1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hidden="1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hidden="1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hidden="1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hidden="1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hidden="1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hidden="1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hidden="1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0.6495726495726496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3</v>
      </c>
      <c r="U306" s="203">
        <f t="shared" ca="1" si="588"/>
        <v>1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2</v>
      </c>
      <c r="AT306" s="203">
        <f t="shared" ca="1" si="598"/>
        <v>0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588"/>
        <v>2</v>
      </c>
      <c r="V311" s="203">
        <f t="shared" ca="1" si="589"/>
        <v>1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1</v>
      </c>
      <c r="AO311" s="203">
        <f t="shared" ca="1" si="595"/>
        <v>1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1</v>
      </c>
      <c r="AT311" s="203">
        <f t="shared" ca="1" si="598"/>
        <v>1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0.82539682539682535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203">
        <f t="shared" ca="1" si="609"/>
        <v>0</v>
      </c>
      <c r="V317" s="203">
        <f t="shared" ca="1" si="610"/>
        <v>2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1</v>
      </c>
      <c r="AT317" s="203">
        <f t="shared" ca="1" si="619"/>
        <v>0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203">
        <f t="shared" ca="1" si="609"/>
        <v>0</v>
      </c>
      <c r="V319" s="203">
        <f t="shared" ca="1" si="610"/>
        <v>2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1</v>
      </c>
      <c r="AT319" s="203">
        <f t="shared" ca="1" si="619"/>
        <v>0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203">
        <f t="shared" ca="1" si="609"/>
        <v>5</v>
      </c>
      <c r="V324" s="203">
        <f t="shared" ca="1" si="610"/>
        <v>1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1</v>
      </c>
      <c r="AO324" s="203">
        <f t="shared" ca="1" si="616"/>
        <v>4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4</v>
      </c>
      <c r="AT324" s="203">
        <f t="shared" ca="1" si="619"/>
        <v>1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0.61403508771929827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6</v>
      </c>
      <c r="U348" s="203">
        <f t="shared" ca="1" si="667"/>
        <v>6</v>
      </c>
      <c r="V348" s="203">
        <f t="shared" ca="1" si="668"/>
        <v>1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5</v>
      </c>
      <c r="AT348" s="203">
        <f t="shared" ca="1" si="677"/>
        <v>1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0.70370370370370372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3</v>
      </c>
      <c r="U355" s="203">
        <f t="shared" ca="1" si="684"/>
        <v>3</v>
      </c>
      <c r="V355" s="203">
        <f t="shared" ca="1" si="685"/>
        <v>1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1</v>
      </c>
      <c r="AO355" s="203">
        <f t="shared" ca="1" si="691"/>
        <v>2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2</v>
      </c>
      <c r="AT355" s="203">
        <f t="shared" ca="1" si="694"/>
        <v>1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3</v>
      </c>
      <c r="U356" s="203">
        <f t="shared" ca="1" si="684"/>
        <v>3</v>
      </c>
      <c r="V356" s="203">
        <f t="shared" ca="1" si="685"/>
        <v>1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1</v>
      </c>
      <c r="AO356" s="203">
        <f t="shared" ca="1" si="691"/>
        <v>2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2</v>
      </c>
      <c r="AT356" s="203">
        <f t="shared" ca="1" si="694"/>
        <v>1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0.69230769230769229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3</v>
      </c>
      <c r="U361" s="203">
        <f t="shared" ca="1" si="704"/>
        <v>3</v>
      </c>
      <c r="V361" s="203">
        <f t="shared" ca="1" si="705"/>
        <v>1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2</v>
      </c>
      <c r="AT361" s="203">
        <f t="shared" ca="1" si="714"/>
        <v>1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0.55555555555555558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</v>
      </c>
      <c r="U369" s="203">
        <f t="shared" ca="1" si="721"/>
        <v>3</v>
      </c>
      <c r="V369" s="203">
        <f t="shared" ca="1" si="722"/>
        <v>1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1</v>
      </c>
      <c r="AO369" s="203">
        <f t="shared" ca="1" si="728"/>
        <v>2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2</v>
      </c>
      <c r="AT369" s="203">
        <f t="shared" ca="1" si="731"/>
        <v>1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203">
        <f t="shared" ca="1" si="721"/>
        <v>3</v>
      </c>
      <c r="V370" s="203">
        <f t="shared" ca="1" si="722"/>
        <v>1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1</v>
      </c>
      <c r="AO370" s="203">
        <f t="shared" ca="1" si="728"/>
        <v>2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2</v>
      </c>
      <c r="AT370" s="203">
        <f t="shared" ca="1" si="731"/>
        <v>1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0.64516129032258063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203">
        <f t="shared" ca="1" si="742"/>
        <v>0</v>
      </c>
      <c r="V379" s="203">
        <f t="shared" ca="1" si="743"/>
        <v>2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1</v>
      </c>
      <c r="AT379" s="203">
        <f t="shared" ca="1" si="752"/>
        <v>0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0.73333333333333328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2</v>
      </c>
      <c r="U392" s="203">
        <f t="shared" ca="1" si="763"/>
        <v>0</v>
      </c>
      <c r="V392" s="203">
        <f t="shared" ca="1" si="764"/>
        <v>2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1</v>
      </c>
      <c r="AT392" s="203">
        <f t="shared" ca="1" si="773"/>
        <v>0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0.69230769230769229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3</v>
      </c>
      <c r="U401" s="203">
        <f t="shared" ca="1" si="780"/>
        <v>3</v>
      </c>
      <c r="V401" s="203">
        <f t="shared" ca="1" si="781"/>
        <v>1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1</v>
      </c>
      <c r="AO401" s="203">
        <f t="shared" ca="1" si="787"/>
        <v>2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2</v>
      </c>
      <c r="AT401" s="203">
        <f t="shared" ca="1" si="790"/>
        <v>1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0.6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2</v>
      </c>
      <c r="U409" s="203">
        <f t="shared" ca="1" si="801"/>
        <v>0</v>
      </c>
      <c r="V409" s="203">
        <f t="shared" ca="1" si="802"/>
        <v>2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1</v>
      </c>
      <c r="AT409" s="203">
        <f t="shared" ca="1" si="811"/>
        <v>0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3</v>
      </c>
      <c r="U413" s="203">
        <f t="shared" ca="1" si="801"/>
        <v>3</v>
      </c>
      <c r="V413" s="203">
        <f t="shared" ca="1" si="802"/>
        <v>1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1</v>
      </c>
      <c r="AO413" s="203">
        <f t="shared" ca="1" si="808"/>
        <v>2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2</v>
      </c>
      <c r="AT413" s="203">
        <f t="shared" ca="1" si="811"/>
        <v>1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0.67543859649122806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8</v>
      </c>
      <c r="U420" s="203">
        <f t="shared" ca="1" si="823"/>
        <v>6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7</v>
      </c>
      <c r="AT420" s="203">
        <f t="shared" ca="1" si="833"/>
        <v>0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0.70370370370370372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2</v>
      </c>
      <c r="U443" s="203">
        <f t="shared" ca="1" si="877"/>
        <v>0</v>
      </c>
      <c r="V443" s="203">
        <f t="shared" ca="1" si="878"/>
        <v>2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1</v>
      </c>
      <c r="AT443" s="203">
        <f t="shared" ca="1" si="890"/>
        <v>0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0.125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>
        <v>2</v>
      </c>
      <c r="AO496" s="181"/>
      <c r="AP496" s="181" t="s">
        <v>1922</v>
      </c>
      <c r="AQ496" s="181">
        <v>2</v>
      </c>
      <c r="AR496" s="181"/>
      <c r="AS496" s="181">
        <v>2</v>
      </c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v>40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20</v>
      </c>
      <c r="AM500" s="181"/>
      <c r="AN500" s="181">
        <v>20</v>
      </c>
      <c r="AO500" s="181"/>
      <c r="AP500" s="181" t="s">
        <v>1922</v>
      </c>
      <c r="AQ500" s="181">
        <v>20</v>
      </c>
      <c r="AR500" s="181"/>
      <c r="AS500" s="181">
        <v>20</v>
      </c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ref="K500:K501" si="1042">+AG501+AL501+AQ501+AV501</f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0.16666666666666666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2</v>
      </c>
      <c r="X504" s="181">
        <f ca="1">SUMIFS(T:T,C:C,C504,AE:AE,"")/SUMIFS(L:L,C:C,C504,AE:AE,"",AB:AB,"")</f>
        <v>0.5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03">
        <f t="shared" ref="U505" ca="1" si="1068">+L505-T505</f>
        <v>6</v>
      </c>
      <c r="V505" s="203">
        <f t="shared" ref="V505" ca="1" si="1069">ROUNDDOWN(T505/J505,0)</f>
        <v>2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2</v>
      </c>
      <c r="AO505" s="203">
        <f ca="1">+AM505-AN505</f>
        <v>2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0.3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2</v>
      </c>
      <c r="U516" s="203">
        <f t="shared" ca="1" si="1135"/>
        <v>2</v>
      </c>
      <c r="V516" s="203">
        <f t="shared" ca="1" si="1136"/>
        <v>1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1</v>
      </c>
      <c r="AO516" s="203">
        <f t="shared" ca="1" si="1144"/>
        <v>1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1</v>
      </c>
      <c r="AT516" s="203">
        <f t="shared" ca="1" si="1148"/>
        <v>1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1</v>
      </c>
      <c r="U517" s="203">
        <f t="shared" ca="1" si="1135"/>
        <v>1</v>
      </c>
      <c r="V517" s="203">
        <f t="shared" ca="1" si="1136"/>
        <v>1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1</v>
      </c>
      <c r="AO517" s="203">
        <f t="shared" ca="1" si="1144"/>
        <v>0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0.32142857142857145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68"/>
        <v>1</v>
      </c>
      <c r="V521" s="203">
        <f t="shared" ca="1" si="1169"/>
        <v>1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1</v>
      </c>
      <c r="AO521" s="203">
        <f t="shared" ca="1" si="1177"/>
        <v>0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0.1875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209"/>
        <v>1</v>
      </c>
      <c r="V528" s="203">
        <f t="shared" ca="1" si="1210"/>
        <v>1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1</v>
      </c>
      <c r="AO528" s="203">
        <f t="shared" ca="1" si="1218"/>
        <v>0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0.22727272727272727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10</v>
      </c>
      <c r="U562" s="203">
        <f t="shared" ca="1" si="1253"/>
        <v>0</v>
      </c>
      <c r="V562" s="203">
        <f t="shared" ca="1" si="1254"/>
        <v>1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10</v>
      </c>
      <c r="AY562" s="203">
        <f t="shared" ca="1" si="1269"/>
        <v>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0.27586206896551724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6</v>
      </c>
      <c r="U600" s="203">
        <f t="shared" ca="1" si="1334"/>
        <v>0</v>
      </c>
      <c r="V600" s="203">
        <f t="shared" ca="1" si="1335"/>
        <v>1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6</v>
      </c>
      <c r="AY600" s="203">
        <f t="shared" ca="1" si="1347"/>
        <v>0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2</v>
      </c>
      <c r="U601" s="203">
        <f t="shared" ca="1" si="1334"/>
        <v>0</v>
      </c>
      <c r="V601" s="203">
        <f t="shared" ca="1" si="1335"/>
        <v>1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2</v>
      </c>
      <c r="AY601" s="203">
        <f t="shared" ca="1" si="1347"/>
        <v>0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0.1875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4</v>
      </c>
      <c r="U637" s="203">
        <f t="shared" ca="1" si="1405"/>
        <v>0</v>
      </c>
      <c r="V637" s="203">
        <f t="shared" ca="1" si="1406"/>
        <v>1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4</v>
      </c>
      <c r="AY637" s="203">
        <f t="shared" ca="1" si="1422"/>
        <v>0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203">
        <f t="shared" ca="1" si="1405"/>
        <v>0</v>
      </c>
      <c r="V639" s="203">
        <f t="shared" ca="1" si="1406"/>
        <v>1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2</v>
      </c>
      <c r="AY639" s="203">
        <f t="shared" ca="1" si="1422"/>
        <v>0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0.32432432432432434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431"/>
        <v>0</v>
      </c>
      <c r="V651" s="203">
        <f t="shared" ca="1" si="1432"/>
        <v>1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2</v>
      </c>
      <c r="AY651" s="203">
        <f t="shared" ca="1" si="1448"/>
        <v>0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203">
        <f t="shared" ca="1" si="1431"/>
        <v>0</v>
      </c>
      <c r="V652" s="203">
        <f t="shared" ca="1" si="1432"/>
        <v>1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10</v>
      </c>
      <c r="AY652" s="203">
        <f t="shared" ca="1" si="1448"/>
        <v>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0.27272727272727271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4</v>
      </c>
      <c r="U663" s="203">
        <f t="shared" ca="1" si="1453"/>
        <v>0</v>
      </c>
      <c r="V663" s="203">
        <f t="shared" ca="1" si="1454"/>
        <v>1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4</v>
      </c>
      <c r="AY663" s="203">
        <f t="shared" ca="1" si="1470"/>
        <v>0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203">
        <f t="shared" ca="1" si="1453"/>
        <v>0</v>
      </c>
      <c r="V664" s="203">
        <f t="shared" ca="1" si="1454"/>
        <v>1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2</v>
      </c>
      <c r="AY664" s="203">
        <f t="shared" ca="1" si="1470"/>
        <v>0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0.37209302325581395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3</v>
      </c>
      <c r="U673" s="203">
        <f t="shared" ca="1" si="1475"/>
        <v>0</v>
      </c>
      <c r="V673" s="203">
        <f t="shared" ca="1" si="1476"/>
        <v>1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3</v>
      </c>
      <c r="AY673" s="203">
        <f t="shared" ca="1" si="1492"/>
        <v>0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203">
        <f t="shared" ca="1" si="1475"/>
        <v>0</v>
      </c>
      <c r="V674" s="203">
        <f t="shared" ca="1" si="1476"/>
        <v>1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1</v>
      </c>
      <c r="AY674" s="203">
        <f t="shared" ca="1" si="1492"/>
        <v>0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475"/>
        <v>0</v>
      </c>
      <c r="V676" s="203">
        <f t="shared" ca="1" si="1476"/>
        <v>1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2</v>
      </c>
      <c r="AY676" s="203">
        <f t="shared" ca="1" si="1492"/>
        <v>0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10</v>
      </c>
      <c r="U677" s="203">
        <f t="shared" ca="1" si="1475"/>
        <v>0</v>
      </c>
      <c r="V677" s="203">
        <f t="shared" ca="1" si="1476"/>
        <v>1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10</v>
      </c>
      <c r="AY677" s="203">
        <f t="shared" ca="1" si="1492"/>
        <v>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0.125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>
        <v>2</v>
      </c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0.3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0.32142857142857145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0.1875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2">
      <filters>
        <filter val="24D06641-00-M4130#A16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D7" zoomScale="70" zoomScaleNormal="70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2267</v>
      </c>
      <c r="AM1" s="111"/>
      <c r="AN1" s="111"/>
      <c r="AO1" s="111"/>
      <c r="AP1" s="244" t="s">
        <v>2267</v>
      </c>
    </row>
    <row r="2" spans="1:42">
      <c r="A2" s="114" t="s">
        <v>2257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2258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2268</v>
      </c>
      <c r="AM4" s="112"/>
      <c r="AN4" s="112"/>
      <c r="AO4" s="112"/>
      <c r="AP4" s="246" t="s">
        <v>2268</v>
      </c>
    </row>
    <row r="5" spans="1:42">
      <c r="A5" s="114" t="s">
        <v>2259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2260</v>
      </c>
      <c r="B6" s="112"/>
      <c r="C6" s="112"/>
      <c r="D6" s="115"/>
      <c r="E6" s="122"/>
      <c r="F6" s="122"/>
      <c r="G6" s="122"/>
      <c r="H6" s="113"/>
      <c r="I6" s="123" t="s">
        <v>2261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2262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2377</v>
      </c>
      <c r="R8" s="127" t="s">
        <v>87</v>
      </c>
      <c r="S8" s="127" t="s">
        <v>2263</v>
      </c>
      <c r="T8" s="127" t="s">
        <v>2264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2265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2266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2269</v>
      </c>
      <c r="C10" s="177" t="s">
        <v>2270</v>
      </c>
      <c r="D10" s="177" t="s">
        <v>2271</v>
      </c>
      <c r="E10" s="177"/>
      <c r="F10" s="177"/>
      <c r="G10" s="181" t="s">
        <v>2272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2383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2269</v>
      </c>
      <c r="C11" s="209" t="s">
        <v>2270</v>
      </c>
      <c r="D11" s="209" t="s">
        <v>1296</v>
      </c>
      <c r="E11" s="209" t="s">
        <v>2273</v>
      </c>
      <c r="F11" s="209" t="s">
        <v>2274</v>
      </c>
      <c r="G11" s="212" t="s">
        <v>2275</v>
      </c>
      <c r="H11" s="213">
        <v>90</v>
      </c>
      <c r="I11" s="144" t="s">
        <v>2276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2280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2269</v>
      </c>
      <c r="C12" s="209" t="s">
        <v>2270</v>
      </c>
      <c r="D12" s="209" t="s">
        <v>1296</v>
      </c>
      <c r="E12" s="209" t="s">
        <v>2277</v>
      </c>
      <c r="F12" s="209" t="s">
        <v>2278</v>
      </c>
      <c r="G12" s="212" t="s">
        <v>2279</v>
      </c>
      <c r="H12" s="213">
        <v>160</v>
      </c>
      <c r="I12" s="144" t="s">
        <v>2276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2281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2282</v>
      </c>
      <c r="C13" s="177" t="s">
        <v>2283</v>
      </c>
      <c r="D13" s="177" t="s">
        <v>2271</v>
      </c>
      <c r="E13" s="177"/>
      <c r="F13" s="177"/>
      <c r="G13" s="181" t="s">
        <v>2272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2383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2282</v>
      </c>
      <c r="C14" s="209" t="s">
        <v>2283</v>
      </c>
      <c r="D14" s="209" t="s">
        <v>1296</v>
      </c>
      <c r="E14" s="209" t="s">
        <v>2273</v>
      </c>
      <c r="F14" s="209" t="s">
        <v>2284</v>
      </c>
      <c r="G14" s="212" t="s">
        <v>2275</v>
      </c>
      <c r="H14" s="213">
        <v>90</v>
      </c>
      <c r="I14" s="144" t="s">
        <v>2276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2280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2282</v>
      </c>
      <c r="C15" s="209" t="s">
        <v>2283</v>
      </c>
      <c r="D15" s="209" t="s">
        <v>1296</v>
      </c>
      <c r="E15" s="209" t="s">
        <v>2277</v>
      </c>
      <c r="F15" s="209" t="s">
        <v>2285</v>
      </c>
      <c r="G15" s="212" t="s">
        <v>2279</v>
      </c>
      <c r="H15" s="213">
        <v>160</v>
      </c>
      <c r="I15" s="144" t="s">
        <v>2276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2281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2286</v>
      </c>
      <c r="C16" s="177" t="s">
        <v>2287</v>
      </c>
      <c r="D16" s="177" t="s">
        <v>2288</v>
      </c>
      <c r="E16" s="177"/>
      <c r="F16" s="177"/>
      <c r="G16" s="181" t="s">
        <v>2289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2384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2286</v>
      </c>
      <c r="C17" s="209" t="s">
        <v>2287</v>
      </c>
      <c r="D17" s="209" t="s">
        <v>1296</v>
      </c>
      <c r="E17" s="209" t="s">
        <v>2290</v>
      </c>
      <c r="F17" s="209" t="s">
        <v>2291</v>
      </c>
      <c r="G17" s="212" t="s">
        <v>2292</v>
      </c>
      <c r="H17" s="213">
        <v>810</v>
      </c>
      <c r="I17" s="144" t="s">
        <v>2276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2300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2293</v>
      </c>
      <c r="C18" s="177" t="s">
        <v>2294</v>
      </c>
      <c r="D18" s="177" t="s">
        <v>2288</v>
      </c>
      <c r="E18" s="177"/>
      <c r="F18" s="177"/>
      <c r="G18" s="181" t="s">
        <v>2295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2384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2293</v>
      </c>
      <c r="C19" s="209" t="s">
        <v>2294</v>
      </c>
      <c r="D19" s="209" t="s">
        <v>2296</v>
      </c>
      <c r="E19" s="209" t="s">
        <v>2297</v>
      </c>
      <c r="F19" s="209" t="s">
        <v>2298</v>
      </c>
      <c r="G19" s="212" t="s">
        <v>2299</v>
      </c>
      <c r="H19" s="213">
        <v>524</v>
      </c>
      <c r="I19" s="144" t="s">
        <v>2276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2300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2301</v>
      </c>
      <c r="C20" s="177" t="s">
        <v>2302</v>
      </c>
      <c r="D20" s="177" t="s">
        <v>2288</v>
      </c>
      <c r="E20" s="177"/>
      <c r="F20" s="177"/>
      <c r="G20" s="181" t="s">
        <v>2303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2384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2301</v>
      </c>
      <c r="C21" s="209" t="s">
        <v>2302</v>
      </c>
      <c r="D21" s="209" t="s">
        <v>2296</v>
      </c>
      <c r="E21" s="209" t="s">
        <v>2304</v>
      </c>
      <c r="F21" s="209" t="s">
        <v>2305</v>
      </c>
      <c r="G21" s="212" t="s">
        <v>2306</v>
      </c>
      <c r="H21" s="213">
        <v>2523</v>
      </c>
      <c r="I21" s="144" t="s">
        <v>2276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2307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2308</v>
      </c>
      <c r="C22" s="177" t="s">
        <v>2309</v>
      </c>
      <c r="D22" s="177" t="s">
        <v>2271</v>
      </c>
      <c r="E22" s="177"/>
      <c r="F22" s="177"/>
      <c r="G22" s="181" t="s">
        <v>2272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2384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2308</v>
      </c>
      <c r="C23" s="209" t="s">
        <v>2309</v>
      </c>
      <c r="D23" s="209" t="s">
        <v>1296</v>
      </c>
      <c r="E23" s="209" t="s">
        <v>2273</v>
      </c>
      <c r="F23" s="209" t="s">
        <v>2310</v>
      </c>
      <c r="G23" s="212" t="s">
        <v>2275</v>
      </c>
      <c r="H23" s="213">
        <v>90</v>
      </c>
      <c r="I23" s="144" t="s">
        <v>2276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2308</v>
      </c>
      <c r="C24" s="209" t="s">
        <v>2309</v>
      </c>
      <c r="D24" s="209" t="s">
        <v>1296</v>
      </c>
      <c r="E24" s="209" t="s">
        <v>2311</v>
      </c>
      <c r="F24" s="209" t="s">
        <v>2312</v>
      </c>
      <c r="G24" s="212" t="s">
        <v>2279</v>
      </c>
      <c r="H24" s="213">
        <v>160</v>
      </c>
      <c r="I24" s="144" t="s">
        <v>2276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2300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2308</v>
      </c>
      <c r="C25" s="177" t="s">
        <v>2309</v>
      </c>
      <c r="D25" s="177" t="s">
        <v>2271</v>
      </c>
      <c r="E25" s="177"/>
      <c r="F25" s="177"/>
      <c r="G25" s="181" t="s">
        <v>2272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2384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2308</v>
      </c>
      <c r="C26" s="209" t="s">
        <v>2309</v>
      </c>
      <c r="D26" s="209" t="s">
        <v>1296</v>
      </c>
      <c r="E26" s="209" t="s">
        <v>2273</v>
      </c>
      <c r="F26" s="209" t="s">
        <v>2310</v>
      </c>
      <c r="G26" s="212" t="s">
        <v>2275</v>
      </c>
      <c r="H26" s="213">
        <v>90</v>
      </c>
      <c r="I26" s="144" t="s">
        <v>2276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2308</v>
      </c>
      <c r="C27" s="209" t="s">
        <v>2309</v>
      </c>
      <c r="D27" s="209" t="s">
        <v>1296</v>
      </c>
      <c r="E27" s="209" t="s">
        <v>2311</v>
      </c>
      <c r="F27" s="209" t="s">
        <v>2312</v>
      </c>
      <c r="G27" s="212" t="s">
        <v>2279</v>
      </c>
      <c r="H27" s="213">
        <v>160</v>
      </c>
      <c r="I27" s="144" t="s">
        <v>2276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2300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2286</v>
      </c>
      <c r="C28" s="177" t="s">
        <v>2287</v>
      </c>
      <c r="D28" s="177" t="s">
        <v>2288</v>
      </c>
      <c r="E28" s="177"/>
      <c r="F28" s="177"/>
      <c r="G28" s="181" t="s">
        <v>2289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2384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2286</v>
      </c>
      <c r="C29" s="209" t="s">
        <v>2287</v>
      </c>
      <c r="D29" s="209" t="s">
        <v>1296</v>
      </c>
      <c r="E29" s="209" t="s">
        <v>2290</v>
      </c>
      <c r="F29" s="209" t="s">
        <v>2291</v>
      </c>
      <c r="G29" s="212" t="s">
        <v>2292</v>
      </c>
      <c r="H29" s="213">
        <v>810</v>
      </c>
      <c r="I29" s="144" t="s">
        <v>2276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2300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2313</v>
      </c>
      <c r="C30" s="177" t="s">
        <v>2314</v>
      </c>
      <c r="D30" s="177" t="s">
        <v>2288</v>
      </c>
      <c r="E30" s="177"/>
      <c r="F30" s="177"/>
      <c r="G30" s="181" t="s">
        <v>2315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2384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2313</v>
      </c>
      <c r="C31" s="209" t="s">
        <v>2314</v>
      </c>
      <c r="D31" s="209" t="s">
        <v>2296</v>
      </c>
      <c r="E31" s="209" t="s">
        <v>2316</v>
      </c>
      <c r="F31" s="209" t="s">
        <v>2317</v>
      </c>
      <c r="G31" s="212" t="s">
        <v>2299</v>
      </c>
      <c r="H31" s="213">
        <v>554</v>
      </c>
      <c r="I31" s="144" t="s">
        <v>2276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2300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2318</v>
      </c>
      <c r="C32" s="177" t="s">
        <v>2319</v>
      </c>
      <c r="D32" s="177" t="s">
        <v>2288</v>
      </c>
      <c r="E32" s="177"/>
      <c r="F32" s="177"/>
      <c r="G32" s="181" t="s">
        <v>2320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2384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2318</v>
      </c>
      <c r="C33" s="209" t="s">
        <v>2319</v>
      </c>
      <c r="D33" s="209" t="s">
        <v>2296</v>
      </c>
      <c r="E33" s="209" t="s">
        <v>2321</v>
      </c>
      <c r="F33" s="209" t="s">
        <v>2322</v>
      </c>
      <c r="G33" s="212" t="s">
        <v>2299</v>
      </c>
      <c r="H33" s="213">
        <v>1596</v>
      </c>
      <c r="I33" s="144" t="s">
        <v>2276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2300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2323</v>
      </c>
      <c r="C34" s="177" t="s">
        <v>2324</v>
      </c>
      <c r="D34" s="177" t="s">
        <v>2288</v>
      </c>
      <c r="E34" s="177"/>
      <c r="F34" s="177"/>
      <c r="G34" s="181" t="s">
        <v>2325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2384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2323</v>
      </c>
      <c r="C35" s="209" t="s">
        <v>2324</v>
      </c>
      <c r="D35" s="209" t="s">
        <v>2296</v>
      </c>
      <c r="E35" s="209" t="s">
        <v>2326</v>
      </c>
      <c r="F35" s="209" t="s">
        <v>2327</v>
      </c>
      <c r="G35" s="212" t="s">
        <v>2299</v>
      </c>
      <c r="H35" s="213">
        <v>1892</v>
      </c>
      <c r="I35" s="144" t="s">
        <v>2276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2300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2328</v>
      </c>
      <c r="C36" s="177" t="s">
        <v>2329</v>
      </c>
      <c r="D36" s="177" t="s">
        <v>2288</v>
      </c>
      <c r="E36" s="177"/>
      <c r="F36" s="177"/>
      <c r="G36" s="181" t="s">
        <v>2330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2384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2328</v>
      </c>
      <c r="C37" s="209" t="s">
        <v>2329</v>
      </c>
      <c r="D37" s="209" t="s">
        <v>2296</v>
      </c>
      <c r="E37" s="209" t="s">
        <v>2331</v>
      </c>
      <c r="F37" s="209" t="s">
        <v>2332</v>
      </c>
      <c r="G37" s="212" t="s">
        <v>2299</v>
      </c>
      <c r="H37" s="213">
        <v>1599</v>
      </c>
      <c r="I37" s="144" t="s">
        <v>2276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2300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2333</v>
      </c>
      <c r="C38" s="177" t="s">
        <v>2334</v>
      </c>
      <c r="D38" s="177" t="s">
        <v>2288</v>
      </c>
      <c r="E38" s="177"/>
      <c r="F38" s="177"/>
      <c r="G38" s="181" t="s">
        <v>2335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2385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2333</v>
      </c>
      <c r="C39" s="209" t="s">
        <v>2334</v>
      </c>
      <c r="D39" s="209" t="s">
        <v>2336</v>
      </c>
      <c r="E39" s="209" t="s">
        <v>2337</v>
      </c>
      <c r="F39" s="209" t="s">
        <v>2338</v>
      </c>
      <c r="G39" s="212" t="s">
        <v>2339</v>
      </c>
      <c r="H39" s="213">
        <v>2100</v>
      </c>
      <c r="I39" s="144" t="s">
        <v>2276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2333</v>
      </c>
      <c r="C40" s="209" t="s">
        <v>2334</v>
      </c>
      <c r="D40" s="209" t="s">
        <v>2336</v>
      </c>
      <c r="E40" s="209" t="s">
        <v>2340</v>
      </c>
      <c r="F40" s="209" t="s">
        <v>2341</v>
      </c>
      <c r="G40" s="212" t="s">
        <v>2339</v>
      </c>
      <c r="H40" s="213">
        <v>985</v>
      </c>
      <c r="I40" s="144" t="s">
        <v>2276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2333</v>
      </c>
      <c r="C41" s="209" t="s">
        <v>2334</v>
      </c>
      <c r="D41" s="209" t="s">
        <v>1296</v>
      </c>
      <c r="E41" s="209" t="s">
        <v>2342</v>
      </c>
      <c r="F41" s="209" t="s">
        <v>2343</v>
      </c>
      <c r="G41" s="212" t="s">
        <v>2344</v>
      </c>
      <c r="H41" s="213">
        <v>120</v>
      </c>
      <c r="I41" s="144" t="s">
        <v>2276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2333</v>
      </c>
      <c r="C42" s="209" t="s">
        <v>2334</v>
      </c>
      <c r="D42" s="209" t="s">
        <v>1296</v>
      </c>
      <c r="E42" s="209" t="s">
        <v>2345</v>
      </c>
      <c r="F42" s="209" t="s">
        <v>2346</v>
      </c>
      <c r="G42" s="212" t="s">
        <v>2347</v>
      </c>
      <c r="H42" s="213">
        <v>133</v>
      </c>
      <c r="I42" s="144" t="s">
        <v>2276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2348</v>
      </c>
      <c r="C43" s="177" t="s">
        <v>2349</v>
      </c>
      <c r="D43" s="177" t="s">
        <v>2288</v>
      </c>
      <c r="E43" s="177"/>
      <c r="F43" s="177"/>
      <c r="G43" s="181" t="s">
        <v>2350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2385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2348</v>
      </c>
      <c r="C44" s="209" t="s">
        <v>2349</v>
      </c>
      <c r="D44" s="209" t="s">
        <v>1296</v>
      </c>
      <c r="E44" s="209" t="s">
        <v>2351</v>
      </c>
      <c r="F44" s="209" t="s">
        <v>2352</v>
      </c>
      <c r="G44" s="212" t="s">
        <v>2292</v>
      </c>
      <c r="H44" s="213">
        <v>965</v>
      </c>
      <c r="I44" s="144" t="s">
        <v>2276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2300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2353</v>
      </c>
      <c r="C45" s="177" t="s">
        <v>2354</v>
      </c>
      <c r="D45" s="177" t="s">
        <v>2288</v>
      </c>
      <c r="E45" s="177"/>
      <c r="F45" s="177"/>
      <c r="G45" s="181" t="s">
        <v>2355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2385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2353</v>
      </c>
      <c r="C46" s="209" t="s">
        <v>2354</v>
      </c>
      <c r="D46" s="209" t="s">
        <v>2336</v>
      </c>
      <c r="E46" s="209" t="s">
        <v>2356</v>
      </c>
      <c r="F46" s="209" t="s">
        <v>2357</v>
      </c>
      <c r="G46" s="212" t="s">
        <v>2339</v>
      </c>
      <c r="H46" s="213">
        <v>885</v>
      </c>
      <c r="I46" s="144" t="s">
        <v>2276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2353</v>
      </c>
      <c r="C47" s="209" t="s">
        <v>2354</v>
      </c>
      <c r="D47" s="209" t="s">
        <v>2336</v>
      </c>
      <c r="E47" s="209" t="s">
        <v>2358</v>
      </c>
      <c r="F47" s="209" t="s">
        <v>2359</v>
      </c>
      <c r="G47" s="212" t="s">
        <v>2339</v>
      </c>
      <c r="H47" s="213">
        <v>1900</v>
      </c>
      <c r="I47" s="144" t="s">
        <v>2276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2353</v>
      </c>
      <c r="C48" s="209" t="s">
        <v>2354</v>
      </c>
      <c r="D48" s="209" t="s">
        <v>1296</v>
      </c>
      <c r="E48" s="209" t="s">
        <v>2342</v>
      </c>
      <c r="F48" s="209" t="s">
        <v>2360</v>
      </c>
      <c r="G48" s="212" t="s">
        <v>2344</v>
      </c>
      <c r="H48" s="213">
        <v>120</v>
      </c>
      <c r="I48" s="144" t="s">
        <v>2276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2353</v>
      </c>
      <c r="C49" s="209" t="s">
        <v>2354</v>
      </c>
      <c r="D49" s="209" t="s">
        <v>1296</v>
      </c>
      <c r="E49" s="209" t="s">
        <v>2345</v>
      </c>
      <c r="F49" s="209" t="s">
        <v>2361</v>
      </c>
      <c r="G49" s="212" t="s">
        <v>2347</v>
      </c>
      <c r="H49" s="213">
        <v>133</v>
      </c>
      <c r="I49" s="144" t="s">
        <v>2276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2362</v>
      </c>
      <c r="C50" s="177" t="s">
        <v>2363</v>
      </c>
      <c r="D50" s="177" t="s">
        <v>2288</v>
      </c>
      <c r="E50" s="177"/>
      <c r="F50" s="177"/>
      <c r="G50" s="181" t="s">
        <v>2350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2385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2362</v>
      </c>
      <c r="C51" s="209" t="s">
        <v>2363</v>
      </c>
      <c r="D51" s="209" t="s">
        <v>1296</v>
      </c>
      <c r="E51" s="209" t="s">
        <v>2351</v>
      </c>
      <c r="F51" s="209" t="s">
        <v>2364</v>
      </c>
      <c r="G51" s="212" t="s">
        <v>2292</v>
      </c>
      <c r="H51" s="213">
        <v>965</v>
      </c>
      <c r="I51" s="144" t="s">
        <v>2276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2300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2365</v>
      </c>
      <c r="C52" s="177" t="s">
        <v>2366</v>
      </c>
      <c r="D52" s="177" t="s">
        <v>2288</v>
      </c>
      <c r="E52" s="177"/>
      <c r="F52" s="177"/>
      <c r="G52" s="181" t="s">
        <v>2367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2385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2365</v>
      </c>
      <c r="C53" s="209" t="s">
        <v>2366</v>
      </c>
      <c r="D53" s="209" t="s">
        <v>2336</v>
      </c>
      <c r="E53" s="209" t="s">
        <v>2368</v>
      </c>
      <c r="F53" s="209" t="s">
        <v>2369</v>
      </c>
      <c r="G53" s="212" t="s">
        <v>2339</v>
      </c>
      <c r="H53" s="213">
        <v>585</v>
      </c>
      <c r="I53" s="144" t="s">
        <v>2276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2365</v>
      </c>
      <c r="C54" s="209" t="s">
        <v>2366</v>
      </c>
      <c r="D54" s="209" t="s">
        <v>2336</v>
      </c>
      <c r="E54" s="209" t="s">
        <v>2370</v>
      </c>
      <c r="F54" s="209" t="s">
        <v>2371</v>
      </c>
      <c r="G54" s="212" t="s">
        <v>2339</v>
      </c>
      <c r="H54" s="213">
        <v>1300</v>
      </c>
      <c r="I54" s="144" t="s">
        <v>2276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2365</v>
      </c>
      <c r="C55" s="209" t="s">
        <v>2366</v>
      </c>
      <c r="D55" s="209" t="s">
        <v>1296</v>
      </c>
      <c r="E55" s="209" t="s">
        <v>2342</v>
      </c>
      <c r="F55" s="209" t="s">
        <v>2372</v>
      </c>
      <c r="G55" s="212" t="s">
        <v>2344</v>
      </c>
      <c r="H55" s="213">
        <v>120</v>
      </c>
      <c r="I55" s="144" t="s">
        <v>2276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2365</v>
      </c>
      <c r="C56" s="209" t="s">
        <v>2366</v>
      </c>
      <c r="D56" s="209" t="s">
        <v>1296</v>
      </c>
      <c r="E56" s="209" t="s">
        <v>2345</v>
      </c>
      <c r="F56" s="209" t="s">
        <v>2373</v>
      </c>
      <c r="G56" s="212" t="s">
        <v>2347</v>
      </c>
      <c r="H56" s="213">
        <v>133</v>
      </c>
      <c r="I56" s="144" t="s">
        <v>2276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2374</v>
      </c>
      <c r="C57" s="177" t="s">
        <v>2375</v>
      </c>
      <c r="D57" s="177" t="s">
        <v>2288</v>
      </c>
      <c r="E57" s="177"/>
      <c r="F57" s="177"/>
      <c r="G57" s="181" t="s">
        <v>2350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2385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2374</v>
      </c>
      <c r="C58" s="209" t="s">
        <v>2375</v>
      </c>
      <c r="D58" s="209" t="s">
        <v>1296</v>
      </c>
      <c r="E58" s="209" t="s">
        <v>2351</v>
      </c>
      <c r="F58" s="209" t="s">
        <v>2376</v>
      </c>
      <c r="G58" s="212" t="s">
        <v>2292</v>
      </c>
      <c r="H58" s="213">
        <v>965</v>
      </c>
      <c r="I58" s="144" t="s">
        <v>2276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2300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2026-10-20T02:00:41Z</dcterms:modified>
</cp:coreProperties>
</file>