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B389E554-4553-4291-84E2-067D97C03DFB}" xr6:coauthVersionLast="47" xr6:coauthVersionMax="47" xr10:uidLastSave="{00000000-0000-0000-0000-000000000000}"/>
  <bookViews>
    <workbookView xWindow="-120" yWindow="-120" windowWidth="29040" windowHeight="15720" activeTab="4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'BTP-A320M4120'!$C$29:$BE$332</definedName>
    <definedName name="_xlnm._FilterDatabase" localSheetId="3" hidden="1">'BTP-A320M4130'!$C$29:$BP$556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27" i="6" l="1" a="1"/>
  <c r="BC27" i="6" s="1"/>
  <c r="BC28" i="6"/>
  <c r="AR27" i="4" a="1"/>
  <c r="AR27" i="4" s="1"/>
  <c r="AR28" i="4"/>
  <c r="BB27" i="6" a="1"/>
  <c r="BB27" i="6" s="1"/>
  <c r="BB28" i="6"/>
  <c r="BA27" i="6" a="1"/>
  <c r="BA27" i="6" s="1"/>
  <c r="BA28" i="6"/>
  <c r="AZ27" i="6" l="1" a="1"/>
  <c r="AZ27" i="6" s="1"/>
  <c r="AZ28" i="6"/>
  <c r="AQ27" i="4" a="1"/>
  <c r="AQ27" i="4" s="1"/>
  <c r="AQ28" i="4"/>
  <c r="AY27" i="6" a="1"/>
  <c r="AY27" i="6" s="1"/>
  <c r="AY28" i="6"/>
  <c r="AX27" i="6" a="1"/>
  <c r="AX28" i="6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G702" i="9"/>
  <c r="AH702" i="9" s="1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AF528" i="9" s="1"/>
  <c r="AF529" i="9" s="1"/>
  <c r="AF530" i="9" s="1"/>
  <c r="K526" i="9"/>
  <c r="K527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19" i="9"/>
  <c r="K520" i="9" s="1"/>
  <c r="L520" i="9" s="1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CF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V434" i="9"/>
  <c r="AV435" i="9" s="1"/>
  <c r="AU434" i="9"/>
  <c r="AU435" i="9" s="1"/>
  <c r="AU436" i="9" s="1"/>
  <c r="AU437" i="9" s="1"/>
  <c r="AU438" i="9" s="1"/>
  <c r="AU439" i="9" s="1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X414" i="9"/>
  <c r="W414" i="9"/>
  <c r="K414" i="9"/>
  <c r="K415" i="9" s="1"/>
  <c r="K416" i="9" s="1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BD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a="1"/>
  <c r="AJ28" i="4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G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R416" i="9" l="1"/>
  <c r="AH494" i="9"/>
  <c r="AW692" i="9"/>
  <c r="AV521" i="9"/>
  <c r="AV522" i="9" s="1"/>
  <c r="AW522" i="9" s="1"/>
  <c r="AV512" i="9"/>
  <c r="AV513" i="9" s="1"/>
  <c r="AW513" i="9" s="1"/>
  <c r="AH717" i="9"/>
  <c r="AH624" i="9"/>
  <c r="AL705" i="9"/>
  <c r="AM705" i="9" s="1"/>
  <c r="AM511" i="9"/>
  <c r="AL725" i="9"/>
  <c r="AL726" i="9" s="1"/>
  <c r="AL727" i="9" s="1"/>
  <c r="AM727" i="9" s="1"/>
  <c r="AR469" i="9"/>
  <c r="AV660" i="9"/>
  <c r="AV661" i="9" s="1"/>
  <c r="AV662" i="9" s="1"/>
  <c r="AL513" i="9"/>
  <c r="AM513" i="9" s="1"/>
  <c r="AV528" i="9"/>
  <c r="AW528" i="9" s="1"/>
  <c r="AG454" i="9"/>
  <c r="AH454" i="9" s="1"/>
  <c r="AG485" i="9"/>
  <c r="AG486" i="9" s="1"/>
  <c r="AH486" i="9" s="1"/>
  <c r="AQ490" i="9"/>
  <c r="AQ491" i="9" s="1"/>
  <c r="AR511" i="9"/>
  <c r="AR454" i="9"/>
  <c r="AV491" i="9"/>
  <c r="AW491" i="9" s="1"/>
  <c r="AG658" i="9"/>
  <c r="AG659" i="9" s="1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W671" i="9" s="1"/>
  <c r="AQ517" i="9"/>
  <c r="AR517" i="9" s="1"/>
  <c r="AR516" i="9"/>
  <c r="AV342" i="9"/>
  <c r="AV343" i="9" s="1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Q647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M528" i="9" s="1"/>
  <c r="AR494" i="9"/>
  <c r="AR704" i="9"/>
  <c r="AR515" i="9"/>
  <c r="L669" i="9"/>
  <c r="AM687" i="9"/>
  <c r="AR712" i="9"/>
  <c r="AH697" i="9"/>
  <c r="AR724" i="9"/>
  <c r="AH469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M416" i="9"/>
  <c r="AL417" i="9"/>
  <c r="L704" i="9"/>
  <c r="N704" i="9" s="1"/>
  <c r="K705" i="9"/>
  <c r="L705" i="9" s="1"/>
  <c r="K516" i="9"/>
  <c r="L515" i="9"/>
  <c r="N515" i="9" s="1"/>
  <c r="AV646" i="9"/>
  <c r="AV647" i="9" s="1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K470" i="9" s="1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H468" i="9"/>
  <c r="AL508" i="9"/>
  <c r="AM508" i="9" s="1"/>
  <c r="AL645" i="9"/>
  <c r="AL646" i="9" s="1"/>
  <c r="AW658" i="9"/>
  <c r="AG705" i="9"/>
  <c r="AG706" i="9" s="1"/>
  <c r="AH706" i="9" s="1"/>
  <c r="AQ625" i="9"/>
  <c r="AH644" i="9"/>
  <c r="AH719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V625" i="9"/>
  <c r="L657" i="9"/>
  <c r="K658" i="9"/>
  <c r="K673" i="9"/>
  <c r="L672" i="9"/>
  <c r="AR687" i="9"/>
  <c r="AQ688" i="9"/>
  <c r="L671" i="9"/>
  <c r="AQ693" i="9"/>
  <c r="AR657" i="9"/>
  <c r="AQ658" i="9"/>
  <c r="AM670" i="9"/>
  <c r="AL671" i="9"/>
  <c r="AV688" i="9"/>
  <c r="K710" i="9"/>
  <c r="L710" i="9" s="1"/>
  <c r="L709" i="9"/>
  <c r="AH712" i="9"/>
  <c r="AG713" i="9"/>
  <c r="AL713" i="9"/>
  <c r="AM712" i="9"/>
  <c r="AL658" i="9"/>
  <c r="AQ719" i="9"/>
  <c r="AR718" i="9"/>
  <c r="AQ726" i="9"/>
  <c r="AR72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AV298" i="9"/>
  <c r="AW297" i="9"/>
  <c r="AG298" i="9"/>
  <c r="AH297" i="9"/>
  <c r="K341" i="9"/>
  <c r="L340" i="9"/>
  <c r="L297" i="9"/>
  <c r="K298" i="9"/>
  <c r="AM297" i="9"/>
  <c r="AL298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K485" i="9"/>
  <c r="L484" i="9"/>
  <c r="AV455" i="9"/>
  <c r="AW454" i="9"/>
  <c r="AM485" i="9"/>
  <c r="AL486" i="9"/>
  <c r="AQ456" i="9"/>
  <c r="AR455" i="9"/>
  <c r="L490" i="9"/>
  <c r="K491" i="9"/>
  <c r="K495" i="9"/>
  <c r="L495" i="9" s="1"/>
  <c r="L494" i="9"/>
  <c r="AM435" i="9"/>
  <c r="AR470" i="9"/>
  <c r="AQ471" i="9"/>
  <c r="AV485" i="9"/>
  <c r="AW484" i="9"/>
  <c r="CF505" i="9"/>
  <c r="N505" i="9"/>
  <c r="AV469" i="9"/>
  <c r="AH490" i="9"/>
  <c r="AG491" i="9"/>
  <c r="AQ486" i="9"/>
  <c r="AL491" i="9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H470" i="9"/>
  <c r="K521" i="9"/>
  <c r="AG508" i="9"/>
  <c r="K528" i="9"/>
  <c r="L527" i="9"/>
  <c r="AV516" i="9"/>
  <c r="AW515" i="9"/>
  <c r="N532" i="9"/>
  <c r="AH515" i="9"/>
  <c r="AG516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V523" i="9" l="1"/>
  <c r="AW523" i="9" s="1"/>
  <c r="AQ522" i="9"/>
  <c r="AL706" i="9"/>
  <c r="AM706" i="9" s="1"/>
  <c r="AW512" i="9"/>
  <c r="AW521" i="9"/>
  <c r="AG487" i="9"/>
  <c r="AH487" i="9" s="1"/>
  <c r="L469" i="9"/>
  <c r="N469" i="9" s="1"/>
  <c r="AW661" i="9"/>
  <c r="AQ673" i="9"/>
  <c r="AQ674" i="9" s="1"/>
  <c r="AR646" i="9"/>
  <c r="AH485" i="9"/>
  <c r="AG455" i="9"/>
  <c r="AH455" i="9" s="1"/>
  <c r="AL529" i="9"/>
  <c r="AM529" i="9" s="1"/>
  <c r="AV492" i="9"/>
  <c r="AW492" i="9" s="1"/>
  <c r="AV437" i="9"/>
  <c r="AV438" i="9" s="1"/>
  <c r="AW670" i="9"/>
  <c r="AV672" i="9"/>
  <c r="AV673" i="9" s="1"/>
  <c r="AW342" i="9"/>
  <c r="AH658" i="9"/>
  <c r="AL455" i="9"/>
  <c r="AL456" i="9" s="1"/>
  <c r="AW646" i="9"/>
  <c r="AL509" i="9"/>
  <c r="AM509" i="9" s="1"/>
  <c r="AW660" i="9"/>
  <c r="AR490" i="9"/>
  <c r="K695" i="9"/>
  <c r="L695" i="9" s="1"/>
  <c r="N695" i="9" s="1"/>
  <c r="AH529" i="9"/>
  <c r="AQ518" i="9"/>
  <c r="AR518" i="9" s="1"/>
  <c r="AR645" i="9"/>
  <c r="AG671" i="9"/>
  <c r="AG672" i="9" s="1"/>
  <c r="AM725" i="9"/>
  <c r="AV529" i="9"/>
  <c r="AV530" i="9" s="1"/>
  <c r="AW530" i="9" s="1"/>
  <c r="AM689" i="9"/>
  <c r="AM726" i="9"/>
  <c r="AG689" i="9"/>
  <c r="AH689" i="9" s="1"/>
  <c r="AG695" i="9"/>
  <c r="AH695" i="9" s="1"/>
  <c r="AM645" i="9"/>
  <c r="AH594" i="9"/>
  <c r="AG726" i="9"/>
  <c r="AG727" i="9" s="1"/>
  <c r="AH727" i="9" s="1"/>
  <c r="N687" i="9"/>
  <c r="AG710" i="9"/>
  <c r="AH710" i="9" s="1"/>
  <c r="AR552" i="9"/>
  <c r="CF624" i="9"/>
  <c r="N624" i="9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717" i="9"/>
  <c r="AL714" i="9"/>
  <c r="AM713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R693" i="9"/>
  <c r="AQ69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L299" i="9"/>
  <c r="AM298" i="9"/>
  <c r="L512" i="9"/>
  <c r="K513" i="9"/>
  <c r="L513" i="9" s="1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G437" i="9"/>
  <c r="AH436" i="9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AL530" i="9" l="1"/>
  <c r="AM530" i="9" s="1"/>
  <c r="AR673" i="9"/>
  <c r="AG456" i="9"/>
  <c r="AH456" i="9" s="1"/>
  <c r="CF469" i="9"/>
  <c r="AV524" i="9"/>
  <c r="AV525" i="9" s="1"/>
  <c r="AW525" i="9" s="1"/>
  <c r="AM455" i="9"/>
  <c r="AW437" i="9"/>
  <c r="AW529" i="9"/>
  <c r="AH671" i="9"/>
  <c r="AW672" i="9"/>
  <c r="AH726" i="9"/>
  <c r="N706" i="9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R274" i="9" s="1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G457" i="9" l="1"/>
  <c r="AG458" i="9" s="1"/>
  <c r="AH458" i="9" s="1"/>
  <c r="AW524" i="9"/>
  <c r="AQ275" i="9"/>
  <c r="AW192" i="9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H458" i="6"/>
  <c r="BG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G459" i="9" l="1"/>
  <c r="AH459" i="9" s="1"/>
  <c r="AH457" i="9"/>
  <c r="AG100" i="9"/>
  <c r="AG101" i="9" s="1"/>
  <c r="AM268" i="9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G460" i="9" l="1"/>
  <c r="AH100" i="9"/>
  <c r="AH215" i="9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H549" i="6"/>
  <c r="BG549" i="6"/>
  <c r="L549" i="6"/>
  <c r="BH548" i="6"/>
  <c r="BG548" i="6"/>
  <c r="L548" i="6"/>
  <c r="BH547" i="6"/>
  <c r="BG547" i="6"/>
  <c r="L547" i="6"/>
  <c r="BH546" i="6"/>
  <c r="BG546" i="6"/>
  <c r="L546" i="6"/>
  <c r="BH545" i="6"/>
  <c r="BG545" i="6"/>
  <c r="L545" i="6"/>
  <c r="BH544" i="6"/>
  <c r="BG544" i="6"/>
  <c r="L544" i="6"/>
  <c r="BH543" i="6"/>
  <c r="BG543" i="6"/>
  <c r="L543" i="6"/>
  <c r="BH542" i="6"/>
  <c r="BG542" i="6"/>
  <c r="L542" i="6"/>
  <c r="BH541" i="6"/>
  <c r="BG541" i="6"/>
  <c r="L541" i="6"/>
  <c r="BH540" i="6"/>
  <c r="BG540" i="6"/>
  <c r="L540" i="6"/>
  <c r="BH539" i="6"/>
  <c r="BG539" i="6"/>
  <c r="L539" i="6"/>
  <c r="BH538" i="6"/>
  <c r="BG538" i="6"/>
  <c r="L538" i="6"/>
  <c r="BH537" i="6"/>
  <c r="BG537" i="6"/>
  <c r="L537" i="6"/>
  <c r="BH536" i="6"/>
  <c r="BG536" i="6"/>
  <c r="L536" i="6"/>
  <c r="BH535" i="6"/>
  <c r="BG535" i="6"/>
  <c r="L535" i="6"/>
  <c r="BH534" i="6"/>
  <c r="BG534" i="6"/>
  <c r="L534" i="6"/>
  <c r="M534" i="6" s="1"/>
  <c r="BH533" i="6"/>
  <c r="BG533" i="6"/>
  <c r="L533" i="6"/>
  <c r="M533" i="6" s="1"/>
  <c r="BH532" i="6"/>
  <c r="BG532" i="6"/>
  <c r="L532" i="6"/>
  <c r="M532" i="6" s="1"/>
  <c r="BH531" i="6"/>
  <c r="BG531" i="6"/>
  <c r="L531" i="6"/>
  <c r="M531" i="6" s="1"/>
  <c r="BH530" i="6"/>
  <c r="BG530" i="6"/>
  <c r="L530" i="6"/>
  <c r="M530" i="6" s="1"/>
  <c r="BH529" i="6"/>
  <c r="BG529" i="6"/>
  <c r="L529" i="6"/>
  <c r="M529" i="6" s="1"/>
  <c r="BH528" i="6"/>
  <c r="BG528" i="6"/>
  <c r="L528" i="6"/>
  <c r="M528" i="6" s="1"/>
  <c r="BH527" i="6"/>
  <c r="BG527" i="6"/>
  <c r="L527" i="6"/>
  <c r="BH526" i="6"/>
  <c r="BG526" i="6"/>
  <c r="L526" i="6"/>
  <c r="BH525" i="6"/>
  <c r="BG525" i="6"/>
  <c r="L525" i="6"/>
  <c r="M525" i="6" s="1"/>
  <c r="BH524" i="6"/>
  <c r="BG524" i="6"/>
  <c r="L524" i="6"/>
  <c r="M524" i="6" s="1"/>
  <c r="BH523" i="6"/>
  <c r="BG523" i="6"/>
  <c r="L523" i="6"/>
  <c r="M523" i="6" s="1"/>
  <c r="BH522" i="6"/>
  <c r="BG522" i="6"/>
  <c r="L522" i="6"/>
  <c r="M522" i="6" s="1"/>
  <c r="BH521" i="6"/>
  <c r="BG521" i="6"/>
  <c r="L521" i="6"/>
  <c r="M521" i="6" s="1"/>
  <c r="BH520" i="6"/>
  <c r="BG520" i="6"/>
  <c r="L520" i="6"/>
  <c r="M520" i="6" s="1"/>
  <c r="BH519" i="6"/>
  <c r="BG519" i="6"/>
  <c r="L519" i="6"/>
  <c r="M519" i="6" s="1"/>
  <c r="BH518" i="6"/>
  <c r="BG518" i="6"/>
  <c r="L518" i="6"/>
  <c r="M518" i="6" s="1"/>
  <c r="BH517" i="6"/>
  <c r="BG517" i="6"/>
  <c r="L517" i="6"/>
  <c r="BH516" i="6"/>
  <c r="BG516" i="6"/>
  <c r="L516" i="6"/>
  <c r="M516" i="6" s="1"/>
  <c r="BH515" i="6"/>
  <c r="BG515" i="6"/>
  <c r="L515" i="6"/>
  <c r="BH514" i="6"/>
  <c r="BG514" i="6"/>
  <c r="L514" i="6"/>
  <c r="BH513" i="6"/>
  <c r="BG513" i="6"/>
  <c r="L513" i="6"/>
  <c r="BH512" i="6"/>
  <c r="BG512" i="6"/>
  <c r="L512" i="6"/>
  <c r="BH511" i="6"/>
  <c r="BG511" i="6"/>
  <c r="L511" i="6"/>
  <c r="BH510" i="6"/>
  <c r="BG510" i="6"/>
  <c r="L510" i="6"/>
  <c r="BH509" i="6"/>
  <c r="BG509" i="6"/>
  <c r="L509" i="6"/>
  <c r="BH508" i="6"/>
  <c r="BG508" i="6"/>
  <c r="L508" i="6"/>
  <c r="BH507" i="6"/>
  <c r="BG507" i="6"/>
  <c r="L507" i="6"/>
  <c r="BH506" i="6"/>
  <c r="BG506" i="6"/>
  <c r="L506" i="6"/>
  <c r="BH505" i="6"/>
  <c r="BG505" i="6"/>
  <c r="L505" i="6"/>
  <c r="BH504" i="6"/>
  <c r="BG504" i="6"/>
  <c r="L504" i="6"/>
  <c r="BH503" i="6"/>
  <c r="BG503" i="6"/>
  <c r="L503" i="6"/>
  <c r="BH502" i="6"/>
  <c r="BG502" i="6"/>
  <c r="L502" i="6"/>
  <c r="BH501" i="6"/>
  <c r="BG501" i="6"/>
  <c r="L501" i="6"/>
  <c r="M501" i="6" s="1"/>
  <c r="BH500" i="6"/>
  <c r="BG500" i="6"/>
  <c r="L500" i="6"/>
  <c r="M500" i="6" s="1"/>
  <c r="BH499" i="6"/>
  <c r="BG499" i="6"/>
  <c r="L499" i="6"/>
  <c r="M499" i="6" s="1"/>
  <c r="BH498" i="6"/>
  <c r="BG498" i="6"/>
  <c r="L498" i="6"/>
  <c r="M498" i="6" s="1"/>
  <c r="BH497" i="6"/>
  <c r="BG497" i="6"/>
  <c r="L497" i="6"/>
  <c r="M497" i="6" s="1"/>
  <c r="BH496" i="6"/>
  <c r="BG496" i="6"/>
  <c r="L496" i="6"/>
  <c r="BH495" i="6"/>
  <c r="BG495" i="6"/>
  <c r="L495" i="6"/>
  <c r="BH494" i="6"/>
  <c r="BG494" i="6"/>
  <c r="L494" i="6"/>
  <c r="BH493" i="6"/>
  <c r="BG493" i="6"/>
  <c r="L493" i="6"/>
  <c r="M493" i="6" s="1"/>
  <c r="BH492" i="6"/>
  <c r="BG492" i="6"/>
  <c r="L492" i="6"/>
  <c r="M492" i="6" s="1"/>
  <c r="BH491" i="6"/>
  <c r="BG491" i="6"/>
  <c r="L491" i="6"/>
  <c r="M491" i="6" s="1"/>
  <c r="BH490" i="6"/>
  <c r="BG490" i="6"/>
  <c r="L490" i="6"/>
  <c r="M490" i="6" s="1"/>
  <c r="BH489" i="6"/>
  <c r="BG489" i="6"/>
  <c r="L489" i="6"/>
  <c r="M489" i="6" s="1"/>
  <c r="BH488" i="6"/>
  <c r="BG488" i="6"/>
  <c r="L488" i="6"/>
  <c r="M488" i="6" s="1"/>
  <c r="BH487" i="6"/>
  <c r="BG487" i="6"/>
  <c r="L487" i="6"/>
  <c r="M487" i="6" s="1"/>
  <c r="BH486" i="6"/>
  <c r="BG486" i="6"/>
  <c r="L486" i="6"/>
  <c r="M486" i="6" s="1"/>
  <c r="BH485" i="6"/>
  <c r="BG485" i="6"/>
  <c r="L485" i="6"/>
  <c r="BH484" i="6"/>
  <c r="BG484" i="6"/>
  <c r="L484" i="6"/>
  <c r="M484" i="6" s="1"/>
  <c r="BH483" i="6"/>
  <c r="BG483" i="6"/>
  <c r="L483" i="6"/>
  <c r="BH482" i="6"/>
  <c r="BG482" i="6"/>
  <c r="L482" i="6"/>
  <c r="BH481" i="6"/>
  <c r="BG481" i="6"/>
  <c r="L481" i="6"/>
  <c r="BH480" i="6"/>
  <c r="BG480" i="6"/>
  <c r="L480" i="6"/>
  <c r="BH479" i="6"/>
  <c r="BG479" i="6"/>
  <c r="L479" i="6"/>
  <c r="BH478" i="6"/>
  <c r="BG478" i="6"/>
  <c r="L478" i="6"/>
  <c r="BH477" i="6"/>
  <c r="BG477" i="6"/>
  <c r="L477" i="6"/>
  <c r="BH476" i="6"/>
  <c r="BG476" i="6"/>
  <c r="L476" i="6"/>
  <c r="BH475" i="6"/>
  <c r="BG475" i="6"/>
  <c r="L475" i="6"/>
  <c r="BH474" i="6"/>
  <c r="BG474" i="6"/>
  <c r="L474" i="6"/>
  <c r="BH473" i="6"/>
  <c r="BG473" i="6"/>
  <c r="L473" i="6"/>
  <c r="BH472" i="6"/>
  <c r="BG472" i="6"/>
  <c r="L472" i="6"/>
  <c r="BH471" i="6"/>
  <c r="BG471" i="6"/>
  <c r="L471" i="6"/>
  <c r="BH470" i="6"/>
  <c r="BG470" i="6"/>
  <c r="L470" i="6"/>
  <c r="BH469" i="6"/>
  <c r="BG469" i="6"/>
  <c r="L469" i="6"/>
  <c r="BH468" i="6"/>
  <c r="BG468" i="6"/>
  <c r="L468" i="6"/>
  <c r="BH467" i="6"/>
  <c r="BG467" i="6"/>
  <c r="L467" i="6"/>
  <c r="BH466" i="6"/>
  <c r="BG466" i="6"/>
  <c r="L466" i="6"/>
  <c r="BH465" i="6"/>
  <c r="BG465" i="6"/>
  <c r="L465" i="6"/>
  <c r="M465" i="6" s="1"/>
  <c r="BH464" i="6"/>
  <c r="BG464" i="6"/>
  <c r="L464" i="6"/>
  <c r="M464" i="6" s="1"/>
  <c r="BH463" i="6"/>
  <c r="BG463" i="6"/>
  <c r="L463" i="6"/>
  <c r="M463" i="6" s="1"/>
  <c r="BH462" i="6"/>
  <c r="BG462" i="6"/>
  <c r="L462" i="6"/>
  <c r="M462" i="6" s="1"/>
  <c r="BH461" i="6"/>
  <c r="BG461" i="6"/>
  <c r="L461" i="6"/>
  <c r="M461" i="6" s="1"/>
  <c r="BH460" i="6"/>
  <c r="BG460" i="6"/>
  <c r="L460" i="6"/>
  <c r="BH459" i="6"/>
  <c r="BG459" i="6"/>
  <c r="L459" i="6"/>
  <c r="BH457" i="6"/>
  <c r="BG457" i="6"/>
  <c r="L457" i="6"/>
  <c r="M457" i="6" s="1"/>
  <c r="BH456" i="6"/>
  <c r="BG456" i="6"/>
  <c r="L456" i="6"/>
  <c r="M456" i="6" s="1"/>
  <c r="BH455" i="6"/>
  <c r="BG455" i="6"/>
  <c r="L455" i="6"/>
  <c r="M455" i="6" s="1"/>
  <c r="BH454" i="6"/>
  <c r="BG454" i="6"/>
  <c r="L454" i="6"/>
  <c r="BH453" i="6"/>
  <c r="BG453" i="6"/>
  <c r="L453" i="6"/>
  <c r="M453" i="6" s="1"/>
  <c r="BH452" i="6"/>
  <c r="BG452" i="6"/>
  <c r="L452" i="6"/>
  <c r="M452" i="6" s="1"/>
  <c r="BH451" i="6"/>
  <c r="BG451" i="6"/>
  <c r="L451" i="6"/>
  <c r="M451" i="6" s="1"/>
  <c r="BH450" i="6"/>
  <c r="BG450" i="6"/>
  <c r="L450" i="6"/>
  <c r="M450" i="6" s="1"/>
  <c r="BH449" i="6"/>
  <c r="BG449" i="6"/>
  <c r="L449" i="6"/>
  <c r="BH448" i="6"/>
  <c r="BG448" i="6"/>
  <c r="L448" i="6"/>
  <c r="M448" i="6" s="1"/>
  <c r="BH447" i="6"/>
  <c r="BG447" i="6"/>
  <c r="L447" i="6"/>
  <c r="M447" i="6" s="1"/>
  <c r="BH446" i="6"/>
  <c r="BG446" i="6"/>
  <c r="L446" i="6"/>
  <c r="M446" i="6" s="1"/>
  <c r="BH445" i="6"/>
  <c r="BG445" i="6"/>
  <c r="L445" i="6"/>
  <c r="M445" i="6" s="1"/>
  <c r="BH444" i="6"/>
  <c r="BG444" i="6"/>
  <c r="L444" i="6"/>
  <c r="M444" i="6" s="1"/>
  <c r="BH443" i="6"/>
  <c r="BG443" i="6"/>
  <c r="L443" i="6"/>
  <c r="BH442" i="6"/>
  <c r="BG442" i="6"/>
  <c r="L442" i="6"/>
  <c r="M442" i="6" s="1"/>
  <c r="BH441" i="6"/>
  <c r="BG441" i="6"/>
  <c r="L441" i="6"/>
  <c r="BH440" i="6"/>
  <c r="BG440" i="6"/>
  <c r="L440" i="6"/>
  <c r="BH439" i="6"/>
  <c r="BG439" i="6"/>
  <c r="L439" i="6"/>
  <c r="BH438" i="6"/>
  <c r="BG438" i="6"/>
  <c r="L438" i="6"/>
  <c r="BH437" i="6"/>
  <c r="BG437" i="6"/>
  <c r="L437" i="6"/>
  <c r="BH436" i="6"/>
  <c r="BG436" i="6"/>
  <c r="L436" i="6"/>
  <c r="BH435" i="6"/>
  <c r="BG435" i="6"/>
  <c r="L435" i="6"/>
  <c r="BH434" i="6"/>
  <c r="L434" i="6"/>
  <c r="BH433" i="6"/>
  <c r="BG433" i="6"/>
  <c r="L433" i="6"/>
  <c r="BH432" i="6"/>
  <c r="BG432" i="6"/>
  <c r="L432" i="6"/>
  <c r="BH431" i="6"/>
  <c r="BG431" i="6"/>
  <c r="L431" i="6"/>
  <c r="BH430" i="6"/>
  <c r="BG430" i="6"/>
  <c r="L430" i="6"/>
  <c r="BH429" i="6"/>
  <c r="BG429" i="6"/>
  <c r="L429" i="6"/>
  <c r="BH428" i="6"/>
  <c r="BG428" i="6"/>
  <c r="L428" i="6"/>
  <c r="BH427" i="6"/>
  <c r="BG427" i="6"/>
  <c r="L427" i="6"/>
  <c r="BH426" i="6"/>
  <c r="BG426" i="6"/>
  <c r="L426" i="6"/>
  <c r="M426" i="6" s="1"/>
  <c r="BH425" i="6"/>
  <c r="BG425" i="6"/>
  <c r="L425" i="6"/>
  <c r="M425" i="6" s="1"/>
  <c r="BH424" i="6"/>
  <c r="BG424" i="6"/>
  <c r="L424" i="6"/>
  <c r="M424" i="6" s="1"/>
  <c r="BH423" i="6"/>
  <c r="BG423" i="6"/>
  <c r="L423" i="6"/>
  <c r="M423" i="6" s="1"/>
  <c r="BH422" i="6"/>
  <c r="BG422" i="6"/>
  <c r="L422" i="6"/>
  <c r="M422" i="6" s="1"/>
  <c r="BH421" i="6"/>
  <c r="BG421" i="6"/>
  <c r="L421" i="6"/>
  <c r="M421" i="6" s="1"/>
  <c r="BH420" i="6"/>
  <c r="BG420" i="6"/>
  <c r="L420" i="6"/>
  <c r="M420" i="6" s="1"/>
  <c r="BH419" i="6"/>
  <c r="BG419" i="6"/>
  <c r="L419" i="6"/>
  <c r="M419" i="6" s="1"/>
  <c r="BH418" i="6"/>
  <c r="BG418" i="6"/>
  <c r="L418" i="6"/>
  <c r="M418" i="6" s="1"/>
  <c r="BH417" i="6"/>
  <c r="BG417" i="6"/>
  <c r="L417" i="6"/>
  <c r="M417" i="6" s="1"/>
  <c r="BH416" i="6"/>
  <c r="BG416" i="6"/>
  <c r="L416" i="6"/>
  <c r="M416" i="6" s="1"/>
  <c r="BH415" i="6"/>
  <c r="BG415" i="6"/>
  <c r="L415" i="6"/>
  <c r="M415" i="6" s="1"/>
  <c r="BH414" i="6"/>
  <c r="BG414" i="6"/>
  <c r="L414" i="6"/>
  <c r="M414" i="6" s="1"/>
  <c r="BH413" i="6"/>
  <c r="BG413" i="6"/>
  <c r="L413" i="6"/>
  <c r="M413" i="6" s="1"/>
  <c r="BH412" i="6"/>
  <c r="BG412" i="6"/>
  <c r="L412" i="6"/>
  <c r="BH411" i="6"/>
  <c r="BG411" i="6"/>
  <c r="L411" i="6"/>
  <c r="BH410" i="6"/>
  <c r="BG410" i="6"/>
  <c r="L410" i="6"/>
  <c r="BH409" i="6"/>
  <c r="BG409" i="6"/>
  <c r="L409" i="6"/>
  <c r="M409" i="6" s="1"/>
  <c r="BH408" i="6"/>
  <c r="BG408" i="6"/>
  <c r="L408" i="6"/>
  <c r="BH407" i="6"/>
  <c r="BG407" i="6"/>
  <c r="L407" i="6"/>
  <c r="BH406" i="6"/>
  <c r="BG406" i="6"/>
  <c r="L406" i="6"/>
  <c r="BH405" i="6"/>
  <c r="BG405" i="6"/>
  <c r="L405" i="6"/>
  <c r="BH404" i="6"/>
  <c r="BG404" i="6"/>
  <c r="L404" i="6"/>
  <c r="BH403" i="6"/>
  <c r="BG403" i="6"/>
  <c r="L403" i="6"/>
  <c r="BH402" i="6"/>
  <c r="BG402" i="6"/>
  <c r="L402" i="6"/>
  <c r="BH401" i="6"/>
  <c r="BG401" i="6"/>
  <c r="L401" i="6"/>
  <c r="BH400" i="6"/>
  <c r="BG400" i="6"/>
  <c r="L400" i="6"/>
  <c r="BH399" i="6"/>
  <c r="BG399" i="6"/>
  <c r="L399" i="6"/>
  <c r="BH398" i="6"/>
  <c r="BG398" i="6"/>
  <c r="L398" i="6"/>
  <c r="BH397" i="6"/>
  <c r="BG397" i="6"/>
  <c r="L397" i="6"/>
  <c r="BH396" i="6"/>
  <c r="BG396" i="6"/>
  <c r="L396" i="6"/>
  <c r="BH395" i="6"/>
  <c r="BG395" i="6"/>
  <c r="L395" i="6"/>
  <c r="BH394" i="6"/>
  <c r="BG394" i="6"/>
  <c r="L394" i="6"/>
  <c r="BH393" i="6"/>
  <c r="BG393" i="6"/>
  <c r="L393" i="6"/>
  <c r="BH392" i="6"/>
  <c r="BG392" i="6"/>
  <c r="L392" i="6"/>
  <c r="BH391" i="6"/>
  <c r="BG391" i="6"/>
  <c r="L391" i="6"/>
  <c r="BH390" i="6"/>
  <c r="BG390" i="6"/>
  <c r="L390" i="6"/>
  <c r="BH389" i="6"/>
  <c r="BG389" i="6"/>
  <c r="L389" i="6"/>
  <c r="BH388" i="6"/>
  <c r="BG388" i="6"/>
  <c r="L388" i="6"/>
  <c r="BH387" i="6"/>
  <c r="BG387" i="6"/>
  <c r="L387" i="6"/>
  <c r="BH386" i="6"/>
  <c r="BG386" i="6"/>
  <c r="L386" i="6"/>
  <c r="BH385" i="6"/>
  <c r="BG385" i="6"/>
  <c r="L385" i="6"/>
  <c r="BH384" i="6"/>
  <c r="BG384" i="6"/>
  <c r="L384" i="6"/>
  <c r="BH383" i="6"/>
  <c r="BG383" i="6"/>
  <c r="L383" i="6"/>
  <c r="BH382" i="6"/>
  <c r="BG382" i="6"/>
  <c r="L382" i="6"/>
  <c r="BH381" i="6"/>
  <c r="BG381" i="6"/>
  <c r="L381" i="6"/>
  <c r="BH380" i="6"/>
  <c r="BG380" i="6"/>
  <c r="L380" i="6"/>
  <c r="BH379" i="6"/>
  <c r="BG379" i="6"/>
  <c r="L379" i="6"/>
  <c r="BH378" i="6"/>
  <c r="BG378" i="6"/>
  <c r="L378" i="6"/>
  <c r="BH377" i="6"/>
  <c r="BG377" i="6"/>
  <c r="L377" i="6"/>
  <c r="BH376" i="6"/>
  <c r="BG376" i="6"/>
  <c r="L376" i="6"/>
  <c r="BH375" i="6"/>
  <c r="BG375" i="6"/>
  <c r="L375" i="6"/>
  <c r="BH374" i="6"/>
  <c r="BG374" i="6"/>
  <c r="L374" i="6"/>
  <c r="BH373" i="6"/>
  <c r="BG373" i="6"/>
  <c r="L373" i="6"/>
  <c r="BH372" i="6"/>
  <c r="BG372" i="6"/>
  <c r="L372" i="6"/>
  <c r="BH371" i="6"/>
  <c r="BG371" i="6"/>
  <c r="L371" i="6"/>
  <c r="BH370" i="6"/>
  <c r="BG370" i="6"/>
  <c r="L370" i="6"/>
  <c r="M370" i="6" s="1"/>
  <c r="BH369" i="6"/>
  <c r="BG369" i="6"/>
  <c r="L369" i="6"/>
  <c r="M369" i="6" s="1"/>
  <c r="BH368" i="6"/>
  <c r="BG368" i="6"/>
  <c r="L368" i="6"/>
  <c r="M368" i="6" s="1"/>
  <c r="BH367" i="6"/>
  <c r="BG367" i="6"/>
  <c r="L367" i="6"/>
  <c r="BH366" i="6"/>
  <c r="BG366" i="6"/>
  <c r="L366" i="6"/>
  <c r="M366" i="6" s="1"/>
  <c r="BH365" i="6"/>
  <c r="BG365" i="6"/>
  <c r="L365" i="6"/>
  <c r="M365" i="6" s="1"/>
  <c r="BH364" i="6"/>
  <c r="BG364" i="6"/>
  <c r="L364" i="6"/>
  <c r="M364" i="6" s="1"/>
  <c r="BH363" i="6"/>
  <c r="BG363" i="6"/>
  <c r="L363" i="6"/>
  <c r="M363" i="6" s="1"/>
  <c r="BH362" i="6"/>
  <c r="BG362" i="6"/>
  <c r="L362" i="6"/>
  <c r="M362" i="6" s="1"/>
  <c r="BH361" i="6"/>
  <c r="BG361" i="6"/>
  <c r="L361" i="6"/>
  <c r="M361" i="6" s="1"/>
  <c r="BH360" i="6"/>
  <c r="BG360" i="6"/>
  <c r="L360" i="6"/>
  <c r="BH359" i="6"/>
  <c r="BG359" i="6"/>
  <c r="L359" i="6"/>
  <c r="M359" i="6" s="1"/>
  <c r="BH358" i="6"/>
  <c r="BG358" i="6"/>
  <c r="L358" i="6"/>
  <c r="M358" i="6" s="1"/>
  <c r="BH357" i="6"/>
  <c r="BG357" i="6"/>
  <c r="L357" i="6"/>
  <c r="M357" i="6" s="1"/>
  <c r="BH356" i="6"/>
  <c r="BG356" i="6"/>
  <c r="L356" i="6"/>
  <c r="M356" i="6" s="1"/>
  <c r="BH355" i="6"/>
  <c r="BG355" i="6"/>
  <c r="L355" i="6"/>
  <c r="M355" i="6" s="1"/>
  <c r="BH354" i="6"/>
  <c r="BG354" i="6"/>
  <c r="L354" i="6"/>
  <c r="M354" i="6" s="1"/>
  <c r="BH353" i="6"/>
  <c r="BG353" i="6"/>
  <c r="L353" i="6"/>
  <c r="M353" i="6" s="1"/>
  <c r="BH352" i="6"/>
  <c r="BG352" i="6"/>
  <c r="L352" i="6"/>
  <c r="M352" i="6" s="1"/>
  <c r="BH351" i="6"/>
  <c r="BG351" i="6"/>
  <c r="L351" i="6"/>
  <c r="M351" i="6" s="1"/>
  <c r="BH350" i="6"/>
  <c r="BG350" i="6"/>
  <c r="L350" i="6"/>
  <c r="M350" i="6" s="1"/>
  <c r="BH349" i="6"/>
  <c r="BG349" i="6"/>
  <c r="L349" i="6"/>
  <c r="M349" i="6" s="1"/>
  <c r="BH348" i="6"/>
  <c r="BG348" i="6"/>
  <c r="L348" i="6"/>
  <c r="M348" i="6" s="1"/>
  <c r="BH347" i="6"/>
  <c r="BG347" i="6"/>
  <c r="L347" i="6"/>
  <c r="BH346" i="6"/>
  <c r="BG346" i="6"/>
  <c r="L346" i="6"/>
  <c r="M346" i="6" s="1"/>
  <c r="BH345" i="6"/>
  <c r="BG345" i="6"/>
  <c r="L345" i="6"/>
  <c r="M345" i="6" s="1"/>
  <c r="BH344" i="6"/>
  <c r="BG344" i="6"/>
  <c r="L344" i="6"/>
  <c r="M344" i="6" s="1"/>
  <c r="BH343" i="6"/>
  <c r="BG343" i="6"/>
  <c r="L343" i="6"/>
  <c r="M343" i="6" s="1"/>
  <c r="BH342" i="6"/>
  <c r="BG342" i="6"/>
  <c r="L342" i="6"/>
  <c r="M342" i="6" s="1"/>
  <c r="BH341" i="6"/>
  <c r="BG341" i="6"/>
  <c r="L341" i="6"/>
  <c r="BH340" i="6"/>
  <c r="BG340" i="6"/>
  <c r="L340" i="6"/>
  <c r="M340" i="6" s="1"/>
  <c r="BH339" i="6"/>
  <c r="BG339" i="6"/>
  <c r="L339" i="6"/>
  <c r="M339" i="6" s="1"/>
  <c r="BH338" i="6"/>
  <c r="BG338" i="6"/>
  <c r="L338" i="6"/>
  <c r="M338" i="6" s="1"/>
  <c r="BH337" i="6"/>
  <c r="BG337" i="6"/>
  <c r="L337" i="6"/>
  <c r="M337" i="6" s="1"/>
  <c r="BH336" i="6"/>
  <c r="BG336" i="6"/>
  <c r="L336" i="6"/>
  <c r="BH335" i="6"/>
  <c r="BG335" i="6"/>
  <c r="L335" i="6"/>
  <c r="BH334" i="6"/>
  <c r="BG334" i="6"/>
  <c r="L334" i="6"/>
  <c r="M334" i="6" s="1"/>
  <c r="BH333" i="6"/>
  <c r="BG333" i="6"/>
  <c r="L333" i="6"/>
  <c r="M333" i="6" s="1"/>
  <c r="BH332" i="6"/>
  <c r="BG332" i="6"/>
  <c r="L332" i="6"/>
  <c r="M332" i="6" s="1"/>
  <c r="BH331" i="6"/>
  <c r="BG331" i="6"/>
  <c r="L331" i="6"/>
  <c r="BH330" i="6"/>
  <c r="BG330" i="6"/>
  <c r="L330" i="6"/>
  <c r="BH329" i="6"/>
  <c r="BG329" i="6"/>
  <c r="L329" i="6"/>
  <c r="BH328" i="6"/>
  <c r="BG328" i="6"/>
  <c r="L328" i="6"/>
  <c r="M328" i="6" s="1"/>
  <c r="BH327" i="6"/>
  <c r="BG327" i="6"/>
  <c r="L327" i="6"/>
  <c r="BH326" i="6"/>
  <c r="BG326" i="6"/>
  <c r="L326" i="6"/>
  <c r="BH325" i="6"/>
  <c r="BG325" i="6"/>
  <c r="L325" i="6"/>
  <c r="BH324" i="6"/>
  <c r="BG324" i="6"/>
  <c r="L324" i="6"/>
  <c r="BH323" i="6"/>
  <c r="BG323" i="6"/>
  <c r="L323" i="6"/>
  <c r="BH322" i="6"/>
  <c r="BG322" i="6"/>
  <c r="L322" i="6"/>
  <c r="BH321" i="6"/>
  <c r="BG321" i="6"/>
  <c r="L321" i="6"/>
  <c r="BH320" i="6"/>
  <c r="BG320" i="6"/>
  <c r="L320" i="6"/>
  <c r="BH319" i="6"/>
  <c r="BG319" i="6"/>
  <c r="L319" i="6"/>
  <c r="BH318" i="6"/>
  <c r="BG318" i="6"/>
  <c r="L318" i="6"/>
  <c r="BH317" i="6"/>
  <c r="BG317" i="6"/>
  <c r="L317" i="6"/>
  <c r="BH316" i="6"/>
  <c r="BG316" i="6"/>
  <c r="L316" i="6"/>
  <c r="BH315" i="6"/>
  <c r="BG315" i="6"/>
  <c r="L315" i="6"/>
  <c r="BH314" i="6"/>
  <c r="BG314" i="6"/>
  <c r="L314" i="6"/>
  <c r="BH313" i="6"/>
  <c r="BG313" i="6"/>
  <c r="L313" i="6"/>
  <c r="BH312" i="6"/>
  <c r="BG312" i="6"/>
  <c r="L312" i="6"/>
  <c r="BH311" i="6"/>
  <c r="BG311" i="6"/>
  <c r="L311" i="6"/>
  <c r="BH310" i="6"/>
  <c r="BG310" i="6"/>
  <c r="L310" i="6"/>
  <c r="BH309" i="6"/>
  <c r="BG309" i="6"/>
  <c r="L309" i="6"/>
  <c r="BH308" i="6"/>
  <c r="BG308" i="6"/>
  <c r="L308" i="6"/>
  <c r="BH307" i="6"/>
  <c r="BG307" i="6"/>
  <c r="L307" i="6"/>
  <c r="BH306" i="6"/>
  <c r="BG306" i="6"/>
  <c r="L306" i="6"/>
  <c r="BH305" i="6"/>
  <c r="BG305" i="6"/>
  <c r="L305" i="6"/>
  <c r="BH304" i="6"/>
  <c r="BG304" i="6"/>
  <c r="L304" i="6"/>
  <c r="BH303" i="6"/>
  <c r="BG303" i="6"/>
  <c r="L303" i="6"/>
  <c r="BH302" i="6"/>
  <c r="BG302" i="6"/>
  <c r="L302" i="6"/>
  <c r="BH301" i="6"/>
  <c r="BG301" i="6"/>
  <c r="L301" i="6"/>
  <c r="BH300" i="6"/>
  <c r="BG300" i="6"/>
  <c r="L300" i="6"/>
  <c r="BH299" i="6"/>
  <c r="BG299" i="6"/>
  <c r="L299" i="6"/>
  <c r="M299" i="6" s="1"/>
  <c r="BH298" i="6"/>
  <c r="BG298" i="6"/>
  <c r="L298" i="6"/>
  <c r="BH297" i="6"/>
  <c r="BG297" i="6"/>
  <c r="L297" i="6"/>
  <c r="BH296" i="6"/>
  <c r="BG296" i="6"/>
  <c r="L296" i="6"/>
  <c r="M296" i="6" s="1"/>
  <c r="BH295" i="6"/>
  <c r="BG295" i="6"/>
  <c r="L295" i="6"/>
  <c r="BH294" i="6"/>
  <c r="BG294" i="6"/>
  <c r="L294" i="6"/>
  <c r="M294" i="6" s="1"/>
  <c r="BH293" i="6"/>
  <c r="BG293" i="6"/>
  <c r="L293" i="6"/>
  <c r="M293" i="6" s="1"/>
  <c r="BH292" i="6"/>
  <c r="BG292" i="6"/>
  <c r="L292" i="6"/>
  <c r="M292" i="6" s="1"/>
  <c r="BH291" i="6"/>
  <c r="BG291" i="6"/>
  <c r="L291" i="6"/>
  <c r="M291" i="6" s="1"/>
  <c r="BH290" i="6"/>
  <c r="BG290" i="6"/>
  <c r="L290" i="6"/>
  <c r="M290" i="6" s="1"/>
  <c r="BH289" i="6"/>
  <c r="BG289" i="6"/>
  <c r="L289" i="6"/>
  <c r="BH288" i="6"/>
  <c r="BG288" i="6"/>
  <c r="L288" i="6"/>
  <c r="M288" i="6" s="1"/>
  <c r="BH287" i="6"/>
  <c r="BG287" i="6"/>
  <c r="L287" i="6"/>
  <c r="M287" i="6" s="1"/>
  <c r="BH286" i="6"/>
  <c r="BG286" i="6"/>
  <c r="L286" i="6"/>
  <c r="M286" i="6" s="1"/>
  <c r="BH285" i="6"/>
  <c r="BG285" i="6"/>
  <c r="L285" i="6"/>
  <c r="M285" i="6" s="1"/>
  <c r="BH284" i="6"/>
  <c r="BG284" i="6"/>
  <c r="L284" i="6"/>
  <c r="M284" i="6" s="1"/>
  <c r="BH283" i="6"/>
  <c r="BG283" i="6"/>
  <c r="L283" i="6"/>
  <c r="M283" i="6" s="1"/>
  <c r="BH282" i="6"/>
  <c r="BG282" i="6"/>
  <c r="L282" i="6"/>
  <c r="M282" i="6" s="1"/>
  <c r="BH281" i="6"/>
  <c r="BG281" i="6"/>
  <c r="L281" i="6"/>
  <c r="M281" i="6" s="1"/>
  <c r="BH280" i="6"/>
  <c r="BG280" i="6"/>
  <c r="L280" i="6"/>
  <c r="M280" i="6" s="1"/>
  <c r="BH279" i="6"/>
  <c r="BG279" i="6"/>
  <c r="L279" i="6"/>
  <c r="M279" i="6" s="1"/>
  <c r="BH278" i="6"/>
  <c r="BG278" i="6"/>
  <c r="L278" i="6"/>
  <c r="M278" i="6" s="1"/>
  <c r="BH277" i="6"/>
  <c r="BG277" i="6"/>
  <c r="L277" i="6"/>
  <c r="BH276" i="6"/>
  <c r="BG276" i="6"/>
  <c r="L276" i="6"/>
  <c r="M276" i="6" s="1"/>
  <c r="BH275" i="6"/>
  <c r="BG275" i="6"/>
  <c r="L275" i="6"/>
  <c r="M275" i="6" s="1"/>
  <c r="BH274" i="6"/>
  <c r="BG274" i="6"/>
  <c r="L274" i="6"/>
  <c r="M274" i="6" s="1"/>
  <c r="BH273" i="6"/>
  <c r="BG273" i="6"/>
  <c r="L273" i="6"/>
  <c r="M273" i="6" s="1"/>
  <c r="BH272" i="6"/>
  <c r="BG272" i="6"/>
  <c r="L272" i="6"/>
  <c r="M272" i="6" s="1"/>
  <c r="BH271" i="6"/>
  <c r="BG271" i="6"/>
  <c r="L271" i="6"/>
  <c r="M271" i="6" s="1"/>
  <c r="BH270" i="6"/>
  <c r="BG270" i="6"/>
  <c r="L270" i="6"/>
  <c r="M270" i="6" s="1"/>
  <c r="BH269" i="6"/>
  <c r="BG269" i="6"/>
  <c r="L269" i="6"/>
  <c r="BH268" i="6"/>
  <c r="BG268" i="6"/>
  <c r="L268" i="6"/>
  <c r="BH267" i="6"/>
  <c r="BG267" i="6"/>
  <c r="L267" i="6"/>
  <c r="BH266" i="6"/>
  <c r="BG266" i="6"/>
  <c r="L266" i="6"/>
  <c r="M266" i="6" s="1"/>
  <c r="BH265" i="6"/>
  <c r="BG265" i="6"/>
  <c r="L265" i="6"/>
  <c r="BH264" i="6"/>
  <c r="BG264" i="6"/>
  <c r="L264" i="6"/>
  <c r="BH263" i="6"/>
  <c r="BG263" i="6"/>
  <c r="L263" i="6"/>
  <c r="BH262" i="6"/>
  <c r="BG262" i="6"/>
  <c r="L262" i="6"/>
  <c r="M262" i="6" s="1"/>
  <c r="BH261" i="6"/>
  <c r="BG261" i="6"/>
  <c r="L261" i="6"/>
  <c r="BH260" i="6"/>
  <c r="BG260" i="6"/>
  <c r="L260" i="6"/>
  <c r="BH259" i="6"/>
  <c r="BG259" i="6"/>
  <c r="L259" i="6"/>
  <c r="BH258" i="6"/>
  <c r="BG258" i="6"/>
  <c r="L258" i="6"/>
  <c r="BH257" i="6"/>
  <c r="BG257" i="6"/>
  <c r="L257" i="6"/>
  <c r="BH256" i="6"/>
  <c r="BG256" i="6"/>
  <c r="L256" i="6"/>
  <c r="BH255" i="6"/>
  <c r="BG255" i="6"/>
  <c r="L255" i="6"/>
  <c r="BH254" i="6"/>
  <c r="BG254" i="6"/>
  <c r="L254" i="6"/>
  <c r="BH253" i="6"/>
  <c r="BG253" i="6"/>
  <c r="L253" i="6"/>
  <c r="BH252" i="6"/>
  <c r="BG252" i="6"/>
  <c r="L252" i="6"/>
  <c r="M252" i="6" s="1"/>
  <c r="BH251" i="6"/>
  <c r="BG251" i="6"/>
  <c r="L251" i="6"/>
  <c r="BH250" i="6"/>
  <c r="BG250" i="6"/>
  <c r="L250" i="6"/>
  <c r="BH249" i="6"/>
  <c r="BG249" i="6"/>
  <c r="L249" i="6"/>
  <c r="BH248" i="6"/>
  <c r="BG248" i="6"/>
  <c r="L248" i="6"/>
  <c r="BH247" i="6"/>
  <c r="BG247" i="6"/>
  <c r="L247" i="6"/>
  <c r="BH246" i="6"/>
  <c r="BG246" i="6"/>
  <c r="L246" i="6"/>
  <c r="BH245" i="6"/>
  <c r="BG245" i="6"/>
  <c r="L245" i="6"/>
  <c r="BH244" i="6"/>
  <c r="BG244" i="6"/>
  <c r="L244" i="6"/>
  <c r="M244" i="6" s="1"/>
  <c r="BH243" i="6"/>
  <c r="BG243" i="6"/>
  <c r="L243" i="6"/>
  <c r="BH242" i="6"/>
  <c r="BG242" i="6"/>
  <c r="L242" i="6"/>
  <c r="BH241" i="6"/>
  <c r="BG241" i="6"/>
  <c r="L241" i="6"/>
  <c r="BH240" i="6"/>
  <c r="BG240" i="6"/>
  <c r="L240" i="6"/>
  <c r="BH239" i="6"/>
  <c r="BG239" i="6"/>
  <c r="L239" i="6"/>
  <c r="BH238" i="6"/>
  <c r="BG238" i="6"/>
  <c r="L238" i="6"/>
  <c r="BH237" i="6"/>
  <c r="BG237" i="6"/>
  <c r="L237" i="6"/>
  <c r="BH236" i="6"/>
  <c r="BG236" i="6"/>
  <c r="L236" i="6"/>
  <c r="BH235" i="6"/>
  <c r="BG235" i="6"/>
  <c r="L235" i="6"/>
  <c r="BH234" i="6"/>
  <c r="BG234" i="6"/>
  <c r="L234" i="6"/>
  <c r="BH233" i="6"/>
  <c r="BG233" i="6"/>
  <c r="L233" i="6"/>
  <c r="BH232" i="6"/>
  <c r="BG232" i="6"/>
  <c r="L232" i="6"/>
  <c r="BH231" i="6"/>
  <c r="BG231" i="6"/>
  <c r="L231" i="6"/>
  <c r="BH230" i="6"/>
  <c r="BG230" i="6"/>
  <c r="L230" i="6"/>
  <c r="BH229" i="6"/>
  <c r="BG229" i="6"/>
  <c r="L229" i="6"/>
  <c r="BH228" i="6"/>
  <c r="BG228" i="6"/>
  <c r="L228" i="6"/>
  <c r="BH227" i="6"/>
  <c r="BG227" i="6"/>
  <c r="L227" i="6"/>
  <c r="M227" i="6" s="1"/>
  <c r="BH226" i="6"/>
  <c r="BG226" i="6"/>
  <c r="L226" i="6"/>
  <c r="M226" i="6" s="1"/>
  <c r="BH225" i="6"/>
  <c r="BG225" i="6"/>
  <c r="L225" i="6"/>
  <c r="M225" i="6" s="1"/>
  <c r="BH224" i="6"/>
  <c r="BG224" i="6"/>
  <c r="L224" i="6"/>
  <c r="M224" i="6" s="1"/>
  <c r="BH223" i="6"/>
  <c r="BG223" i="6"/>
  <c r="L223" i="6"/>
  <c r="BH222" i="6"/>
  <c r="BG222" i="6"/>
  <c r="L222" i="6"/>
  <c r="BH221" i="6"/>
  <c r="BG221" i="6"/>
  <c r="L221" i="6"/>
  <c r="BH220" i="6"/>
  <c r="BG220" i="6"/>
  <c r="L220" i="6"/>
  <c r="M220" i="6" s="1"/>
  <c r="BH219" i="6"/>
  <c r="BG219" i="6"/>
  <c r="L219" i="6"/>
  <c r="BH218" i="6"/>
  <c r="BG218" i="6"/>
  <c r="L218" i="6"/>
  <c r="M218" i="6" s="1"/>
  <c r="BH217" i="6"/>
  <c r="BG217" i="6"/>
  <c r="L217" i="6"/>
  <c r="M217" i="6" s="1"/>
  <c r="BH216" i="6"/>
  <c r="BG216" i="6"/>
  <c r="L216" i="6"/>
  <c r="BH215" i="6"/>
  <c r="BG215" i="6"/>
  <c r="L215" i="6"/>
  <c r="BH214" i="6"/>
  <c r="BG214" i="6"/>
  <c r="L214" i="6"/>
  <c r="M214" i="6" s="1"/>
  <c r="BH213" i="6"/>
  <c r="BG213" i="6"/>
  <c r="L213" i="6"/>
  <c r="M213" i="6" s="1"/>
  <c r="BH212" i="6"/>
  <c r="BG212" i="6"/>
  <c r="L212" i="6"/>
  <c r="M212" i="6" s="1"/>
  <c r="BH211" i="6"/>
  <c r="BG211" i="6"/>
  <c r="L211" i="6"/>
  <c r="M211" i="6" s="1"/>
  <c r="BH210" i="6"/>
  <c r="BG210" i="6"/>
  <c r="L210" i="6"/>
  <c r="M210" i="6" s="1"/>
  <c r="BH209" i="6"/>
  <c r="BG209" i="6"/>
  <c r="L209" i="6"/>
  <c r="M209" i="6" s="1"/>
  <c r="BH208" i="6"/>
  <c r="BG208" i="6"/>
  <c r="L208" i="6"/>
  <c r="M208" i="6" s="1"/>
  <c r="BH207" i="6"/>
  <c r="BG207" i="6"/>
  <c r="L207" i="6"/>
  <c r="M207" i="6" s="1"/>
  <c r="BH206" i="6"/>
  <c r="BG206" i="6"/>
  <c r="L206" i="6"/>
  <c r="M206" i="6" s="1"/>
  <c r="BH205" i="6"/>
  <c r="BG205" i="6"/>
  <c r="L205" i="6"/>
  <c r="BH204" i="6"/>
  <c r="BG204" i="6"/>
  <c r="L204" i="6"/>
  <c r="M204" i="6" s="1"/>
  <c r="BH203" i="6"/>
  <c r="BG203" i="6"/>
  <c r="L203" i="6"/>
  <c r="BH202" i="6"/>
  <c r="BG202" i="6"/>
  <c r="L202" i="6"/>
  <c r="M202" i="6" s="1"/>
  <c r="BH201" i="6"/>
  <c r="BG201" i="6"/>
  <c r="L201" i="6"/>
  <c r="M201" i="6" s="1"/>
  <c r="BH200" i="6"/>
  <c r="BG200" i="6"/>
  <c r="L200" i="6"/>
  <c r="M200" i="6" s="1"/>
  <c r="BH199" i="6"/>
  <c r="BG199" i="6"/>
  <c r="L199" i="6"/>
  <c r="M199" i="6" s="1"/>
  <c r="BH198" i="6"/>
  <c r="BG198" i="6"/>
  <c r="L198" i="6"/>
  <c r="M198" i="6" s="1"/>
  <c r="BH197" i="6"/>
  <c r="BG197" i="6"/>
  <c r="L197" i="6"/>
  <c r="M197" i="6" s="1"/>
  <c r="BH196" i="6"/>
  <c r="BG196" i="6"/>
  <c r="L196" i="6"/>
  <c r="BH195" i="6"/>
  <c r="BG195" i="6"/>
  <c r="L195" i="6"/>
  <c r="BH194" i="6"/>
  <c r="BG194" i="6"/>
  <c r="L194" i="6"/>
  <c r="M194" i="6" s="1"/>
  <c r="BH193" i="6"/>
  <c r="BG193" i="6"/>
  <c r="L193" i="6"/>
  <c r="M193" i="6" s="1"/>
  <c r="BH192" i="6"/>
  <c r="BG192" i="6"/>
  <c r="L192" i="6"/>
  <c r="M192" i="6" s="1"/>
  <c r="BH191" i="6"/>
  <c r="BG191" i="6"/>
  <c r="L191" i="6"/>
  <c r="M191" i="6" s="1"/>
  <c r="BH190" i="6"/>
  <c r="BG190" i="6"/>
  <c r="L190" i="6"/>
  <c r="BH189" i="6"/>
  <c r="BG189" i="6"/>
  <c r="L189" i="6"/>
  <c r="BH188" i="6"/>
  <c r="BG188" i="6"/>
  <c r="L188" i="6"/>
  <c r="M188" i="6" s="1"/>
  <c r="BH187" i="6"/>
  <c r="BG187" i="6"/>
  <c r="L187" i="6"/>
  <c r="BH186" i="6"/>
  <c r="BG186" i="6"/>
  <c r="L186" i="6"/>
  <c r="BH185" i="6"/>
  <c r="BG185" i="6"/>
  <c r="L185" i="6"/>
  <c r="BH184" i="6"/>
  <c r="BG184" i="6"/>
  <c r="L184" i="6"/>
  <c r="BH183" i="6"/>
  <c r="BG183" i="6"/>
  <c r="L183" i="6"/>
  <c r="BH182" i="6"/>
  <c r="BG182" i="6"/>
  <c r="L182" i="6"/>
  <c r="BH181" i="6"/>
  <c r="BG181" i="6"/>
  <c r="L181" i="6"/>
  <c r="BH180" i="6"/>
  <c r="BG180" i="6"/>
  <c r="L180" i="6"/>
  <c r="BH179" i="6"/>
  <c r="BG179" i="6"/>
  <c r="L179" i="6"/>
  <c r="BH178" i="6"/>
  <c r="BG178" i="6"/>
  <c r="L178" i="6"/>
  <c r="BH177" i="6"/>
  <c r="BG177" i="6"/>
  <c r="L177" i="6"/>
  <c r="BH176" i="6"/>
  <c r="BG176" i="6"/>
  <c r="L176" i="6"/>
  <c r="BH175" i="6"/>
  <c r="BG175" i="6"/>
  <c r="L175" i="6"/>
  <c r="BH174" i="6"/>
  <c r="BG174" i="6"/>
  <c r="L174" i="6"/>
  <c r="BH173" i="6"/>
  <c r="BG173" i="6"/>
  <c r="L173" i="6"/>
  <c r="BH172" i="6"/>
  <c r="BG172" i="6"/>
  <c r="L172" i="6"/>
  <c r="BH171" i="6"/>
  <c r="BG171" i="6"/>
  <c r="L171" i="6"/>
  <c r="BH170" i="6"/>
  <c r="BG170" i="6"/>
  <c r="L170" i="6"/>
  <c r="BH169" i="6"/>
  <c r="BG169" i="6"/>
  <c r="L169" i="6"/>
  <c r="BH168" i="6"/>
  <c r="BG168" i="6"/>
  <c r="L168" i="6"/>
  <c r="BH167" i="6"/>
  <c r="BG167" i="6"/>
  <c r="L167" i="6"/>
  <c r="BH166" i="6"/>
  <c r="BG166" i="6"/>
  <c r="L166" i="6"/>
  <c r="BH165" i="6"/>
  <c r="BG165" i="6"/>
  <c r="L165" i="6"/>
  <c r="BH164" i="6"/>
  <c r="BG164" i="6"/>
  <c r="L164" i="6"/>
  <c r="BH163" i="6"/>
  <c r="BG163" i="6"/>
  <c r="L163" i="6"/>
  <c r="BH162" i="6"/>
  <c r="BG162" i="6"/>
  <c r="L162" i="6"/>
  <c r="BH161" i="6"/>
  <c r="BG161" i="6"/>
  <c r="L161" i="6"/>
  <c r="BH160" i="6"/>
  <c r="BG160" i="6"/>
  <c r="L160" i="6"/>
  <c r="BH159" i="6"/>
  <c r="BG159" i="6"/>
  <c r="L159" i="6"/>
  <c r="BH158" i="6"/>
  <c r="BG158" i="6"/>
  <c r="L158" i="6"/>
  <c r="BH157" i="6"/>
  <c r="BG157" i="6"/>
  <c r="L157" i="6"/>
  <c r="BH156" i="6"/>
  <c r="BG156" i="6"/>
  <c r="L156" i="6"/>
  <c r="BH155" i="6"/>
  <c r="BG155" i="6"/>
  <c r="L155" i="6"/>
  <c r="BH154" i="6"/>
  <c r="BG154" i="6"/>
  <c r="L154" i="6"/>
  <c r="BH153" i="6"/>
  <c r="BG153" i="6"/>
  <c r="L153" i="6"/>
  <c r="BH152" i="6"/>
  <c r="BG152" i="6"/>
  <c r="L152" i="6"/>
  <c r="BH151" i="6"/>
  <c r="BG151" i="6"/>
  <c r="L151" i="6"/>
  <c r="BH150" i="6"/>
  <c r="BG150" i="6"/>
  <c r="L150" i="6"/>
  <c r="BH149" i="6"/>
  <c r="BG149" i="6"/>
  <c r="L149" i="6"/>
  <c r="BH148" i="6"/>
  <c r="BG148" i="6"/>
  <c r="L148" i="6"/>
  <c r="BH147" i="6"/>
  <c r="BG147" i="6"/>
  <c r="L147" i="6"/>
  <c r="BH146" i="6"/>
  <c r="BG146" i="6"/>
  <c r="L146" i="6"/>
  <c r="BH145" i="6"/>
  <c r="BG145" i="6"/>
  <c r="L145" i="6"/>
  <c r="BH144" i="6"/>
  <c r="BG144" i="6"/>
  <c r="L144" i="6"/>
  <c r="BH143" i="6"/>
  <c r="BG143" i="6"/>
  <c r="L143" i="6"/>
  <c r="BH142" i="6"/>
  <c r="BG142" i="6"/>
  <c r="L142" i="6"/>
  <c r="BH141" i="6"/>
  <c r="BG141" i="6"/>
  <c r="L141" i="6"/>
  <c r="BH140" i="6"/>
  <c r="BG140" i="6"/>
  <c r="L140" i="6"/>
  <c r="BH139" i="6"/>
  <c r="BG139" i="6"/>
  <c r="L139" i="6"/>
  <c r="BH138" i="6"/>
  <c r="BG138" i="6"/>
  <c r="L138" i="6"/>
  <c r="BH137" i="6"/>
  <c r="BG137" i="6"/>
  <c r="L137" i="6"/>
  <c r="BH136" i="6"/>
  <c r="BG136" i="6"/>
  <c r="L136" i="6"/>
  <c r="BH135" i="6"/>
  <c r="BG135" i="6"/>
  <c r="L135" i="6"/>
  <c r="BH134" i="6"/>
  <c r="BG134" i="6"/>
  <c r="L134" i="6"/>
  <c r="BH133" i="6"/>
  <c r="BG133" i="6"/>
  <c r="L133" i="6"/>
  <c r="BH132" i="6"/>
  <c r="BG132" i="6"/>
  <c r="L132" i="6"/>
  <c r="BH131" i="6"/>
  <c r="BG131" i="6"/>
  <c r="L131" i="6"/>
  <c r="M131" i="6" s="1"/>
  <c r="BH130" i="6"/>
  <c r="BG130" i="6"/>
  <c r="L130" i="6"/>
  <c r="BH129" i="6"/>
  <c r="BG129" i="6"/>
  <c r="L129" i="6"/>
  <c r="BH128" i="6"/>
  <c r="BG128" i="6"/>
  <c r="L128" i="6"/>
  <c r="BH127" i="6"/>
  <c r="BG127" i="6"/>
  <c r="L127" i="6"/>
  <c r="BH126" i="6"/>
  <c r="BG126" i="6"/>
  <c r="L126" i="6"/>
  <c r="BH125" i="6"/>
  <c r="BG125" i="6"/>
  <c r="L125" i="6"/>
  <c r="BH124" i="6"/>
  <c r="BG124" i="6"/>
  <c r="L124" i="6"/>
  <c r="BH123" i="6"/>
  <c r="BG123" i="6"/>
  <c r="L123" i="6"/>
  <c r="BH122" i="6"/>
  <c r="BG122" i="6"/>
  <c r="L122" i="6"/>
  <c r="BH121" i="6"/>
  <c r="BG121" i="6"/>
  <c r="L121" i="6"/>
  <c r="BH120" i="6"/>
  <c r="BG120" i="6"/>
  <c r="L120" i="6"/>
  <c r="BH119" i="6"/>
  <c r="BG119" i="6"/>
  <c r="L119" i="6"/>
  <c r="BH118" i="6"/>
  <c r="BG118" i="6"/>
  <c r="L118" i="6"/>
  <c r="BH117" i="6"/>
  <c r="BG117" i="6"/>
  <c r="L117" i="6"/>
  <c r="BH116" i="6"/>
  <c r="BG116" i="6"/>
  <c r="L116" i="6"/>
  <c r="BH115" i="6"/>
  <c r="BG115" i="6"/>
  <c r="L115" i="6"/>
  <c r="BH114" i="6"/>
  <c r="BG114" i="6"/>
  <c r="L114" i="6"/>
  <c r="BH113" i="6"/>
  <c r="BG113" i="6"/>
  <c r="L113" i="6"/>
  <c r="BH112" i="6"/>
  <c r="BG112" i="6"/>
  <c r="L112" i="6"/>
  <c r="BH111" i="6"/>
  <c r="BG111" i="6"/>
  <c r="L111" i="6"/>
  <c r="BH110" i="6"/>
  <c r="BG110" i="6"/>
  <c r="L110" i="6"/>
  <c r="BH109" i="6"/>
  <c r="BG109" i="6"/>
  <c r="L109" i="6"/>
  <c r="BH108" i="6"/>
  <c r="BG108" i="6"/>
  <c r="L108" i="6"/>
  <c r="BH107" i="6"/>
  <c r="BG107" i="6"/>
  <c r="L107" i="6"/>
  <c r="BH106" i="6"/>
  <c r="BG106" i="6"/>
  <c r="L106" i="6"/>
  <c r="BH105" i="6"/>
  <c r="BG105" i="6"/>
  <c r="L105" i="6"/>
  <c r="BH104" i="6"/>
  <c r="BG104" i="6"/>
  <c r="L104" i="6"/>
  <c r="BH103" i="6"/>
  <c r="BG103" i="6"/>
  <c r="L103" i="6"/>
  <c r="BH102" i="6"/>
  <c r="BG102" i="6"/>
  <c r="L102" i="6"/>
  <c r="BH101" i="6"/>
  <c r="BG101" i="6"/>
  <c r="L101" i="6"/>
  <c r="BH100" i="6"/>
  <c r="BG100" i="6"/>
  <c r="L100" i="6"/>
  <c r="BH99" i="6"/>
  <c r="BG99" i="6"/>
  <c r="L99" i="6"/>
  <c r="BH98" i="6"/>
  <c r="BG98" i="6"/>
  <c r="L98" i="6"/>
  <c r="BH97" i="6"/>
  <c r="BG97" i="6"/>
  <c r="L97" i="6"/>
  <c r="BH96" i="6"/>
  <c r="BG96" i="6"/>
  <c r="L96" i="6"/>
  <c r="BH95" i="6"/>
  <c r="BG95" i="6"/>
  <c r="L95" i="6"/>
  <c r="BH94" i="6"/>
  <c r="BG94" i="6"/>
  <c r="L94" i="6"/>
  <c r="BH93" i="6"/>
  <c r="BG93" i="6"/>
  <c r="L93" i="6"/>
  <c r="BH92" i="6"/>
  <c r="BG92" i="6"/>
  <c r="L92" i="6"/>
  <c r="BH91" i="6"/>
  <c r="BG91" i="6"/>
  <c r="L91" i="6"/>
  <c r="BH90" i="6"/>
  <c r="BG90" i="6"/>
  <c r="L90" i="6"/>
  <c r="BH89" i="6"/>
  <c r="BG89" i="6"/>
  <c r="L89" i="6"/>
  <c r="BH88" i="6"/>
  <c r="BG88" i="6"/>
  <c r="L88" i="6"/>
  <c r="BH87" i="6"/>
  <c r="BG87" i="6"/>
  <c r="L87" i="6"/>
  <c r="BH86" i="6"/>
  <c r="BG86" i="6"/>
  <c r="L86" i="6"/>
  <c r="BH85" i="6"/>
  <c r="BG85" i="6"/>
  <c r="L85" i="6"/>
  <c r="BH84" i="6"/>
  <c r="BG84" i="6"/>
  <c r="L84" i="6"/>
  <c r="BH83" i="6"/>
  <c r="BG83" i="6"/>
  <c r="L83" i="6"/>
  <c r="BH82" i="6"/>
  <c r="BG82" i="6"/>
  <c r="L82" i="6"/>
  <c r="BH81" i="6"/>
  <c r="BG81" i="6"/>
  <c r="L81" i="6"/>
  <c r="BH80" i="6"/>
  <c r="BG80" i="6"/>
  <c r="L80" i="6"/>
  <c r="BH79" i="6"/>
  <c r="BG79" i="6"/>
  <c r="L79" i="6"/>
  <c r="BH78" i="6"/>
  <c r="BG78" i="6"/>
  <c r="L78" i="6"/>
  <c r="BH77" i="6"/>
  <c r="BG77" i="6"/>
  <c r="L77" i="6"/>
  <c r="BH76" i="6"/>
  <c r="BG76" i="6"/>
  <c r="L76" i="6"/>
  <c r="BH75" i="6"/>
  <c r="BG75" i="6"/>
  <c r="L75" i="6"/>
  <c r="BH74" i="6"/>
  <c r="BG74" i="6"/>
  <c r="L74" i="6"/>
  <c r="BH73" i="6"/>
  <c r="BG73" i="6"/>
  <c r="L73" i="6"/>
  <c r="BH72" i="6"/>
  <c r="BG72" i="6"/>
  <c r="L72" i="6"/>
  <c r="BH71" i="6"/>
  <c r="BG71" i="6"/>
  <c r="L71" i="6"/>
  <c r="BH70" i="6"/>
  <c r="BG70" i="6"/>
  <c r="L70" i="6"/>
  <c r="BH69" i="6"/>
  <c r="BG69" i="6"/>
  <c r="L69" i="6"/>
  <c r="BH68" i="6"/>
  <c r="BG68" i="6"/>
  <c r="L68" i="6"/>
  <c r="BH67" i="6"/>
  <c r="BG67" i="6"/>
  <c r="L67" i="6"/>
  <c r="BH66" i="6"/>
  <c r="BG66" i="6"/>
  <c r="L66" i="6"/>
  <c r="BH65" i="6"/>
  <c r="BG65" i="6"/>
  <c r="L65" i="6"/>
  <c r="BH64" i="6"/>
  <c r="BG64" i="6"/>
  <c r="L64" i="6"/>
  <c r="BH63" i="6"/>
  <c r="BG63" i="6"/>
  <c r="L63" i="6"/>
  <c r="BH62" i="6"/>
  <c r="BG62" i="6"/>
  <c r="L62" i="6"/>
  <c r="BH61" i="6"/>
  <c r="BG61" i="6"/>
  <c r="L61" i="6"/>
  <c r="BH60" i="6"/>
  <c r="BG60" i="6"/>
  <c r="L60" i="6"/>
  <c r="BH59" i="6"/>
  <c r="BG59" i="6"/>
  <c r="L59" i="6"/>
  <c r="BH58" i="6"/>
  <c r="BG58" i="6"/>
  <c r="L58" i="6"/>
  <c r="BH57" i="6"/>
  <c r="BG57" i="6"/>
  <c r="L57" i="6"/>
  <c r="BH56" i="6"/>
  <c r="BG56" i="6"/>
  <c r="L56" i="6"/>
  <c r="BH55" i="6"/>
  <c r="BG55" i="6"/>
  <c r="L55" i="6"/>
  <c r="BH54" i="6"/>
  <c r="BG54" i="6"/>
  <c r="L54" i="6"/>
  <c r="BH53" i="6"/>
  <c r="BG53" i="6"/>
  <c r="L53" i="6"/>
  <c r="BH52" i="6"/>
  <c r="BG52" i="6"/>
  <c r="L52" i="6"/>
  <c r="BH51" i="6"/>
  <c r="BG51" i="6"/>
  <c r="L51" i="6"/>
  <c r="BH50" i="6"/>
  <c r="BG50" i="6"/>
  <c r="L50" i="6"/>
  <c r="BH49" i="6"/>
  <c r="BG49" i="6"/>
  <c r="L49" i="6"/>
  <c r="BH48" i="6"/>
  <c r="BG48" i="6"/>
  <c r="L48" i="6"/>
  <c r="BH47" i="6"/>
  <c r="BG47" i="6"/>
  <c r="L47" i="6"/>
  <c r="BH46" i="6"/>
  <c r="BG46" i="6"/>
  <c r="L46" i="6"/>
  <c r="BH45" i="6"/>
  <c r="BG45" i="6"/>
  <c r="L45" i="6"/>
  <c r="BH44" i="6"/>
  <c r="BG44" i="6"/>
  <c r="L44" i="6"/>
  <c r="BH43" i="6"/>
  <c r="BG43" i="6"/>
  <c r="L43" i="6"/>
  <c r="BH42" i="6"/>
  <c r="BG42" i="6"/>
  <c r="L42" i="6"/>
  <c r="BH41" i="6"/>
  <c r="BG41" i="6"/>
  <c r="L41" i="6"/>
  <c r="BH40" i="6"/>
  <c r="BG40" i="6"/>
  <c r="L40" i="6"/>
  <c r="BH39" i="6"/>
  <c r="BG39" i="6"/>
  <c r="L39" i="6"/>
  <c r="BH38" i="6"/>
  <c r="BG38" i="6"/>
  <c r="L38" i="6"/>
  <c r="BH37" i="6"/>
  <c r="BG37" i="6"/>
  <c r="L37" i="6"/>
  <c r="BH36" i="6"/>
  <c r="BG36" i="6"/>
  <c r="L36" i="6"/>
  <c r="BH35" i="6"/>
  <c r="BG35" i="6"/>
  <c r="L35" i="6"/>
  <c r="BH34" i="6"/>
  <c r="BG34" i="6"/>
  <c r="L34" i="6"/>
  <c r="BH33" i="6"/>
  <c r="BG33" i="6"/>
  <c r="L33" i="6"/>
  <c r="BH32" i="6"/>
  <c r="BG32" i="6"/>
  <c r="L32" i="6"/>
  <c r="BH31" i="6"/>
  <c r="BG31" i="6"/>
  <c r="L31" i="6"/>
  <c r="BH30" i="6"/>
  <c r="BG30" i="6"/>
  <c r="L30" i="6"/>
  <c r="X28" i="6"/>
  <c r="W28" i="6"/>
  <c r="V28" i="6"/>
  <c r="U28" i="6"/>
  <c r="T28" i="6"/>
  <c r="S28" i="6"/>
  <c r="R28" i="6"/>
  <c r="Q28" i="6"/>
  <c r="P28" i="6"/>
  <c r="O28" i="6"/>
  <c r="N28" i="6"/>
  <c r="BD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W68" i="4"/>
  <c r="AV68" i="4"/>
  <c r="L68" i="4"/>
  <c r="M68" i="4" s="1"/>
  <c r="AW67" i="4"/>
  <c r="AV67" i="4"/>
  <c r="L67" i="4"/>
  <c r="M67" i="4" s="1"/>
  <c r="AW66" i="4"/>
  <c r="AV66" i="4"/>
  <c r="L66" i="4"/>
  <c r="M66" i="4" s="1"/>
  <c r="AW65" i="4"/>
  <c r="AV65" i="4"/>
  <c r="L65" i="4"/>
  <c r="M65" i="4" s="1"/>
  <c r="AW64" i="4"/>
  <c r="AV64" i="4"/>
  <c r="L64" i="4"/>
  <c r="M64" i="4" s="1"/>
  <c r="AW63" i="4"/>
  <c r="AV63" i="4"/>
  <c r="L63" i="4"/>
  <c r="M63" i="4" s="1"/>
  <c r="AW62" i="4"/>
  <c r="AV62" i="4"/>
  <c r="L62" i="4"/>
  <c r="M62" i="4" s="1"/>
  <c r="AW61" i="4"/>
  <c r="AV61" i="4"/>
  <c r="L61" i="4"/>
  <c r="M61" i="4" s="1"/>
  <c r="AW60" i="4"/>
  <c r="AV60" i="4"/>
  <c r="L60" i="4"/>
  <c r="M60" i="4" s="1"/>
  <c r="AW59" i="4"/>
  <c r="AV59" i="4"/>
  <c r="L59" i="4"/>
  <c r="M59" i="4" s="1"/>
  <c r="AW58" i="4"/>
  <c r="AV58" i="4"/>
  <c r="L58" i="4"/>
  <c r="M58" i="4" s="1"/>
  <c r="AW55" i="4"/>
  <c r="AV55" i="4"/>
  <c r="L55" i="4"/>
  <c r="M55" i="4" s="1"/>
  <c r="AW54" i="4"/>
  <c r="AV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W325" i="4"/>
  <c r="AV325" i="4"/>
  <c r="L325" i="4"/>
  <c r="AW324" i="4"/>
  <c r="AV324" i="4"/>
  <c r="L324" i="4"/>
  <c r="AW323" i="4"/>
  <c r="AV323" i="4"/>
  <c r="L323" i="4"/>
  <c r="AW322" i="4"/>
  <c r="AV322" i="4"/>
  <c r="L322" i="4"/>
  <c r="AW321" i="4"/>
  <c r="AV321" i="4"/>
  <c r="L321" i="4"/>
  <c r="AW320" i="4"/>
  <c r="AV320" i="4"/>
  <c r="L320" i="4"/>
  <c r="AW319" i="4"/>
  <c r="AV319" i="4"/>
  <c r="L319" i="4"/>
  <c r="AW318" i="4"/>
  <c r="AV318" i="4"/>
  <c r="L318" i="4"/>
  <c r="AW317" i="4"/>
  <c r="AV317" i="4"/>
  <c r="L317" i="4"/>
  <c r="AW316" i="4"/>
  <c r="AV316" i="4"/>
  <c r="L316" i="4"/>
  <c r="AW315" i="4"/>
  <c r="AV315" i="4"/>
  <c r="L315" i="4"/>
  <c r="AW314" i="4"/>
  <c r="AV314" i="4"/>
  <c r="L314" i="4"/>
  <c r="AW313" i="4"/>
  <c r="AV313" i="4"/>
  <c r="L313" i="4"/>
  <c r="AW312" i="4"/>
  <c r="AV312" i="4"/>
  <c r="L312" i="4"/>
  <c r="AW311" i="4"/>
  <c r="AV311" i="4"/>
  <c r="L311" i="4"/>
  <c r="AW310" i="4"/>
  <c r="AV310" i="4"/>
  <c r="L310" i="4"/>
  <c r="AW309" i="4"/>
  <c r="AV309" i="4"/>
  <c r="L309" i="4"/>
  <c r="AW308" i="4"/>
  <c r="AV308" i="4"/>
  <c r="L308" i="4"/>
  <c r="AW307" i="4"/>
  <c r="AV307" i="4"/>
  <c r="L307" i="4"/>
  <c r="AW306" i="4"/>
  <c r="AV306" i="4"/>
  <c r="L306" i="4"/>
  <c r="AW305" i="4"/>
  <c r="AV305" i="4"/>
  <c r="L305" i="4"/>
  <c r="AW304" i="4"/>
  <c r="AV304" i="4"/>
  <c r="L304" i="4"/>
  <c r="AW303" i="4"/>
  <c r="AV303" i="4"/>
  <c r="L303" i="4"/>
  <c r="AW302" i="4"/>
  <c r="AV302" i="4"/>
  <c r="L302" i="4"/>
  <c r="AW301" i="4"/>
  <c r="AV301" i="4"/>
  <c r="L301" i="4"/>
  <c r="AW300" i="4"/>
  <c r="AV300" i="4"/>
  <c r="L300" i="4"/>
  <c r="AW299" i="4"/>
  <c r="AV299" i="4"/>
  <c r="L299" i="4"/>
  <c r="AW298" i="4"/>
  <c r="AV298" i="4"/>
  <c r="L298" i="4"/>
  <c r="AW297" i="4"/>
  <c r="AV297" i="4"/>
  <c r="L297" i="4"/>
  <c r="AW296" i="4"/>
  <c r="AV296" i="4"/>
  <c r="L296" i="4"/>
  <c r="AW295" i="4"/>
  <c r="AV295" i="4"/>
  <c r="L295" i="4"/>
  <c r="AW294" i="4"/>
  <c r="AV294" i="4"/>
  <c r="L294" i="4"/>
  <c r="AW293" i="4"/>
  <c r="AV293" i="4"/>
  <c r="L293" i="4"/>
  <c r="AW292" i="4"/>
  <c r="AV292" i="4"/>
  <c r="L292" i="4"/>
  <c r="AW291" i="4"/>
  <c r="AV291" i="4"/>
  <c r="L291" i="4"/>
  <c r="AW290" i="4"/>
  <c r="AV290" i="4"/>
  <c r="L290" i="4"/>
  <c r="AW289" i="4"/>
  <c r="AV289" i="4"/>
  <c r="L289" i="4"/>
  <c r="AW288" i="4"/>
  <c r="AV288" i="4"/>
  <c r="L288" i="4"/>
  <c r="M288" i="4" s="1"/>
  <c r="AW287" i="4"/>
  <c r="AV287" i="4"/>
  <c r="L287" i="4"/>
  <c r="AW286" i="4"/>
  <c r="AV286" i="4"/>
  <c r="L286" i="4"/>
  <c r="M286" i="4" s="1"/>
  <c r="AW285" i="4"/>
  <c r="AV285" i="4"/>
  <c r="L285" i="4"/>
  <c r="M285" i="4" s="1"/>
  <c r="AW284" i="4"/>
  <c r="AV284" i="4"/>
  <c r="L284" i="4"/>
  <c r="AW283" i="4"/>
  <c r="AV283" i="4"/>
  <c r="L283" i="4"/>
  <c r="AW282" i="4"/>
  <c r="AV282" i="4"/>
  <c r="L282" i="4"/>
  <c r="AW281" i="4"/>
  <c r="AV281" i="4"/>
  <c r="L281" i="4"/>
  <c r="AW280" i="4"/>
  <c r="AV280" i="4"/>
  <c r="L280" i="4"/>
  <c r="AW279" i="4"/>
  <c r="AV279" i="4"/>
  <c r="L279" i="4"/>
  <c r="AW278" i="4"/>
  <c r="AV278" i="4"/>
  <c r="L278" i="4"/>
  <c r="AW277" i="4"/>
  <c r="AV277" i="4"/>
  <c r="L277" i="4"/>
  <c r="AW276" i="4"/>
  <c r="AV276" i="4"/>
  <c r="L276" i="4"/>
  <c r="AW275" i="4"/>
  <c r="AV275" i="4"/>
  <c r="L275" i="4"/>
  <c r="AW274" i="4"/>
  <c r="AV274" i="4"/>
  <c r="L274" i="4"/>
  <c r="AW273" i="4"/>
  <c r="AV273" i="4"/>
  <c r="L273" i="4"/>
  <c r="AW272" i="4"/>
  <c r="AV272" i="4"/>
  <c r="L272" i="4"/>
  <c r="AW271" i="4"/>
  <c r="AV271" i="4"/>
  <c r="L271" i="4"/>
  <c r="AW270" i="4"/>
  <c r="AV270" i="4"/>
  <c r="L270" i="4"/>
  <c r="AW269" i="4"/>
  <c r="AV269" i="4"/>
  <c r="L269" i="4"/>
  <c r="AW268" i="4"/>
  <c r="AV268" i="4"/>
  <c r="L268" i="4"/>
  <c r="AW267" i="4"/>
  <c r="AV267" i="4"/>
  <c r="L267" i="4"/>
  <c r="AW266" i="4"/>
  <c r="AV266" i="4"/>
  <c r="L266" i="4"/>
  <c r="AW265" i="4"/>
  <c r="AV265" i="4"/>
  <c r="L265" i="4"/>
  <c r="AW264" i="4"/>
  <c r="AV264" i="4"/>
  <c r="L264" i="4"/>
  <c r="AW263" i="4"/>
  <c r="AV263" i="4"/>
  <c r="L263" i="4"/>
  <c r="AW262" i="4"/>
  <c r="AV262" i="4"/>
  <c r="L262" i="4"/>
  <c r="AW261" i="4"/>
  <c r="AV261" i="4"/>
  <c r="L261" i="4"/>
  <c r="AW260" i="4"/>
  <c r="AV260" i="4"/>
  <c r="L260" i="4"/>
  <c r="AW259" i="4"/>
  <c r="AV259" i="4"/>
  <c r="L259" i="4"/>
  <c r="AW258" i="4"/>
  <c r="AV258" i="4"/>
  <c r="L258" i="4"/>
  <c r="AW257" i="4"/>
  <c r="AV257" i="4"/>
  <c r="L257" i="4"/>
  <c r="AW256" i="4"/>
  <c r="AV256" i="4"/>
  <c r="L256" i="4"/>
  <c r="AW255" i="4"/>
  <c r="AV255" i="4"/>
  <c r="L255" i="4"/>
  <c r="AW254" i="4"/>
  <c r="AV254" i="4"/>
  <c r="L254" i="4"/>
  <c r="AW253" i="4"/>
  <c r="AV253" i="4"/>
  <c r="L253" i="4"/>
  <c r="AW252" i="4"/>
  <c r="AV252" i="4"/>
  <c r="L252" i="4"/>
  <c r="AW251" i="4"/>
  <c r="AV251" i="4"/>
  <c r="L251" i="4"/>
  <c r="AW250" i="4"/>
  <c r="AV250" i="4"/>
  <c r="L250" i="4"/>
  <c r="AW249" i="4"/>
  <c r="AV249" i="4"/>
  <c r="L249" i="4"/>
  <c r="AW248" i="4"/>
  <c r="AV248" i="4"/>
  <c r="L248" i="4"/>
  <c r="AW247" i="4"/>
  <c r="AV247" i="4"/>
  <c r="L247" i="4"/>
  <c r="AW246" i="4"/>
  <c r="AV246" i="4"/>
  <c r="L246" i="4"/>
  <c r="AW245" i="4"/>
  <c r="AV245" i="4"/>
  <c r="L245" i="4"/>
  <c r="AW244" i="4"/>
  <c r="AV244" i="4"/>
  <c r="L244" i="4"/>
  <c r="AW243" i="4"/>
  <c r="AV243" i="4"/>
  <c r="L243" i="4"/>
  <c r="AW242" i="4"/>
  <c r="AV242" i="4"/>
  <c r="L242" i="4"/>
  <c r="AW241" i="4"/>
  <c r="AV241" i="4"/>
  <c r="L241" i="4"/>
  <c r="AW240" i="4"/>
  <c r="AV240" i="4"/>
  <c r="L240" i="4"/>
  <c r="AW239" i="4"/>
  <c r="AV239" i="4"/>
  <c r="L239" i="4"/>
  <c r="AW238" i="4"/>
  <c r="AV238" i="4"/>
  <c r="L238" i="4"/>
  <c r="AW237" i="4"/>
  <c r="AV237" i="4"/>
  <c r="L237" i="4"/>
  <c r="AW236" i="4"/>
  <c r="AV236" i="4"/>
  <c r="L236" i="4"/>
  <c r="AW235" i="4"/>
  <c r="AV235" i="4"/>
  <c r="L235" i="4"/>
  <c r="AW234" i="4"/>
  <c r="AV234" i="4"/>
  <c r="L234" i="4"/>
  <c r="AW233" i="4"/>
  <c r="AV233" i="4"/>
  <c r="L233" i="4"/>
  <c r="AW232" i="4"/>
  <c r="AV232" i="4"/>
  <c r="L232" i="4"/>
  <c r="AW231" i="4"/>
  <c r="AV231" i="4"/>
  <c r="L231" i="4"/>
  <c r="AW230" i="4"/>
  <c r="AV230" i="4"/>
  <c r="L230" i="4"/>
  <c r="AW229" i="4"/>
  <c r="AV229" i="4"/>
  <c r="L229" i="4"/>
  <c r="AW228" i="4"/>
  <c r="AV228" i="4"/>
  <c r="L228" i="4"/>
  <c r="AW227" i="4"/>
  <c r="AV227" i="4"/>
  <c r="L227" i="4"/>
  <c r="AW226" i="4"/>
  <c r="AV226" i="4"/>
  <c r="L226" i="4"/>
  <c r="AW225" i="4"/>
  <c r="AV225" i="4"/>
  <c r="L225" i="4"/>
  <c r="AW224" i="4"/>
  <c r="AV224" i="4"/>
  <c r="L224" i="4"/>
  <c r="AW223" i="4"/>
  <c r="AV223" i="4"/>
  <c r="L223" i="4"/>
  <c r="AW222" i="4"/>
  <c r="AV222" i="4"/>
  <c r="L222" i="4"/>
  <c r="AW221" i="4"/>
  <c r="AV221" i="4"/>
  <c r="L221" i="4"/>
  <c r="AW220" i="4"/>
  <c r="AV220" i="4"/>
  <c r="L220" i="4"/>
  <c r="AW219" i="4"/>
  <c r="AV219" i="4"/>
  <c r="L219" i="4"/>
  <c r="AW218" i="4"/>
  <c r="AV218" i="4"/>
  <c r="L218" i="4"/>
  <c r="AW217" i="4"/>
  <c r="AV217" i="4"/>
  <c r="L217" i="4"/>
  <c r="AW216" i="4"/>
  <c r="AV216" i="4"/>
  <c r="L216" i="4"/>
  <c r="AW215" i="4"/>
  <c r="AV215" i="4"/>
  <c r="L215" i="4"/>
  <c r="AW214" i="4"/>
  <c r="AV214" i="4"/>
  <c r="L214" i="4"/>
  <c r="AW213" i="4"/>
  <c r="AV213" i="4"/>
  <c r="L213" i="4"/>
  <c r="AW212" i="4"/>
  <c r="AV212" i="4"/>
  <c r="L212" i="4"/>
  <c r="AW211" i="4"/>
  <c r="AV211" i="4"/>
  <c r="L211" i="4"/>
  <c r="AW210" i="4"/>
  <c r="AV210" i="4"/>
  <c r="L210" i="4"/>
  <c r="AW209" i="4"/>
  <c r="AV209" i="4"/>
  <c r="L209" i="4"/>
  <c r="AW208" i="4"/>
  <c r="AV208" i="4"/>
  <c r="L208" i="4"/>
  <c r="AW207" i="4"/>
  <c r="AV207" i="4"/>
  <c r="L207" i="4"/>
  <c r="AW206" i="4"/>
  <c r="AV206" i="4"/>
  <c r="L206" i="4"/>
  <c r="AW205" i="4"/>
  <c r="AV205" i="4"/>
  <c r="L205" i="4"/>
  <c r="AW204" i="4"/>
  <c r="AV204" i="4"/>
  <c r="L204" i="4"/>
  <c r="AW203" i="4"/>
  <c r="AV203" i="4"/>
  <c r="L203" i="4"/>
  <c r="AW202" i="4"/>
  <c r="AV202" i="4"/>
  <c r="L202" i="4"/>
  <c r="AW201" i="4"/>
  <c r="AV201" i="4"/>
  <c r="L201" i="4"/>
  <c r="AW200" i="4"/>
  <c r="AV200" i="4"/>
  <c r="L200" i="4"/>
  <c r="AW199" i="4"/>
  <c r="AV199" i="4"/>
  <c r="L199" i="4"/>
  <c r="AW198" i="4"/>
  <c r="AV198" i="4"/>
  <c r="L198" i="4"/>
  <c r="AW197" i="4"/>
  <c r="AV197" i="4"/>
  <c r="L197" i="4"/>
  <c r="AW196" i="4"/>
  <c r="AV196" i="4"/>
  <c r="L196" i="4"/>
  <c r="AW195" i="4"/>
  <c r="AV195" i="4"/>
  <c r="L195" i="4"/>
  <c r="AW194" i="4"/>
  <c r="AV194" i="4"/>
  <c r="L194" i="4"/>
  <c r="AW193" i="4"/>
  <c r="AV193" i="4"/>
  <c r="L193" i="4"/>
  <c r="AW192" i="4"/>
  <c r="AV192" i="4"/>
  <c r="L192" i="4"/>
  <c r="AW191" i="4"/>
  <c r="AV191" i="4"/>
  <c r="L191" i="4"/>
  <c r="AW190" i="4"/>
  <c r="AV190" i="4"/>
  <c r="L190" i="4"/>
  <c r="AW189" i="4"/>
  <c r="AV189" i="4"/>
  <c r="L189" i="4"/>
  <c r="M189" i="4" s="1"/>
  <c r="AW188" i="4"/>
  <c r="AV188" i="4"/>
  <c r="L188" i="4"/>
  <c r="AW187" i="4"/>
  <c r="AV187" i="4"/>
  <c r="L187" i="4"/>
  <c r="AW186" i="4"/>
  <c r="AV186" i="4"/>
  <c r="L186" i="4"/>
  <c r="AW185" i="4"/>
  <c r="AV185" i="4"/>
  <c r="L185" i="4"/>
  <c r="AW184" i="4"/>
  <c r="AV184" i="4"/>
  <c r="L184" i="4"/>
  <c r="AW183" i="4"/>
  <c r="AV183" i="4"/>
  <c r="L183" i="4"/>
  <c r="AW182" i="4"/>
  <c r="AV182" i="4"/>
  <c r="L182" i="4"/>
  <c r="AW181" i="4"/>
  <c r="AV181" i="4"/>
  <c r="L181" i="4"/>
  <c r="AW180" i="4"/>
  <c r="AV180" i="4"/>
  <c r="L180" i="4"/>
  <c r="AW179" i="4"/>
  <c r="AV179" i="4"/>
  <c r="L179" i="4"/>
  <c r="AW178" i="4"/>
  <c r="AV178" i="4"/>
  <c r="L178" i="4"/>
  <c r="AW177" i="4"/>
  <c r="AV177" i="4"/>
  <c r="L177" i="4"/>
  <c r="M177" i="4" s="1"/>
  <c r="AW176" i="4"/>
  <c r="AV176" i="4"/>
  <c r="L176" i="4"/>
  <c r="AW175" i="4"/>
  <c r="AV175" i="4"/>
  <c r="L175" i="4"/>
  <c r="AW174" i="4"/>
  <c r="AV174" i="4"/>
  <c r="L174" i="4"/>
  <c r="AW173" i="4"/>
  <c r="AV173" i="4"/>
  <c r="L173" i="4"/>
  <c r="AW172" i="4"/>
  <c r="AV172" i="4"/>
  <c r="L172" i="4"/>
  <c r="AW171" i="4"/>
  <c r="AV171" i="4"/>
  <c r="L171" i="4"/>
  <c r="AW170" i="4"/>
  <c r="AV170" i="4"/>
  <c r="L170" i="4"/>
  <c r="AW169" i="4"/>
  <c r="AV169" i="4"/>
  <c r="L169" i="4"/>
  <c r="AW168" i="4"/>
  <c r="AV168" i="4"/>
  <c r="L168" i="4"/>
  <c r="AW167" i="4"/>
  <c r="AV167" i="4"/>
  <c r="L167" i="4"/>
  <c r="AW166" i="4"/>
  <c r="AV166" i="4"/>
  <c r="L166" i="4"/>
  <c r="AW165" i="4"/>
  <c r="AV165" i="4"/>
  <c r="L165" i="4"/>
  <c r="AW164" i="4"/>
  <c r="AV164" i="4"/>
  <c r="L164" i="4"/>
  <c r="AW163" i="4"/>
  <c r="AV163" i="4"/>
  <c r="L163" i="4"/>
  <c r="M163" i="4" s="1"/>
  <c r="AW162" i="4"/>
  <c r="AV162" i="4"/>
  <c r="L162" i="4"/>
  <c r="AW161" i="4"/>
  <c r="AV161" i="4"/>
  <c r="L161" i="4"/>
  <c r="AW160" i="4"/>
  <c r="AV160" i="4"/>
  <c r="L160" i="4"/>
  <c r="AW159" i="4"/>
  <c r="AV159" i="4"/>
  <c r="L159" i="4"/>
  <c r="M159" i="4" s="1"/>
  <c r="AW158" i="4"/>
  <c r="AV158" i="4"/>
  <c r="L158" i="4"/>
  <c r="AW157" i="4"/>
  <c r="AV157" i="4"/>
  <c r="L157" i="4"/>
  <c r="AW156" i="4"/>
  <c r="AV156" i="4"/>
  <c r="L156" i="4"/>
  <c r="AW155" i="4"/>
  <c r="AV155" i="4"/>
  <c r="L155" i="4"/>
  <c r="AW154" i="4"/>
  <c r="AV154" i="4"/>
  <c r="L154" i="4"/>
  <c r="AW153" i="4"/>
  <c r="AV153" i="4"/>
  <c r="L153" i="4"/>
  <c r="AW152" i="4"/>
  <c r="AV152" i="4"/>
  <c r="L152" i="4"/>
  <c r="AW151" i="4"/>
  <c r="AV151" i="4"/>
  <c r="L151" i="4"/>
  <c r="AW150" i="4"/>
  <c r="AV150" i="4"/>
  <c r="L150" i="4"/>
  <c r="AW149" i="4"/>
  <c r="AV149" i="4"/>
  <c r="L149" i="4"/>
  <c r="AW148" i="4"/>
  <c r="AV148" i="4"/>
  <c r="L148" i="4"/>
  <c r="M148" i="4" s="1"/>
  <c r="AW147" i="4"/>
  <c r="AV147" i="4"/>
  <c r="L147" i="4"/>
  <c r="AW146" i="4"/>
  <c r="AV146" i="4"/>
  <c r="L146" i="4"/>
  <c r="AW145" i="4"/>
  <c r="AV145" i="4"/>
  <c r="L145" i="4"/>
  <c r="AW144" i="4"/>
  <c r="AV144" i="4"/>
  <c r="L144" i="4"/>
  <c r="M144" i="4" s="1"/>
  <c r="AW143" i="4"/>
  <c r="AV143" i="4"/>
  <c r="L143" i="4"/>
  <c r="AW142" i="4"/>
  <c r="AV142" i="4"/>
  <c r="L142" i="4"/>
  <c r="AW141" i="4"/>
  <c r="AV141" i="4"/>
  <c r="L141" i="4"/>
  <c r="AW140" i="4"/>
  <c r="AV140" i="4"/>
  <c r="L140" i="4"/>
  <c r="AW139" i="4"/>
  <c r="AV139" i="4"/>
  <c r="L139" i="4"/>
  <c r="AW138" i="4"/>
  <c r="AV138" i="4"/>
  <c r="L138" i="4"/>
  <c r="M138" i="4" s="1"/>
  <c r="AW137" i="4"/>
  <c r="AV137" i="4"/>
  <c r="L137" i="4"/>
  <c r="AW136" i="4"/>
  <c r="AV136" i="4"/>
  <c r="L136" i="4"/>
  <c r="AW135" i="4"/>
  <c r="AV135" i="4"/>
  <c r="L135" i="4"/>
  <c r="AW134" i="4"/>
  <c r="AV134" i="4"/>
  <c r="L134" i="4"/>
  <c r="AW133" i="4"/>
  <c r="AV133" i="4"/>
  <c r="L133" i="4"/>
  <c r="AW132" i="4"/>
  <c r="AV132" i="4"/>
  <c r="L132" i="4"/>
  <c r="M132" i="4" s="1"/>
  <c r="AW131" i="4"/>
  <c r="AV131" i="4"/>
  <c r="L131" i="4"/>
  <c r="AW130" i="4"/>
  <c r="AV130" i="4"/>
  <c r="L130" i="4"/>
  <c r="AW129" i="4"/>
  <c r="AV129" i="4"/>
  <c r="L129" i="4"/>
  <c r="AW128" i="4"/>
  <c r="AV128" i="4"/>
  <c r="L128" i="4"/>
  <c r="AW127" i="4"/>
  <c r="AV127" i="4"/>
  <c r="L127" i="4"/>
  <c r="AW126" i="4"/>
  <c r="AV126" i="4"/>
  <c r="L126" i="4"/>
  <c r="AW125" i="4"/>
  <c r="AV125" i="4"/>
  <c r="L125" i="4"/>
  <c r="AW124" i="4"/>
  <c r="AV124" i="4"/>
  <c r="L124" i="4"/>
  <c r="AW123" i="4"/>
  <c r="AV123" i="4"/>
  <c r="L123" i="4"/>
  <c r="AW122" i="4"/>
  <c r="AV122" i="4"/>
  <c r="L122" i="4"/>
  <c r="AW121" i="4"/>
  <c r="AV121" i="4"/>
  <c r="L121" i="4"/>
  <c r="AW120" i="4"/>
  <c r="AV120" i="4"/>
  <c r="L120" i="4"/>
  <c r="M120" i="4" s="1"/>
  <c r="AW119" i="4"/>
  <c r="AV119" i="4"/>
  <c r="L119" i="4"/>
  <c r="AW118" i="4"/>
  <c r="AV118" i="4"/>
  <c r="L118" i="4"/>
  <c r="M118" i="4" s="1"/>
  <c r="AW117" i="4"/>
  <c r="AV117" i="4"/>
  <c r="L117" i="4"/>
  <c r="AW116" i="4"/>
  <c r="AV116" i="4"/>
  <c r="L116" i="4"/>
  <c r="AW115" i="4"/>
  <c r="AV115" i="4"/>
  <c r="L115" i="4"/>
  <c r="AW114" i="4"/>
  <c r="AV114" i="4"/>
  <c r="L114" i="4"/>
  <c r="AW113" i="4"/>
  <c r="AV113" i="4"/>
  <c r="L113" i="4"/>
  <c r="AW112" i="4"/>
  <c r="AV112" i="4"/>
  <c r="L112" i="4"/>
  <c r="M112" i="4" s="1"/>
  <c r="AW111" i="4"/>
  <c r="AV111" i="4"/>
  <c r="L111" i="4"/>
  <c r="AW110" i="4"/>
  <c r="AV110" i="4"/>
  <c r="L110" i="4"/>
  <c r="AW109" i="4"/>
  <c r="AV109" i="4"/>
  <c r="L109" i="4"/>
  <c r="AW108" i="4"/>
  <c r="AV108" i="4"/>
  <c r="L108" i="4"/>
  <c r="AW107" i="4"/>
  <c r="AV107" i="4"/>
  <c r="L107" i="4"/>
  <c r="AW106" i="4"/>
  <c r="AV106" i="4"/>
  <c r="L106" i="4"/>
  <c r="AW105" i="4"/>
  <c r="AV105" i="4"/>
  <c r="L105" i="4"/>
  <c r="AW104" i="4"/>
  <c r="AV104" i="4"/>
  <c r="L104" i="4"/>
  <c r="AW103" i="4"/>
  <c r="AV103" i="4"/>
  <c r="L103" i="4"/>
  <c r="M103" i="4" s="1"/>
  <c r="AW102" i="4"/>
  <c r="AV102" i="4"/>
  <c r="L102" i="4"/>
  <c r="AW101" i="4"/>
  <c r="AV101" i="4"/>
  <c r="L101" i="4"/>
  <c r="AW100" i="4"/>
  <c r="AV100" i="4"/>
  <c r="L100" i="4"/>
  <c r="AW99" i="4"/>
  <c r="AV99" i="4"/>
  <c r="L99" i="4"/>
  <c r="M99" i="4" s="1"/>
  <c r="AW98" i="4"/>
  <c r="AV98" i="4"/>
  <c r="L98" i="4"/>
  <c r="AW97" i="4"/>
  <c r="AV97" i="4"/>
  <c r="L97" i="4"/>
  <c r="AW96" i="4"/>
  <c r="AV96" i="4"/>
  <c r="L96" i="4"/>
  <c r="M96" i="4" s="1"/>
  <c r="AW95" i="4"/>
  <c r="AV95" i="4"/>
  <c r="L95" i="4"/>
  <c r="AW94" i="4"/>
  <c r="AV94" i="4"/>
  <c r="L94" i="4"/>
  <c r="AW93" i="4"/>
  <c r="AV93" i="4"/>
  <c r="L93" i="4"/>
  <c r="M93" i="4" s="1"/>
  <c r="AW92" i="4"/>
  <c r="AV92" i="4"/>
  <c r="L92" i="4"/>
  <c r="AW91" i="4"/>
  <c r="AV91" i="4"/>
  <c r="L91" i="4"/>
  <c r="AW90" i="4"/>
  <c r="AV90" i="4"/>
  <c r="L90" i="4"/>
  <c r="M90" i="4" s="1"/>
  <c r="AW89" i="4"/>
  <c r="AV89" i="4"/>
  <c r="L89" i="4"/>
  <c r="AW88" i="4"/>
  <c r="AV88" i="4"/>
  <c r="L88" i="4"/>
  <c r="AW87" i="4"/>
  <c r="AV87" i="4"/>
  <c r="L87" i="4"/>
  <c r="M87" i="4" s="1"/>
  <c r="AW86" i="4"/>
  <c r="AV86" i="4"/>
  <c r="L86" i="4"/>
  <c r="AW85" i="4"/>
  <c r="AV85" i="4"/>
  <c r="L85" i="4"/>
  <c r="AW84" i="4"/>
  <c r="AV84" i="4"/>
  <c r="L84" i="4"/>
  <c r="AW83" i="4"/>
  <c r="AV83" i="4"/>
  <c r="L83" i="4"/>
  <c r="AW82" i="4"/>
  <c r="AV82" i="4"/>
  <c r="L82" i="4"/>
  <c r="M82" i="4" s="1"/>
  <c r="AW81" i="4"/>
  <c r="AV81" i="4"/>
  <c r="L81" i="4"/>
  <c r="AW80" i="4"/>
  <c r="AV80" i="4"/>
  <c r="L80" i="4"/>
  <c r="AW79" i="4"/>
  <c r="AV79" i="4"/>
  <c r="L79" i="4"/>
  <c r="AW78" i="4"/>
  <c r="AV78" i="4"/>
  <c r="L78" i="4"/>
  <c r="AW77" i="4"/>
  <c r="AV77" i="4"/>
  <c r="L77" i="4"/>
  <c r="AW76" i="4"/>
  <c r="AV76" i="4"/>
  <c r="L76" i="4"/>
  <c r="AW75" i="4"/>
  <c r="AV75" i="4"/>
  <c r="L75" i="4"/>
  <c r="AW74" i="4"/>
  <c r="AV74" i="4"/>
  <c r="L74" i="4"/>
  <c r="AW73" i="4"/>
  <c r="AV73" i="4"/>
  <c r="L73" i="4"/>
  <c r="AW72" i="4"/>
  <c r="AV72" i="4"/>
  <c r="L72" i="4"/>
  <c r="AW71" i="4"/>
  <c r="AV71" i="4"/>
  <c r="L71" i="4"/>
  <c r="AW70" i="4"/>
  <c r="AV70" i="4"/>
  <c r="L70" i="4"/>
  <c r="AW69" i="4"/>
  <c r="AV69" i="4"/>
  <c r="L69" i="4"/>
  <c r="AW57" i="4"/>
  <c r="AV57" i="4"/>
  <c r="L57" i="4"/>
  <c r="AW56" i="4"/>
  <c r="AV56" i="4"/>
  <c r="L56" i="4"/>
  <c r="AW53" i="4"/>
  <c r="AV53" i="4"/>
  <c r="L53" i="4"/>
  <c r="AW52" i="4"/>
  <c r="AV52" i="4"/>
  <c r="L52" i="4"/>
  <c r="AW51" i="4"/>
  <c r="AV51" i="4"/>
  <c r="L51" i="4"/>
  <c r="AW50" i="4"/>
  <c r="AV50" i="4"/>
  <c r="L50" i="4"/>
  <c r="AW49" i="4"/>
  <c r="AV49" i="4"/>
  <c r="L49" i="4"/>
  <c r="AW48" i="4"/>
  <c r="AV48" i="4"/>
  <c r="L48" i="4"/>
  <c r="AW47" i="4"/>
  <c r="AV47" i="4"/>
  <c r="L47" i="4"/>
  <c r="M47" i="4" s="1"/>
  <c r="AW46" i="4"/>
  <c r="AV46" i="4"/>
  <c r="L46" i="4"/>
  <c r="AW45" i="4"/>
  <c r="AV45" i="4"/>
  <c r="L45" i="4"/>
  <c r="AW44" i="4"/>
  <c r="AV44" i="4"/>
  <c r="L44" i="4"/>
  <c r="AW43" i="4"/>
  <c r="AV43" i="4"/>
  <c r="L43" i="4"/>
  <c r="AW42" i="4"/>
  <c r="AV42" i="4"/>
  <c r="L42" i="4"/>
  <c r="AW41" i="4"/>
  <c r="AV41" i="4"/>
  <c r="L41" i="4"/>
  <c r="AW40" i="4"/>
  <c r="AV40" i="4"/>
  <c r="L40" i="4"/>
  <c r="AW39" i="4"/>
  <c r="AV39" i="4"/>
  <c r="L39" i="4"/>
  <c r="AW38" i="4"/>
  <c r="AV38" i="4"/>
  <c r="L38" i="4"/>
  <c r="AW37" i="4"/>
  <c r="AV37" i="4"/>
  <c r="L37" i="4"/>
  <c r="AW36" i="4"/>
  <c r="AV36" i="4"/>
  <c r="L36" i="4"/>
  <c r="AW35" i="4"/>
  <c r="AV35" i="4"/>
  <c r="L35" i="4"/>
  <c r="AW34" i="4"/>
  <c r="AV34" i="4"/>
  <c r="L34" i="4"/>
  <c r="AW33" i="4"/>
  <c r="AV33" i="4"/>
  <c r="L33" i="4"/>
  <c r="AW32" i="4"/>
  <c r="AV32" i="4"/>
  <c r="L32" i="4"/>
  <c r="AW31" i="4"/>
  <c r="AV31" i="4"/>
  <c r="L31" i="4"/>
  <c r="AV30" i="4"/>
  <c r="L30" i="4"/>
  <c r="AS28" i="4"/>
  <c r="X28" i="4"/>
  <c r="W28" i="4"/>
  <c r="V28" i="4"/>
  <c r="U28" i="4"/>
  <c r="T28" i="4"/>
  <c r="S28" i="4"/>
  <c r="R28" i="4"/>
  <c r="Q28" i="4"/>
  <c r="P28" i="4"/>
  <c r="O28" i="4"/>
  <c r="N28" i="4"/>
  <c r="AS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167" i="9"/>
  <c r="T630" i="9"/>
  <c r="T311" i="9"/>
  <c r="T380" i="9"/>
  <c r="T589" i="9"/>
  <c r="T593" i="9"/>
  <c r="T360" i="5"/>
  <c r="T559" i="9"/>
  <c r="T580" i="9"/>
  <c r="T345" i="9"/>
  <c r="T648" i="9"/>
  <c r="T347" i="9"/>
  <c r="T147" i="9"/>
  <c r="T570" i="9"/>
  <c r="T636" i="9"/>
  <c r="T654" i="9"/>
  <c r="T369" i="9"/>
  <c r="T416" i="9"/>
  <c r="T671" i="9"/>
  <c r="T675" i="9"/>
  <c r="T470" i="9"/>
  <c r="T60" i="9"/>
  <c r="T100" i="9"/>
  <c r="T384" i="9"/>
  <c r="T422" i="9"/>
  <c r="T441" i="9"/>
  <c r="T677" i="9"/>
  <c r="T619" i="9"/>
  <c r="T359" i="9"/>
  <c r="T457" i="9"/>
  <c r="T169" i="9"/>
  <c r="T569" i="9"/>
  <c r="T684" i="9"/>
  <c r="T364" i="5"/>
  <c r="T191" i="9"/>
  <c r="T63" i="9"/>
  <c r="T551" i="9"/>
  <c r="T587" i="9"/>
  <c r="T629" i="9"/>
  <c r="T604" i="9"/>
  <c r="T170" i="9"/>
  <c r="T413" i="9"/>
  <c r="T634" i="9"/>
  <c r="T685" i="9"/>
  <c r="T59" i="9"/>
  <c r="T301" i="9"/>
  <c r="T62" i="9"/>
  <c r="T437" i="9"/>
  <c r="T612" i="9"/>
  <c r="T340" i="5"/>
  <c r="T436" i="9"/>
  <c r="T672" i="9"/>
  <c r="T666" i="9"/>
  <c r="T375" i="9"/>
  <c r="T610" i="9"/>
  <c r="T596" i="9"/>
  <c r="T552" i="9"/>
  <c r="T376" i="9"/>
  <c r="T645" i="9"/>
  <c r="T374" i="9"/>
  <c r="T350" i="5"/>
  <c r="T616" i="9"/>
  <c r="T172" i="9"/>
  <c r="T649" i="9"/>
  <c r="T13" i="9"/>
  <c r="T17" i="9"/>
  <c r="T342" i="9"/>
  <c r="T595" i="9"/>
  <c r="T642" i="9"/>
  <c r="T474" i="9"/>
  <c r="T640" i="9"/>
  <c r="T664" i="9"/>
  <c r="T146" i="9"/>
  <c r="T341" i="9"/>
  <c r="T196" i="9"/>
  <c r="T373" i="9"/>
  <c r="T302" i="9"/>
  <c r="T166" i="9"/>
  <c r="T420" i="9"/>
  <c r="T434" i="9"/>
  <c r="T644" i="9"/>
  <c r="T477" i="9"/>
  <c r="T615" i="9"/>
  <c r="T14" i="9"/>
  <c r="T590" i="9"/>
  <c r="T195" i="9"/>
  <c r="T594" i="9"/>
  <c r="T251" i="9"/>
  <c r="T657" i="9"/>
  <c r="T194" i="9"/>
  <c r="T607" i="9"/>
  <c r="T98" i="9"/>
  <c r="T556" i="9"/>
  <c r="T653" i="9"/>
  <c r="T660" i="9"/>
  <c r="T101" i="9"/>
  <c r="T61" i="9"/>
  <c r="T58" i="9"/>
  <c r="T632" i="9"/>
  <c r="T621" i="9"/>
  <c r="T560" i="9"/>
  <c r="T394" i="9"/>
  <c r="T583" i="9"/>
  <c r="T214" i="9"/>
  <c r="T192" i="9"/>
  <c r="T149" i="9"/>
  <c r="T370" i="9"/>
  <c r="T97" i="9"/>
  <c r="T674" i="9"/>
  <c r="T458" i="9"/>
  <c r="T586" i="9"/>
  <c r="T581" i="9"/>
  <c r="T303" i="9"/>
  <c r="T599" i="9"/>
  <c r="T646" i="9"/>
  <c r="T444" i="9"/>
  <c r="T346" i="9"/>
  <c r="T659" i="9"/>
  <c r="T579" i="9"/>
  <c r="T193" i="9"/>
  <c r="T401" i="9"/>
  <c r="T558" i="9"/>
  <c r="T356" i="9"/>
  <c r="T377" i="9"/>
  <c r="T353" i="9"/>
  <c r="T606" i="9"/>
  <c r="T600" i="9"/>
  <c r="T453" i="9"/>
  <c r="T625" i="9"/>
  <c r="T403" i="9"/>
  <c r="T572" i="9"/>
  <c r="T469" i="9"/>
  <c r="T197" i="9"/>
  <c r="T378" i="9"/>
  <c r="T99" i="9"/>
  <c r="T15" i="9"/>
  <c r="T354" i="5"/>
  <c r="T362" i="5"/>
  <c r="T681" i="9"/>
  <c r="T602" i="9"/>
  <c r="T341" i="5"/>
  <c r="T585" i="9"/>
  <c r="T670" i="9"/>
  <c r="T650" i="9"/>
  <c r="T631" i="9"/>
  <c r="T340" i="9"/>
  <c r="T555" i="9"/>
  <c r="T669" i="9"/>
  <c r="T676" i="9"/>
  <c r="T576" i="9"/>
  <c r="T346" i="5"/>
  <c r="T438" i="9"/>
  <c r="T456" i="9"/>
  <c r="T678" i="9"/>
  <c r="T598" i="9"/>
  <c r="T622" i="9"/>
  <c r="T614" i="9"/>
  <c r="T553" i="9"/>
  <c r="T667" i="9"/>
  <c r="T613" i="9"/>
  <c r="T658" i="9"/>
  <c r="T673" i="9"/>
  <c r="T618" i="9"/>
  <c r="T298" i="9"/>
  <c r="T661" i="9"/>
  <c r="T683" i="9"/>
  <c r="R5" i="6" a="1"/>
  <c r="T626" i="9"/>
  <c r="T468" i="9"/>
  <c r="T102" i="9"/>
  <c r="T210" i="9"/>
  <c r="T557" i="9"/>
  <c r="T324" i="9"/>
  <c r="T574" i="9"/>
  <c r="T411" i="9"/>
  <c r="T475" i="9"/>
  <c r="T299" i="9"/>
  <c r="T624" i="9"/>
  <c r="T608" i="9"/>
  <c r="T638" i="9"/>
  <c r="T455" i="9"/>
  <c r="T633" i="9"/>
  <c r="T663" i="9"/>
  <c r="T578" i="9"/>
  <c r="T554" i="9"/>
  <c r="T647" i="9"/>
  <c r="T584" i="9"/>
  <c r="T419" i="9"/>
  <c r="T627" i="9"/>
  <c r="T367" i="9"/>
  <c r="T439" i="9"/>
  <c r="T471" i="9"/>
  <c r="T454" i="9"/>
  <c r="T352" i="5"/>
  <c r="T641" i="9"/>
  <c r="T348" i="5"/>
  <c r="T145" i="9"/>
  <c r="T662" i="9"/>
  <c r="T366" i="5"/>
  <c r="T476" i="9"/>
  <c r="T358" i="5"/>
  <c r="T325" i="9"/>
  <c r="T150" i="9"/>
  <c r="T212" i="9"/>
  <c r="T567" i="9"/>
  <c r="T168" i="9"/>
  <c r="T597" i="9"/>
  <c r="T356" i="5"/>
  <c r="T473" i="9"/>
  <c r="T655" i="9"/>
  <c r="T344" i="9"/>
  <c r="T297" i="9"/>
  <c r="T421" i="9"/>
  <c r="T215" i="9"/>
  <c r="T573" i="9"/>
  <c r="T213" i="9"/>
  <c r="T564" i="9"/>
  <c r="T682" i="9"/>
  <c r="T171" i="9"/>
  <c r="T628" i="9"/>
  <c r="T355" i="9"/>
  <c r="T651" i="9"/>
  <c r="T418" i="9"/>
  <c r="T148" i="9"/>
  <c r="T635" i="9"/>
  <c r="T620" i="9"/>
  <c r="T588" i="9"/>
  <c r="T248" i="9"/>
  <c r="T12" i="9"/>
  <c r="T16" i="9"/>
  <c r="T300" i="9"/>
  <c r="T566" i="9"/>
  <c r="T383" i="9"/>
  <c r="T665" i="9"/>
  <c r="T304" i="9"/>
  <c r="T417" i="9"/>
  <c r="T563" i="9"/>
  <c r="T575" i="9"/>
  <c r="T343" i="9"/>
  <c r="T561" i="9"/>
  <c r="T680" i="9"/>
  <c r="T472" i="9"/>
  <c r="T211" i="9"/>
  <c r="T679" i="9"/>
  <c r="T249" i="9"/>
  <c r="T605" i="9"/>
  <c r="T611" i="9"/>
  <c r="T435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586" i="9"/>
  <c r="U676" i="9"/>
  <c r="AI676" i="9"/>
  <c r="AJ676" i="9" s="1"/>
  <c r="V676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AI596" i="9"/>
  <c r="AJ596" i="9" s="1"/>
  <c r="V596" i="9"/>
  <c r="U596" i="9"/>
  <c r="AI16" i="9"/>
  <c r="AJ16" i="9" s="1"/>
  <c r="U16" i="9"/>
  <c r="V16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X355" i="5"/>
  <c r="V356" i="5"/>
  <c r="W355" i="5" s="1"/>
  <c r="U356" i="5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12" i="9"/>
  <c r="AI12" i="9"/>
  <c r="AJ12" i="9" s="1"/>
  <c r="U12" i="9"/>
  <c r="V574" i="9"/>
  <c r="AI595" i="9"/>
  <c r="AJ595" i="9" s="1"/>
  <c r="V595" i="9"/>
  <c r="U595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AI674" i="9"/>
  <c r="AJ674" i="9" s="1"/>
  <c r="V674" i="9"/>
  <c r="U674" i="9"/>
  <c r="V604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AI301" i="9"/>
  <c r="AJ301" i="9" s="1"/>
  <c r="V301" i="9"/>
  <c r="U301" i="9"/>
  <c r="V576" i="9"/>
  <c r="V588" i="9"/>
  <c r="V370" i="9"/>
  <c r="AI647" i="9"/>
  <c r="AJ647" i="9" s="1"/>
  <c r="V647" i="9"/>
  <c r="U647" i="9"/>
  <c r="U627" i="9"/>
  <c r="V627" i="9"/>
  <c r="AI627" i="9"/>
  <c r="AJ627" i="9" s="1"/>
  <c r="X357" i="5"/>
  <c r="V358" i="5"/>
  <c r="W357" i="5" s="1"/>
  <c r="U358" i="5"/>
  <c r="V642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V622" i="9"/>
  <c r="AI469" i="9"/>
  <c r="AJ469" i="9" s="1"/>
  <c r="V469" i="9"/>
  <c r="U469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56" i="9"/>
  <c r="V665" i="9"/>
  <c r="AI375" i="9"/>
  <c r="AJ375" i="9" s="1"/>
  <c r="U375" i="9"/>
  <c r="V375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196" i="9"/>
  <c r="AN196" i="9" s="1"/>
  <c r="AO196" i="9" s="1"/>
  <c r="AI364" i="5"/>
  <c r="AJ364" i="5" s="1"/>
  <c r="AI358" i="5"/>
  <c r="AJ358" i="5" s="1"/>
  <c r="AI356" i="5"/>
  <c r="AJ356" i="5" s="1"/>
  <c r="AI354" i="5"/>
  <c r="AJ354" i="5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601" i="9"/>
  <c r="T652" i="9"/>
  <c r="T289" i="5"/>
  <c r="T262" i="9"/>
  <c r="T106" i="5"/>
  <c r="T228" i="5"/>
  <c r="T272" i="5"/>
  <c r="T337" i="5"/>
  <c r="T344" i="5"/>
  <c r="T269" i="5"/>
  <c r="T96" i="5"/>
  <c r="T301" i="5"/>
  <c r="T37" i="5"/>
  <c r="T31" i="5"/>
  <c r="T50" i="5"/>
  <c r="T38" i="5"/>
  <c r="T81" i="5"/>
  <c r="T177" i="5"/>
  <c r="T187" i="5"/>
  <c r="T252" i="5"/>
  <c r="T291" i="5"/>
  <c r="T157" i="5"/>
  <c r="T192" i="5"/>
  <c r="T257" i="5"/>
  <c r="T306" i="5"/>
  <c r="T216" i="9"/>
  <c r="T191" i="5"/>
  <c r="T54" i="5"/>
  <c r="T221" i="5"/>
  <c r="T249" i="5"/>
  <c r="T42" i="5"/>
  <c r="T137" i="5"/>
  <c r="T335" i="5"/>
  <c r="T25" i="5"/>
  <c r="T235" i="9"/>
  <c r="T268" i="5"/>
  <c r="T99" i="5"/>
  <c r="T87" i="5"/>
  <c r="T163" i="5"/>
  <c r="T66" i="5"/>
  <c r="T173" i="5"/>
  <c r="T35" i="5"/>
  <c r="T270" i="5"/>
  <c r="T55" i="5"/>
  <c r="T124" i="5"/>
  <c r="T65" i="5"/>
  <c r="T308" i="5"/>
  <c r="T293" i="5"/>
  <c r="T268" i="9"/>
  <c r="T153" i="5"/>
  <c r="T165" i="5"/>
  <c r="T215" i="5"/>
  <c r="T174" i="5"/>
  <c r="T235" i="5"/>
  <c r="T238" i="9"/>
  <c r="T115" i="5"/>
  <c r="T139" i="5"/>
  <c r="T254" i="9"/>
  <c r="T156" i="5"/>
  <c r="T53" i="5"/>
  <c r="T195" i="5"/>
  <c r="T116" i="5"/>
  <c r="T253" i="5"/>
  <c r="T158" i="5"/>
  <c r="T126" i="5"/>
  <c r="T502" i="9"/>
  <c r="T152" i="5"/>
  <c r="T255" i="5"/>
  <c r="T112" i="5"/>
  <c r="T305" i="9"/>
  <c r="T83" i="5"/>
  <c r="T245" i="5"/>
  <c r="T294" i="5"/>
  <c r="T128" i="5"/>
  <c r="T18" i="9"/>
  <c r="T155" i="5"/>
  <c r="T206" i="5"/>
  <c r="T172" i="5"/>
  <c r="T56" i="5"/>
  <c r="T258" i="5"/>
  <c r="T275" i="9"/>
  <c r="T170" i="5"/>
  <c r="T263" i="9"/>
  <c r="T130" i="5"/>
  <c r="T70" i="5"/>
  <c r="T261" i="5"/>
  <c r="T379" i="9"/>
  <c r="T240" i="9"/>
  <c r="T140" i="5"/>
  <c r="T254" i="5"/>
  <c r="T151" i="9"/>
  <c r="T162" i="5"/>
  <c r="T14" i="5"/>
  <c r="T227" i="5"/>
  <c r="T29" i="5"/>
  <c r="T141" i="5"/>
  <c r="T330" i="5"/>
  <c r="T98" i="5"/>
  <c r="T213" i="5"/>
  <c r="T267" i="9"/>
  <c r="T110" i="5"/>
  <c r="T264" i="5"/>
  <c r="T259" i="5"/>
  <c r="T285" i="5"/>
  <c r="T46" i="5"/>
  <c r="T237" i="9"/>
  <c r="T296" i="5"/>
  <c r="T304" i="5"/>
  <c r="T233" i="9"/>
  <c r="T300" i="5"/>
  <c r="T168" i="5"/>
  <c r="T134" i="5"/>
  <c r="T327" i="5"/>
  <c r="T104" i="5"/>
  <c r="T160" i="5"/>
  <c r="T28" i="5"/>
  <c r="R5" i="4" a="1"/>
  <c r="T315" i="5"/>
  <c r="T175" i="5"/>
  <c r="T133" i="5"/>
  <c r="T122" i="5"/>
  <c r="T288" i="5"/>
  <c r="T52" i="5"/>
  <c r="T276" i="9"/>
  <c r="T329" i="5"/>
  <c r="T97" i="5"/>
  <c r="T76" i="5"/>
  <c r="T180" i="5"/>
  <c r="T325" i="5"/>
  <c r="T193" i="5"/>
  <c r="T241" i="5"/>
  <c r="T75" i="5"/>
  <c r="T236" i="9"/>
  <c r="T197" i="5"/>
  <c r="T258" i="9"/>
  <c r="T149" i="5"/>
  <c r="T229" i="5"/>
  <c r="T319" i="5"/>
  <c r="T273" i="5"/>
  <c r="T120" i="5"/>
  <c r="T266" i="5"/>
  <c r="T119" i="5"/>
  <c r="T267" i="5"/>
  <c r="T186" i="5"/>
  <c r="T127" i="5"/>
  <c r="T317" i="5"/>
  <c r="T89" i="5"/>
  <c r="T11" i="5"/>
  <c r="T270" i="9"/>
  <c r="T107" i="5"/>
  <c r="T169" i="5"/>
  <c r="T61" i="5"/>
  <c r="T94" i="5"/>
  <c r="T17" i="5"/>
  <c r="T222" i="5"/>
  <c r="T57" i="5"/>
  <c r="T90" i="5"/>
  <c r="T321" i="5"/>
  <c r="T159" i="5"/>
  <c r="T203" i="5"/>
  <c r="T211" i="5"/>
  <c r="T194" i="5"/>
  <c r="T198" i="9"/>
  <c r="T224" i="5"/>
  <c r="T125" i="5"/>
  <c r="T274" i="9"/>
  <c r="T71" i="5"/>
  <c r="T173" i="9"/>
  <c r="T230" i="9"/>
  <c r="T236" i="5"/>
  <c r="T144" i="5"/>
  <c r="T93" i="5"/>
  <c r="T251" i="5"/>
  <c r="T323" i="5"/>
  <c r="T147" i="5"/>
  <c r="T84" i="5"/>
  <c r="T142" i="5"/>
  <c r="T19" i="5"/>
  <c r="T241" i="9"/>
  <c r="T210" i="5"/>
  <c r="T262" i="5"/>
  <c r="T209" i="5"/>
  <c r="T18" i="5"/>
  <c r="T331" i="5"/>
  <c r="T440" i="9"/>
  <c r="T265" i="5"/>
  <c r="T181" i="5"/>
  <c r="T161" i="5"/>
  <c r="T146" i="5"/>
  <c r="T286" i="5"/>
  <c r="T271" i="9"/>
  <c r="T148" i="5"/>
  <c r="T189" i="5"/>
  <c r="T108" i="5"/>
  <c r="T207" i="5"/>
  <c r="T32" i="5"/>
  <c r="T316" i="5"/>
  <c r="T290" i="5"/>
  <c r="T176" i="5"/>
  <c r="T23" i="5"/>
  <c r="T12" i="5"/>
  <c r="T178" i="5"/>
  <c r="T231" i="9"/>
  <c r="T205" i="5"/>
  <c r="T91" i="5"/>
  <c r="T67" i="5"/>
  <c r="T109" i="5"/>
  <c r="T253" i="9"/>
  <c r="T248" i="5"/>
  <c r="T459" i="9"/>
  <c r="T179" i="5"/>
  <c r="T297" i="5"/>
  <c r="T123" i="5"/>
  <c r="T102" i="5"/>
  <c r="T27" i="5"/>
  <c r="T338" i="5"/>
  <c r="T13" i="5"/>
  <c r="T77" i="5"/>
  <c r="T234" i="5"/>
  <c r="T259" i="9"/>
  <c r="T273" i="9"/>
  <c r="T45" i="5"/>
  <c r="T78" i="5"/>
  <c r="T287" i="5"/>
  <c r="T101" i="5"/>
  <c r="T311" i="5"/>
  <c r="T182" i="5"/>
  <c r="T21" i="5"/>
  <c r="T198" i="5"/>
  <c r="T233" i="5"/>
  <c r="T26" i="5"/>
  <c r="T44" i="5"/>
  <c r="T223" i="5"/>
  <c r="T242" i="5"/>
  <c r="T113" i="5"/>
  <c r="T80" i="5"/>
  <c r="T58" i="5"/>
  <c r="T239" i="5"/>
  <c r="T22" i="5"/>
  <c r="T313" i="5"/>
  <c r="T20" i="5"/>
  <c r="T503" i="9"/>
  <c r="T41" i="5"/>
  <c r="T47" i="5"/>
  <c r="T343" i="5"/>
  <c r="T105" i="5"/>
  <c r="T298" i="5"/>
  <c r="T136" i="5"/>
  <c r="T333" i="5"/>
  <c r="T129" i="5"/>
  <c r="T263" i="5"/>
  <c r="T292" i="5"/>
  <c r="T154" i="5"/>
  <c r="T95" i="5"/>
  <c r="T73" i="5"/>
  <c r="T246" i="5"/>
  <c r="T30" i="5"/>
  <c r="T240" i="5"/>
  <c r="T231" i="5"/>
  <c r="T100" i="5"/>
  <c r="T171" i="5"/>
  <c r="T88" i="5"/>
  <c r="T72" i="5"/>
  <c r="T266" i="9"/>
  <c r="T295" i="5"/>
  <c r="T461" i="9"/>
  <c r="T82" i="5"/>
  <c r="T135" i="5"/>
  <c r="T151" i="5"/>
  <c r="T51" i="5"/>
  <c r="T131" i="5"/>
  <c r="T164" i="5"/>
  <c r="T225" i="5"/>
  <c r="T204" i="5"/>
  <c r="T132" i="5"/>
  <c r="T188" i="5"/>
  <c r="T60" i="5"/>
  <c r="T150" i="5"/>
  <c r="T43" i="5"/>
  <c r="T185" i="5"/>
  <c r="T245" i="9"/>
  <c r="T257" i="9"/>
  <c r="T255" i="9"/>
  <c r="T219" i="5"/>
  <c r="T218" i="5"/>
  <c r="T36" i="5"/>
  <c r="T212" i="5"/>
  <c r="T247" i="5"/>
  <c r="T121" i="5"/>
  <c r="T64" i="9"/>
  <c r="T63" i="5"/>
  <c r="T85" i="5"/>
  <c r="T269" i="9"/>
  <c r="T217" i="5"/>
  <c r="T505" i="9"/>
  <c r="T145" i="5"/>
  <c r="T216" i="5"/>
  <c r="T86" i="5"/>
  <c r="T68" i="5"/>
  <c r="T117" i="5"/>
  <c r="T260" i="5"/>
  <c r="T40" i="5"/>
  <c r="T103" i="9"/>
  <c r="T302" i="5"/>
  <c r="T201" i="5"/>
  <c r="T111" i="5"/>
  <c r="T166" i="5"/>
  <c r="T62" i="5"/>
  <c r="T48" i="5"/>
  <c r="T243" i="5"/>
  <c r="T183" i="5"/>
  <c r="T33" i="5"/>
  <c r="T310" i="5"/>
  <c r="T143" i="5"/>
  <c r="T237" i="5"/>
  <c r="T16" i="5"/>
  <c r="T232" i="9"/>
  <c r="T278" i="9"/>
  <c r="V652" i="9" l="1"/>
  <c r="W643" i="9" s="1"/>
  <c r="AI652" i="9"/>
  <c r="AJ652" i="9" s="1"/>
  <c r="V601" i="9"/>
  <c r="AI601" i="9"/>
  <c r="AN601" i="9" s="1"/>
  <c r="AJ600" i="9"/>
  <c r="W603" i="9"/>
  <c r="AI461" i="9"/>
  <c r="AN461" i="9" s="1"/>
  <c r="AO461" i="9" s="1"/>
  <c r="V461" i="9"/>
  <c r="W656" i="9"/>
  <c r="AJ98" i="9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00" i="9"/>
  <c r="V305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S601" i="9"/>
  <c r="AX601" i="9" s="1"/>
  <c r="AY601" i="9" s="1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O601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217" i="9"/>
  <c r="T19" i="9"/>
  <c r="T517" i="9"/>
  <c r="T494" i="9"/>
  <c r="T199" i="9"/>
  <c r="T462" i="9"/>
  <c r="T153" i="9"/>
  <c r="T499" i="9"/>
  <c r="T274" i="5"/>
  <c r="T525" i="9"/>
  <c r="T491" i="9"/>
  <c r="T484" i="9"/>
  <c r="T528" i="9"/>
  <c r="T530" i="9"/>
  <c r="T424" i="9"/>
  <c r="T509" i="9"/>
  <c r="T520" i="9"/>
  <c r="T524" i="9"/>
  <c r="T523" i="9"/>
  <c r="T516" i="9"/>
  <c r="T348" i="9"/>
  <c r="T495" i="9"/>
  <c r="T487" i="9"/>
  <c r="T489" i="9"/>
  <c r="T478" i="9"/>
  <c r="T508" i="9"/>
  <c r="T512" i="9"/>
  <c r="T65" i="9"/>
  <c r="T382" i="9"/>
  <c r="T490" i="9"/>
  <c r="T306" i="9"/>
  <c r="T104" i="9"/>
  <c r="T485" i="9"/>
  <c r="T174" i="9"/>
  <c r="T532" i="9"/>
  <c r="T486" i="9"/>
  <c r="T529" i="9"/>
  <c r="T199" i="5"/>
  <c r="T522" i="9"/>
  <c r="T513" i="9"/>
  <c r="T460" i="9"/>
  <c r="T507" i="9"/>
  <c r="T521" i="9"/>
  <c r="T492" i="9"/>
  <c r="T261" i="9"/>
  <c r="T511" i="9"/>
  <c r="T527" i="9"/>
  <c r="AJ601" i="9" l="1"/>
  <c r="AS461" i="9"/>
  <c r="AT461" i="9" s="1"/>
  <c r="AJ461" i="9"/>
  <c r="V382" i="9"/>
  <c r="V462" i="9"/>
  <c r="AI462" i="9"/>
  <c r="AJ462" i="9" s="1"/>
  <c r="AI478" i="9"/>
  <c r="AJ478" i="9" s="1"/>
  <c r="V478" i="9"/>
  <c r="AS626" i="9"/>
  <c r="AT626" i="9" s="1"/>
  <c r="V532" i="9"/>
  <c r="AI532" i="9"/>
  <c r="AJ532" i="9" s="1"/>
  <c r="U532" i="9"/>
  <c r="AO98" i="9"/>
  <c r="AS98" i="9"/>
  <c r="AS167" i="9"/>
  <c r="AT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W504" i="9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W501" i="9"/>
  <c r="AN505" i="9"/>
  <c r="AO505" i="9" s="1"/>
  <c r="AT601" i="9"/>
  <c r="AX662" i="9"/>
  <c r="AY662" i="9" s="1"/>
  <c r="AX551" i="9"/>
  <c r="AY551" i="9" s="1"/>
  <c r="AT600" i="9"/>
  <c r="AX600" i="9"/>
  <c r="AY600" i="9" s="1"/>
  <c r="AS558" i="9"/>
  <c r="AT558" i="9" s="1"/>
  <c r="V306" i="9"/>
  <c r="AH350" i="9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L384" i="9"/>
  <c r="AM38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23" i="2"/>
  <c r="I7" i="2"/>
  <c r="G7" i="2"/>
  <c r="I6" i="2"/>
  <c r="G6" i="2"/>
  <c r="E3" i="2"/>
  <c r="J3" i="2"/>
  <c r="T562" i="9"/>
  <c r="T709" i="9"/>
  <c r="T200" i="9"/>
  <c r="T714" i="9"/>
  <c r="T442" i="9"/>
  <c r="T515" i="9"/>
  <c r="T722" i="9"/>
  <c r="T727" i="9"/>
  <c r="T694" i="9"/>
  <c r="T708" i="9"/>
  <c r="T697" i="9"/>
  <c r="T425" i="9"/>
  <c r="T720" i="9"/>
  <c r="T479" i="9"/>
  <c r="T230" i="5"/>
  <c r="T350" i="9"/>
  <c r="T175" i="9"/>
  <c r="T688" i="9"/>
  <c r="T718" i="9"/>
  <c r="T105" i="9"/>
  <c r="T704" i="9"/>
  <c r="T689" i="9"/>
  <c r="T725" i="9"/>
  <c r="T692" i="9"/>
  <c r="T713" i="9"/>
  <c r="T154" i="9"/>
  <c r="T705" i="9"/>
  <c r="T349" i="9"/>
  <c r="T719" i="9"/>
  <c r="T218" i="9"/>
  <c r="T706" i="9"/>
  <c r="T307" i="9"/>
  <c r="T729" i="9"/>
  <c r="T690" i="9"/>
  <c r="T695" i="9"/>
  <c r="T20" i="9"/>
  <c r="T275" i="5"/>
  <c r="T200" i="5"/>
  <c r="T693" i="9"/>
  <c r="T381" i="9"/>
  <c r="T687" i="9"/>
  <c r="T702" i="9"/>
  <c r="T698" i="9"/>
  <c r="T724" i="9"/>
  <c r="T66" i="9"/>
  <c r="T463" i="9"/>
  <c r="T726" i="9"/>
  <c r="T717" i="9"/>
  <c r="T710" i="9"/>
  <c r="T721" i="9"/>
  <c r="V562" i="9" l="1"/>
  <c r="W550" i="9" s="1"/>
  <c r="AX461" i="9"/>
  <c r="AY461" i="9" s="1"/>
  <c r="V690" i="9"/>
  <c r="AI690" i="9"/>
  <c r="AJ690" i="9" s="1"/>
  <c r="U690" i="9"/>
  <c r="V729" i="9"/>
  <c r="W531" i="9" s="1"/>
  <c r="X728" i="9"/>
  <c r="X277" i="9"/>
  <c r="U729" i="9"/>
  <c r="AI729" i="9"/>
  <c r="AJ729" i="9" s="1"/>
  <c r="X531" i="9"/>
  <c r="AN478" i="9"/>
  <c r="AS478" i="9" s="1"/>
  <c r="AT478" i="9" s="1"/>
  <c r="AN462" i="9"/>
  <c r="AI479" i="9"/>
  <c r="AJ479" i="9" s="1"/>
  <c r="V479" i="9"/>
  <c r="V463" i="9"/>
  <c r="AI463" i="9"/>
  <c r="AJ463" i="9" s="1"/>
  <c r="V350" i="9"/>
  <c r="AI350" i="9"/>
  <c r="AJ350" i="9" s="1"/>
  <c r="AI713" i="9"/>
  <c r="AJ713" i="9" s="1"/>
  <c r="V713" i="9"/>
  <c r="U713" i="9"/>
  <c r="AX167" i="9"/>
  <c r="AY167" i="9" s="1"/>
  <c r="AX626" i="9"/>
  <c r="AY626" i="9" s="1"/>
  <c r="AN532" i="9"/>
  <c r="AO532" i="9" s="1"/>
  <c r="X493" i="9"/>
  <c r="X696" i="9"/>
  <c r="V697" i="9"/>
  <c r="AI697" i="9"/>
  <c r="AJ697" i="9" s="1"/>
  <c r="U697" i="9"/>
  <c r="X239" i="9"/>
  <c r="U698" i="9"/>
  <c r="V698" i="9"/>
  <c r="AI698" i="9"/>
  <c r="AJ698" i="9" s="1"/>
  <c r="AX436" i="9"/>
  <c r="AY436" i="9" s="1"/>
  <c r="AT98" i="9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S503" i="9"/>
  <c r="AX503" i="9" s="1"/>
  <c r="AY503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S505" i="9"/>
  <c r="AT505" i="9" s="1"/>
  <c r="AN530" i="9"/>
  <c r="AO530" i="9" s="1"/>
  <c r="AN487" i="9"/>
  <c r="AO487" i="9" s="1"/>
  <c r="AN523" i="9"/>
  <c r="AO523" i="9" s="1"/>
  <c r="AN509" i="9"/>
  <c r="AO509" i="9" s="1"/>
  <c r="AN524" i="9"/>
  <c r="AS524" i="9" s="1"/>
  <c r="AT524" i="9" s="1"/>
  <c r="AN491" i="9"/>
  <c r="AO491" i="9" s="1"/>
  <c r="AN486" i="9"/>
  <c r="AO486" i="9" s="1"/>
  <c r="AN520" i="9"/>
  <c r="AO520" i="9" s="1"/>
  <c r="AO502" i="9"/>
  <c r="AS502" i="9"/>
  <c r="AN484" i="9"/>
  <c r="AO484" i="9" s="1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Q431" i="9"/>
  <c r="AR430" i="9"/>
  <c r="AS667" i="9"/>
  <c r="AT667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CF463" i="9"/>
  <c r="N463" i="9"/>
  <c r="U463" i="9"/>
  <c r="AV480" i="9"/>
  <c r="AW479" i="9"/>
  <c r="U383" i="9"/>
  <c r="N383" i="9"/>
  <c r="CF383" i="9"/>
  <c r="AN460" i="9"/>
  <c r="AO460" i="9" s="1"/>
  <c r="AM448" i="9"/>
  <c r="AL449" i="9"/>
  <c r="K465" i="9"/>
  <c r="L464" i="9"/>
  <c r="L384" i="9"/>
  <c r="K385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T155" i="9"/>
  <c r="T308" i="9"/>
  <c r="T276" i="5"/>
  <c r="T480" i="9"/>
  <c r="T106" i="9"/>
  <c r="T201" i="9"/>
  <c r="T219" i="9"/>
  <c r="T67" i="9"/>
  <c r="T176" i="9"/>
  <c r="T426" i="9"/>
  <c r="T518" i="9"/>
  <c r="T443" i="9"/>
  <c r="T21" i="9"/>
  <c r="AN690" i="9" l="1"/>
  <c r="AO690" i="9" s="1"/>
  <c r="W277" i="9"/>
  <c r="W728" i="9"/>
  <c r="AN729" i="9"/>
  <c r="AO729" i="9" s="1"/>
  <c r="AN350" i="9"/>
  <c r="AS350" i="9" s="1"/>
  <c r="AT350" i="9" s="1"/>
  <c r="AO478" i="9"/>
  <c r="AX478" i="9"/>
  <c r="AY478" i="9" s="1"/>
  <c r="AN479" i="9"/>
  <c r="AS479" i="9" s="1"/>
  <c r="AT479" i="9" s="1"/>
  <c r="AS462" i="9"/>
  <c r="AT462" i="9" s="1"/>
  <c r="AO462" i="9"/>
  <c r="V480" i="9"/>
  <c r="AI480" i="9"/>
  <c r="AJ480" i="9" s="1"/>
  <c r="AN713" i="9"/>
  <c r="AO713" i="9" s="1"/>
  <c r="AN463" i="9"/>
  <c r="W493" i="9"/>
  <c r="W696" i="9"/>
  <c r="W239" i="9"/>
  <c r="AS532" i="9"/>
  <c r="AT532" i="9" s="1"/>
  <c r="AN697" i="9"/>
  <c r="AO697" i="9" s="1"/>
  <c r="AN698" i="9"/>
  <c r="AS698" i="9" s="1"/>
  <c r="AT698" i="9" s="1"/>
  <c r="AN714" i="9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517" i="9"/>
  <c r="AT517" i="9" s="1"/>
  <c r="W716" i="9"/>
  <c r="W272" i="9"/>
  <c r="AN724" i="9"/>
  <c r="AS724" i="9" s="1"/>
  <c r="AT724" i="9" s="1"/>
  <c r="W506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T503" i="9"/>
  <c r="AS527" i="9"/>
  <c r="AT527" i="9" s="1"/>
  <c r="AS491" i="9"/>
  <c r="AT491" i="9" s="1"/>
  <c r="AX490" i="9"/>
  <c r="AY490" i="9" s="1"/>
  <c r="AO490" i="9"/>
  <c r="AO511" i="9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486" i="9"/>
  <c r="AS520" i="9"/>
  <c r="AT520" i="9" s="1"/>
  <c r="AT502" i="9"/>
  <c r="AX502" i="9"/>
  <c r="AY502" i="9" s="1"/>
  <c r="AS484" i="9"/>
  <c r="AJ307" i="9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S679" i="9"/>
  <c r="AT679" i="9" s="1"/>
  <c r="AM480" i="9"/>
  <c r="AL481" i="9"/>
  <c r="AH353" i="9"/>
  <c r="AG354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X550" i="9" s="1"/>
  <c r="AO307" i="9"/>
  <c r="N563" i="9"/>
  <c r="CF563" i="9"/>
  <c r="U563" i="9"/>
  <c r="AL683" i="9"/>
  <c r="AM682" i="9"/>
  <c r="CF683" i="9"/>
  <c r="N683" i="9"/>
  <c r="U683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383" i="9"/>
  <c r="AO383" i="9" s="1"/>
  <c r="L353" i="9"/>
  <c r="K354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L309" i="9"/>
  <c r="K310" i="9"/>
  <c r="AM353" i="9"/>
  <c r="AL354" i="9"/>
  <c r="AV432" i="9"/>
  <c r="AW432" i="9" s="1"/>
  <c r="AW431" i="9"/>
  <c r="AX459" i="9"/>
  <c r="AY459" i="9" s="1"/>
  <c r="AG448" i="9"/>
  <c r="AH447" i="9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637" i="9"/>
  <c r="T277" i="5"/>
  <c r="T309" i="9"/>
  <c r="T446" i="9"/>
  <c r="T22" i="9"/>
  <c r="T202" i="9"/>
  <c r="T427" i="9"/>
  <c r="T466" i="9"/>
  <c r="T712" i="9"/>
  <c r="T220" i="9"/>
  <c r="T352" i="9"/>
  <c r="T177" i="9"/>
  <c r="T68" i="9"/>
  <c r="T465" i="9"/>
  <c r="T107" i="9"/>
  <c r="T481" i="9"/>
  <c r="T156" i="9"/>
  <c r="V637" i="9" l="1"/>
  <c r="AS690" i="9"/>
  <c r="AT690" i="9" s="1"/>
  <c r="AS729" i="9"/>
  <c r="AT729" i="9" s="1"/>
  <c r="AX350" i="9"/>
  <c r="AY350" i="9" s="1"/>
  <c r="AO350" i="9"/>
  <c r="AO479" i="9"/>
  <c r="AX479" i="9"/>
  <c r="AY479" i="9" s="1"/>
  <c r="AN480" i="9"/>
  <c r="AS480" i="9" s="1"/>
  <c r="AT480" i="9" s="1"/>
  <c r="AS713" i="9"/>
  <c r="AT713" i="9" s="1"/>
  <c r="AX462" i="9"/>
  <c r="AY462" i="9" s="1"/>
  <c r="X668" i="9"/>
  <c r="AX722" i="9"/>
  <c r="AY722" i="9" s="1"/>
  <c r="V465" i="9"/>
  <c r="AI465" i="9"/>
  <c r="AJ465" i="9" s="1"/>
  <c r="V466" i="9"/>
  <c r="AI466" i="9"/>
  <c r="AJ466" i="9" s="1"/>
  <c r="V481" i="9"/>
  <c r="AI481" i="9"/>
  <c r="AJ481" i="9" s="1"/>
  <c r="V309" i="9"/>
  <c r="V446" i="9"/>
  <c r="AI446" i="9"/>
  <c r="AN446" i="9" s="1"/>
  <c r="AO446" i="9" s="1"/>
  <c r="AO463" i="9"/>
  <c r="AS463" i="9"/>
  <c r="AS721" i="9"/>
  <c r="AT721" i="9" s="1"/>
  <c r="AX532" i="9"/>
  <c r="AY532" i="9" s="1"/>
  <c r="AS697" i="9"/>
  <c r="AT697" i="9" s="1"/>
  <c r="AX698" i="9"/>
  <c r="AY698" i="9" s="1"/>
  <c r="AO698" i="9"/>
  <c r="V712" i="9"/>
  <c r="W260" i="9" s="1"/>
  <c r="X711" i="9"/>
  <c r="AI712" i="9"/>
  <c r="AJ712" i="9" s="1"/>
  <c r="U712" i="9"/>
  <c r="X260" i="9"/>
  <c r="X514" i="9"/>
  <c r="AS705" i="9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515" i="9"/>
  <c r="AY515" i="9" s="1"/>
  <c r="AO515" i="9"/>
  <c r="AX517" i="9"/>
  <c r="AY517" i="9" s="1"/>
  <c r="AX528" i="9"/>
  <c r="AY528" i="9" s="1"/>
  <c r="AO724" i="9"/>
  <c r="AX724" i="9"/>
  <c r="AY724" i="9" s="1"/>
  <c r="AX689" i="9"/>
  <c r="AY689" i="9" s="1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507" i="9"/>
  <c r="AY507" i="9" s="1"/>
  <c r="AX513" i="9"/>
  <c r="AY513" i="9" s="1"/>
  <c r="AX523" i="9"/>
  <c r="AY523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T484" i="9"/>
  <c r="AX484" i="9"/>
  <c r="AY484" i="9" s="1"/>
  <c r="AX444" i="9"/>
  <c r="AY444" i="9" s="1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M481" i="9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Q387" i="9"/>
  <c r="AR38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429" i="9"/>
  <c r="T158" i="9"/>
  <c r="T70" i="9"/>
  <c r="T203" i="9"/>
  <c r="T464" i="9"/>
  <c r="T108" i="9"/>
  <c r="T310" i="9"/>
  <c r="T445" i="9"/>
  <c r="T23" i="9"/>
  <c r="T221" i="9"/>
  <c r="T278" i="5"/>
  <c r="T178" i="9"/>
  <c r="AX690" i="9" l="1"/>
  <c r="AY690" i="9" s="1"/>
  <c r="AX729" i="9"/>
  <c r="AY729" i="9" s="1"/>
  <c r="AO480" i="9"/>
  <c r="AX480" i="9"/>
  <c r="AY480" i="9" s="1"/>
  <c r="AN466" i="9"/>
  <c r="AO466" i="9" s="1"/>
  <c r="AX713" i="9"/>
  <c r="AY713" i="9" s="1"/>
  <c r="AN481" i="9"/>
  <c r="AS481" i="9" s="1"/>
  <c r="AT481" i="9" s="1"/>
  <c r="AJ446" i="9"/>
  <c r="AN465" i="9"/>
  <c r="V310" i="9"/>
  <c r="AT463" i="9"/>
  <c r="AX463" i="9"/>
  <c r="AY463" i="9" s="1"/>
  <c r="AX721" i="9"/>
  <c r="AY721" i="9" s="1"/>
  <c r="AX697" i="9"/>
  <c r="AY697" i="9" s="1"/>
  <c r="W711" i="9"/>
  <c r="AN712" i="9"/>
  <c r="AO712" i="9" s="1"/>
  <c r="W514" i="9"/>
  <c r="AX705" i="9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T605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X603" i="9" s="1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639" i="9"/>
  <c r="T179" i="9"/>
  <c r="T430" i="9"/>
  <c r="T222" i="9"/>
  <c r="T448" i="9"/>
  <c r="T354" i="9"/>
  <c r="T387" i="9"/>
  <c r="T159" i="9"/>
  <c r="T385" i="9"/>
  <c r="T24" i="9"/>
  <c r="T109" i="9"/>
  <c r="T71" i="9"/>
  <c r="T204" i="9"/>
  <c r="T279" i="5"/>
  <c r="V639" i="9" l="1"/>
  <c r="W623" i="9" s="1"/>
  <c r="AO481" i="9"/>
  <c r="AX481" i="9"/>
  <c r="AY481" i="9" s="1"/>
  <c r="AS466" i="9"/>
  <c r="AT466" i="9" s="1"/>
  <c r="AO465" i="9"/>
  <c r="AS465" i="9"/>
  <c r="V387" i="9"/>
  <c r="V448" i="9"/>
  <c r="AI448" i="9"/>
  <c r="AJ448" i="9" s="1"/>
  <c r="AS712" i="9"/>
  <c r="AT712" i="9" s="1"/>
  <c r="AX518" i="9"/>
  <c r="AY518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S309" i="9"/>
  <c r="AT309" i="9" s="1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205" i="9"/>
  <c r="T432" i="9"/>
  <c r="T388" i="9"/>
  <c r="T160" i="9"/>
  <c r="T223" i="9"/>
  <c r="T180" i="9"/>
  <c r="T431" i="9"/>
  <c r="T386" i="9"/>
  <c r="T568" i="9"/>
  <c r="T110" i="9"/>
  <c r="T280" i="5"/>
  <c r="T25" i="9"/>
  <c r="T72" i="9"/>
  <c r="T447" i="9"/>
  <c r="T482" i="9"/>
  <c r="T313" i="9"/>
  <c r="AN448" i="9" l="1"/>
  <c r="AO448" i="9" s="1"/>
  <c r="AX466" i="9"/>
  <c r="AY466" i="9" s="1"/>
  <c r="AT465" i="9"/>
  <c r="AX465" i="9"/>
  <c r="AY465" i="9" s="1"/>
  <c r="V388" i="9"/>
  <c r="AX712" i="9"/>
  <c r="AY712" i="9" s="1"/>
  <c r="AX352" i="9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111" i="9"/>
  <c r="T206" i="9"/>
  <c r="T224" i="9"/>
  <c r="T181" i="9"/>
  <c r="T281" i="5"/>
  <c r="T73" i="9"/>
  <c r="T26" i="9"/>
  <c r="T161" i="9"/>
  <c r="T314" i="9"/>
  <c r="T451" i="9"/>
  <c r="AS448" i="9" l="1"/>
  <c r="AT448" i="9" s="1"/>
  <c r="V451" i="9"/>
  <c r="AI451" i="9"/>
  <c r="AJ451" i="9" s="1"/>
  <c r="W428" i="9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182" i="9"/>
  <c r="T208" i="9"/>
  <c r="T283" i="5"/>
  <c r="T162" i="9"/>
  <c r="T282" i="5"/>
  <c r="T207" i="9"/>
  <c r="T225" i="9"/>
  <c r="T449" i="9"/>
  <c r="T358" i="9"/>
  <c r="T112" i="9"/>
  <c r="T28" i="9"/>
  <c r="T315" i="9"/>
  <c r="T74" i="9"/>
  <c r="AN451" i="9" l="1"/>
  <c r="AO451" i="9" s="1"/>
  <c r="AX448" i="9"/>
  <c r="AY448" i="9" s="1"/>
  <c r="AX430" i="9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390" i="9"/>
  <c r="T164" i="9"/>
  <c r="T316" i="9"/>
  <c r="T76" i="9"/>
  <c r="T226" i="9"/>
  <c r="T183" i="9"/>
  <c r="T29" i="9"/>
  <c r="T392" i="9"/>
  <c r="T450" i="9"/>
  <c r="T163" i="9"/>
  <c r="T114" i="9"/>
  <c r="V392" i="9" l="1"/>
  <c r="V316" i="9"/>
  <c r="AS451" i="9"/>
  <c r="AT451" i="9" s="1"/>
  <c r="AX482" i="9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184" i="9"/>
  <c r="T30" i="9"/>
  <c r="T77" i="9"/>
  <c r="T360" i="9"/>
  <c r="T391" i="9"/>
  <c r="T317" i="9"/>
  <c r="T228" i="9"/>
  <c r="T227" i="9"/>
  <c r="T115" i="9"/>
  <c r="V317" i="9" l="1"/>
  <c r="AX451" i="9"/>
  <c r="AY451" i="9" s="1"/>
  <c r="AX642" i="9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31" i="9"/>
  <c r="T116" i="9"/>
  <c r="T361" i="9"/>
  <c r="T318" i="9"/>
  <c r="T185" i="9"/>
  <c r="T78" i="9"/>
  <c r="V318" i="9" l="1"/>
  <c r="AX358" i="9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117" i="9"/>
  <c r="T363" i="9"/>
  <c r="T393" i="9"/>
  <c r="T319" i="9"/>
  <c r="T362" i="9"/>
  <c r="T186" i="9"/>
  <c r="T79" i="9"/>
  <c r="T32" i="9"/>
  <c r="V319" i="9" l="1"/>
  <c r="V363" i="9"/>
  <c r="AX316" i="9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187" i="9"/>
  <c r="T80" i="9"/>
  <c r="T118" i="9"/>
  <c r="T33" i="9"/>
  <c r="T320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188" i="9"/>
  <c r="T189" i="9"/>
  <c r="T34" i="9"/>
  <c r="T321" i="9"/>
  <c r="T364" i="9"/>
  <c r="T119" i="9"/>
  <c r="T81" i="9"/>
  <c r="T395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96" i="9"/>
  <c r="T82" i="9"/>
  <c r="T35" i="9"/>
  <c r="T120" i="9"/>
  <c r="T366" i="9"/>
  <c r="T322" i="9"/>
  <c r="V322" i="9" l="1"/>
  <c r="W165" i="9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X617" i="9" s="1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23" i="9"/>
  <c r="T36" i="9"/>
  <c r="T84" i="9"/>
  <c r="T122" i="9"/>
  <c r="T398" i="9"/>
  <c r="V323" i="9" l="1"/>
  <c r="AN396" i="9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68" i="9"/>
  <c r="T399" i="9"/>
  <c r="T85" i="9"/>
  <c r="T37" i="9"/>
  <c r="T123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400" i="9"/>
  <c r="T38" i="9"/>
  <c r="T582" i="9"/>
  <c r="T124" i="9"/>
  <c r="T86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39" i="9"/>
  <c r="T125" i="9"/>
  <c r="T87" i="9"/>
  <c r="T327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88" i="9"/>
  <c r="T126" i="9"/>
  <c r="T404" i="9"/>
  <c r="T40" i="9"/>
  <c r="T402" i="9"/>
  <c r="V404" i="9" l="1"/>
  <c r="AJ327" i="9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329" i="9"/>
  <c r="T127" i="9"/>
  <c r="T89" i="9"/>
  <c r="T42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43" i="9"/>
  <c r="T330" i="9"/>
  <c r="T90" i="9"/>
  <c r="T328" i="9"/>
  <c r="T1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91" i="9"/>
  <c r="T331" i="9"/>
  <c r="T44" i="9"/>
  <c r="T129" i="9"/>
  <c r="T405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409" i="9"/>
  <c r="T45" i="9"/>
  <c r="T92" i="9"/>
  <c r="T333" i="9"/>
  <c r="T131" i="9"/>
  <c r="T407" i="9"/>
  <c r="V409" i="9" l="1"/>
  <c r="AN331" i="9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94" i="9"/>
  <c r="T46" i="9"/>
  <c r="T408" i="9"/>
  <c r="T334" i="9"/>
  <c r="T93" i="9"/>
  <c r="T132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48" i="9"/>
  <c r="T335" i="9"/>
  <c r="T133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410" i="9"/>
  <c r="T336" i="9"/>
  <c r="T337" i="9"/>
  <c r="T49" i="9"/>
  <c r="T134" i="9"/>
  <c r="V336" i="9" l="1"/>
  <c r="AX407" i="9"/>
  <c r="AY407" i="9" s="1"/>
  <c r="AX587" i="9"/>
  <c r="AY587" i="9" s="1"/>
  <c r="X332" i="9"/>
  <c r="V337" i="9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W332" i="9" l="1"/>
  <c r="AX408" i="9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51" i="9"/>
  <c r="T136" i="9"/>
  <c r="T412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55" i="9"/>
  <c r="T54" i="9"/>
  <c r="T139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BD27" i="6" l="1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K26" i="6"/>
  <c r="J26" i="6"/>
  <c r="I26" i="6"/>
  <c r="H26" i="6"/>
  <c r="G26" i="6"/>
  <c r="F26" i="6"/>
  <c r="K25" i="6"/>
  <c r="J25" i="6"/>
  <c r="I25" i="6"/>
  <c r="H25" i="6"/>
  <c r="G25" i="6"/>
  <c r="F25" i="6"/>
  <c r="K24" i="6"/>
  <c r="J24" i="6"/>
  <c r="I24" i="6"/>
  <c r="H24" i="6"/>
  <c r="G24" i="6"/>
  <c r="F24" i="6"/>
  <c r="K23" i="6"/>
  <c r="J23" i="6"/>
  <c r="I23" i="6"/>
  <c r="H23" i="6"/>
  <c r="G23" i="6"/>
  <c r="F23" i="6"/>
  <c r="K22" i="6"/>
  <c r="J22" i="6"/>
  <c r="I22" i="6"/>
  <c r="H22" i="6"/>
  <c r="G22" i="6"/>
  <c r="F22" i="6"/>
  <c r="E21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1" i="6"/>
  <c r="J7" i="6"/>
  <c r="I7" i="6"/>
  <c r="H7" i="6"/>
  <c r="G7" i="6"/>
  <c r="J6" i="6"/>
  <c r="I6" i="6"/>
  <c r="H6" i="6"/>
  <c r="G6" i="6"/>
  <c r="R5" i="6"/>
  <c r="J5" i="6"/>
  <c r="J8" i="6" s="1"/>
  <c r="I5" i="6"/>
  <c r="H5" i="6"/>
  <c r="G5" i="6"/>
  <c r="AS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E23" i="4" l="1" a="1"/>
  <c r="E23" i="4" s="1"/>
  <c r="E26" i="4" a="1"/>
  <c r="E26" i="4" s="1"/>
  <c r="E25" i="4" a="1"/>
  <c r="E25" i="4" s="1"/>
  <c r="E24" i="4" a="1"/>
  <c r="E24" i="4" s="1"/>
  <c r="E22" i="4" a="1"/>
  <c r="E22" i="4" s="1"/>
  <c r="N5" i="4"/>
  <c r="F4" i="2"/>
  <c r="E16" i="4" a="1"/>
  <c r="E16" i="4" s="1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I8" i="6"/>
  <c r="H8" i="6"/>
  <c r="N5" i="6" s="1"/>
  <c r="G8" i="6"/>
  <c r="M5" i="6" s="1"/>
  <c r="E14" i="6" a="1"/>
  <c r="E14" i="6" s="1"/>
  <c r="E13" i="6" a="1"/>
  <c r="E13" i="6" s="1"/>
  <c r="E16" i="6" a="1"/>
  <c r="E16" i="6" s="1"/>
  <c r="E18" i="6" a="1"/>
  <c r="E18" i="6" s="1"/>
  <c r="E17" i="6" a="1"/>
  <c r="E17" i="6" s="1"/>
  <c r="E15" i="6" a="1"/>
  <c r="E15" i="6" s="1"/>
  <c r="E12" i="6" a="1"/>
  <c r="E12" i="6" s="1"/>
  <c r="E25" i="6" a="1"/>
  <c r="E25" i="6" s="1"/>
  <c r="E26" i="6" a="1"/>
  <c r="E26" i="6" s="1"/>
  <c r="E22" i="6" a="1"/>
  <c r="E22" i="6" s="1"/>
  <c r="E24" i="6" a="1"/>
  <c r="E24" i="6" s="1"/>
  <c r="E23" i="6" a="1"/>
  <c r="E23" i="6" s="1"/>
  <c r="F5" i="2" l="1"/>
  <c r="H5" i="2" s="1"/>
  <c r="I4" i="2"/>
  <c r="G4" i="2"/>
  <c r="G5" i="2" l="1"/>
  <c r="G3" i="2" s="1"/>
  <c r="I5" i="2"/>
  <c r="F3" i="2"/>
  <c r="I3" i="2" s="1"/>
  <c r="H3" i="2"/>
  <c r="K5" i="2"/>
  <c r="K3" i="2" s="1"/>
  <c r="AT61" i="4" l="1"/>
  <c r="AT93" i="4"/>
  <c r="AT125" i="4"/>
  <c r="AT157" i="4"/>
  <c r="AT189" i="4"/>
  <c r="AT221" i="4"/>
  <c r="AT253" i="4"/>
  <c r="AT285" i="4"/>
  <c r="AT317" i="4"/>
  <c r="AT222" i="4"/>
  <c r="AT254" i="4"/>
  <c r="AT286" i="4"/>
  <c r="AT318" i="4"/>
  <c r="AT31" i="4"/>
  <c r="AT63" i="4"/>
  <c r="AT95" i="4"/>
  <c r="AT127" i="4"/>
  <c r="AT159" i="4"/>
  <c r="AT191" i="4"/>
  <c r="AT223" i="4"/>
  <c r="AT255" i="4"/>
  <c r="AT287" i="4"/>
  <c r="AT319" i="4"/>
  <c r="AT97" i="4"/>
  <c r="AT129" i="4"/>
  <c r="AT161" i="4"/>
  <c r="AT193" i="4"/>
  <c r="AT257" i="4"/>
  <c r="AT289" i="4"/>
  <c r="AT66" i="4"/>
  <c r="AT131" i="4"/>
  <c r="AT100" i="4"/>
  <c r="AT196" i="4"/>
  <c r="AT228" i="4"/>
  <c r="AT260" i="4"/>
  <c r="AT292" i="4"/>
  <c r="AT324" i="4"/>
  <c r="AT37" i="4"/>
  <c r="AT69" i="4"/>
  <c r="AT101" i="4"/>
  <c r="AT133" i="4"/>
  <c r="AT165" i="4"/>
  <c r="AT197" i="4"/>
  <c r="AT261" i="4"/>
  <c r="AT293" i="4"/>
  <c r="AT325" i="4"/>
  <c r="AT38" i="4"/>
  <c r="AT102" i="4"/>
  <c r="AT203" i="4"/>
  <c r="AT77" i="4"/>
  <c r="AT270" i="4"/>
  <c r="AT62" i="4"/>
  <c r="AT94" i="4"/>
  <c r="AT126" i="4"/>
  <c r="AT158" i="4"/>
  <c r="AT190" i="4"/>
  <c r="AT33" i="4"/>
  <c r="AT164" i="4"/>
  <c r="AT229" i="4"/>
  <c r="AT70" i="4"/>
  <c r="AT198" i="4"/>
  <c r="AT230" i="4"/>
  <c r="AT294" i="4"/>
  <c r="AT135" i="4"/>
  <c r="AT106" i="4"/>
  <c r="AT267" i="4"/>
  <c r="AT173" i="4"/>
  <c r="AT65" i="4"/>
  <c r="AT321" i="4"/>
  <c r="AT34" i="4"/>
  <c r="AT98" i="4"/>
  <c r="AT130" i="4"/>
  <c r="AT162" i="4"/>
  <c r="AT194" i="4"/>
  <c r="AT226" i="4"/>
  <c r="AT258" i="4"/>
  <c r="AT290" i="4"/>
  <c r="AT322" i="4"/>
  <c r="AT35" i="4"/>
  <c r="AT67" i="4"/>
  <c r="AT99" i="4"/>
  <c r="AT163" i="4"/>
  <c r="AT195" i="4"/>
  <c r="AT227" i="4"/>
  <c r="AT259" i="4"/>
  <c r="AT291" i="4"/>
  <c r="AT323" i="4"/>
  <c r="AT36" i="4"/>
  <c r="AT134" i="4"/>
  <c r="AT262" i="4"/>
  <c r="AT30" i="4"/>
  <c r="AT39" i="4"/>
  <c r="AT71" i="4"/>
  <c r="AT103" i="4"/>
  <c r="AT167" i="4"/>
  <c r="AT199" i="4"/>
  <c r="AT231" i="4"/>
  <c r="AT263" i="4"/>
  <c r="AT295" i="4"/>
  <c r="AT40" i="4"/>
  <c r="AT104" i="4"/>
  <c r="AT136" i="4"/>
  <c r="AT168" i="4"/>
  <c r="AT232" i="4"/>
  <c r="AT296" i="4"/>
  <c r="AT73" i="4"/>
  <c r="AT137" i="4"/>
  <c r="AT201" i="4"/>
  <c r="AT265" i="4"/>
  <c r="AT297" i="4"/>
  <c r="AT138" i="4"/>
  <c r="AT202" i="4"/>
  <c r="AT266" i="4"/>
  <c r="AT43" i="4"/>
  <c r="AT75" i="4"/>
  <c r="AT107" i="4"/>
  <c r="AT139" i="4"/>
  <c r="AT171" i="4"/>
  <c r="AT235" i="4"/>
  <c r="AT299" i="4"/>
  <c r="AT44" i="4"/>
  <c r="AT76" i="4"/>
  <c r="AT108" i="4"/>
  <c r="AT140" i="4"/>
  <c r="AT172" i="4"/>
  <c r="AT204" i="4"/>
  <c r="AT236" i="4"/>
  <c r="AT268" i="4"/>
  <c r="AT300" i="4"/>
  <c r="AT45" i="4"/>
  <c r="AT109" i="4"/>
  <c r="AT141" i="4"/>
  <c r="AT205" i="4"/>
  <c r="AT237" i="4"/>
  <c r="AT269" i="4"/>
  <c r="AT301" i="4"/>
  <c r="AT46" i="4"/>
  <c r="AT78" i="4"/>
  <c r="AT110" i="4"/>
  <c r="AT142" i="4"/>
  <c r="AT174" i="4"/>
  <c r="AT206" i="4"/>
  <c r="AT238" i="4"/>
  <c r="AT302" i="4"/>
  <c r="AT47" i="4"/>
  <c r="AT111" i="4"/>
  <c r="AT143" i="4"/>
  <c r="AT175" i="4"/>
  <c r="AT207" i="4"/>
  <c r="AT271" i="4"/>
  <c r="AT48" i="4"/>
  <c r="AT144" i="4"/>
  <c r="AT32" i="4"/>
  <c r="AT64" i="4"/>
  <c r="AT96" i="4"/>
  <c r="AT128" i="4"/>
  <c r="AT160" i="4"/>
  <c r="AT192" i="4"/>
  <c r="AT224" i="4"/>
  <c r="AT256" i="4"/>
  <c r="AT288" i="4"/>
  <c r="AT320" i="4"/>
  <c r="AT225" i="4"/>
  <c r="AT68" i="4"/>
  <c r="AT166" i="4"/>
  <c r="AT74" i="4"/>
  <c r="AT132" i="4"/>
  <c r="AT72" i="4"/>
  <c r="AT200" i="4"/>
  <c r="AT264" i="4"/>
  <c r="AT41" i="4"/>
  <c r="AT105" i="4"/>
  <c r="AT169" i="4"/>
  <c r="AT233" i="4"/>
  <c r="AT42" i="4"/>
  <c r="AT170" i="4"/>
  <c r="AT234" i="4"/>
  <c r="AT298" i="4"/>
  <c r="AT79" i="4"/>
  <c r="AT239" i="4"/>
  <c r="AT303" i="4"/>
  <c r="AT80" i="4"/>
  <c r="AT176" i="4"/>
  <c r="AT49" i="4"/>
  <c r="AT81" i="4"/>
  <c r="AT113" i="4"/>
  <c r="AT145" i="4"/>
  <c r="AT177" i="4"/>
  <c r="AT209" i="4"/>
  <c r="AT241" i="4"/>
  <c r="AT273" i="4"/>
  <c r="AT305" i="4"/>
  <c r="AT50" i="4"/>
  <c r="AT82" i="4"/>
  <c r="AT123" i="4"/>
  <c r="AT217" i="4"/>
  <c r="AT309" i="4"/>
  <c r="AT187" i="4"/>
  <c r="AT208" i="4"/>
  <c r="AT283" i="4"/>
  <c r="AT124" i="4"/>
  <c r="AT218" i="4"/>
  <c r="AT310" i="4"/>
  <c r="AT51" i="4"/>
  <c r="AT219" i="4"/>
  <c r="AT311" i="4"/>
  <c r="AT52" i="4"/>
  <c r="AT220" i="4"/>
  <c r="AT53" i="4"/>
  <c r="AT240" i="4"/>
  <c r="AT54" i="4"/>
  <c r="AT242" i="4"/>
  <c r="AT55" i="4"/>
  <c r="AT243" i="4"/>
  <c r="AT56" i="4"/>
  <c r="AT244" i="4"/>
  <c r="AT57" i="4"/>
  <c r="AT245" i="4"/>
  <c r="AT153" i="4"/>
  <c r="AT154" i="4"/>
  <c r="AT60" i="4"/>
  <c r="AT248" i="4"/>
  <c r="AT156" i="4"/>
  <c r="AT249" i="4"/>
  <c r="AT178" i="4"/>
  <c r="AT179" i="4"/>
  <c r="AT251" i="4"/>
  <c r="AT180" i="4"/>
  <c r="AT87" i="4"/>
  <c r="AT272" i="4"/>
  <c r="AT182" i="4"/>
  <c r="AT89" i="4"/>
  <c r="AT275" i="4"/>
  <c r="AT184" i="4"/>
  <c r="AT185" i="4"/>
  <c r="AT92" i="4"/>
  <c r="AT146" i="4"/>
  <c r="AT147" i="4"/>
  <c r="AT312" i="4"/>
  <c r="AT148" i="4"/>
  <c r="AT313" i="4"/>
  <c r="AT149" i="4"/>
  <c r="AT314" i="4"/>
  <c r="AT150" i="4"/>
  <c r="AT315" i="4"/>
  <c r="AT151" i="4"/>
  <c r="AT316" i="4"/>
  <c r="AT152" i="4"/>
  <c r="AT58" i="4"/>
  <c r="AT59" i="4"/>
  <c r="AT247" i="4"/>
  <c r="AT155" i="4"/>
  <c r="AT83" i="4"/>
  <c r="AT84" i="4"/>
  <c r="AT250" i="4"/>
  <c r="AT85" i="4"/>
  <c r="AT86" i="4"/>
  <c r="AT252" i="4"/>
  <c r="AT181" i="4"/>
  <c r="AT88" i="4"/>
  <c r="AT274" i="4"/>
  <c r="AT183" i="4"/>
  <c r="AT90" i="4"/>
  <c r="AT91" i="4"/>
  <c r="AT277" i="4"/>
  <c r="AT186" i="4"/>
  <c r="AT278" i="4"/>
  <c r="AT112" i="4"/>
  <c r="AT279" i="4"/>
  <c r="AT114" i="4"/>
  <c r="AT280" i="4"/>
  <c r="AT115" i="4"/>
  <c r="AT281" i="4"/>
  <c r="AT116" i="4"/>
  <c r="AT282" i="4"/>
  <c r="AT117" i="4"/>
  <c r="AT211" i="4"/>
  <c r="AT118" i="4"/>
  <c r="AT284" i="4"/>
  <c r="AT119" i="4"/>
  <c r="AT213" i="4"/>
  <c r="AT304" i="4"/>
  <c r="AT120" i="4"/>
  <c r="AT214" i="4"/>
  <c r="AT121" i="4"/>
  <c r="AT215" i="4"/>
  <c r="AT307" i="4"/>
  <c r="AT122" i="4"/>
  <c r="AT246" i="4"/>
  <c r="AT276" i="4"/>
  <c r="AT188" i="4"/>
  <c r="AT210" i="4"/>
  <c r="AT212" i="4"/>
  <c r="AT306" i="4"/>
  <c r="AT216" i="4"/>
  <c r="AT308" i="4"/>
  <c r="BE39" i="6"/>
  <c r="BE361" i="6"/>
  <c r="BE208" i="6"/>
  <c r="BE71" i="6"/>
  <c r="BE425" i="6"/>
  <c r="BE272" i="6"/>
  <c r="BE489" i="6"/>
  <c r="BE144" i="6"/>
  <c r="BE107" i="6"/>
  <c r="BE175" i="6"/>
  <c r="BE245" i="6"/>
  <c r="BE216" i="6"/>
  <c r="BE253" i="6"/>
  <c r="BE122" i="6"/>
  <c r="BE505" i="6"/>
  <c r="BE64" i="6"/>
  <c r="BE543" i="6"/>
  <c r="BE516" i="6"/>
  <c r="BE415" i="6"/>
  <c r="BE293" i="6"/>
  <c r="BE400" i="6"/>
  <c r="BE309" i="6"/>
  <c r="BE477" i="6"/>
  <c r="BE154" i="6"/>
  <c r="BE320" i="6"/>
  <c r="BE34" i="6"/>
  <c r="BE37" i="6"/>
  <c r="BE432" i="6"/>
  <c r="BE495" i="6"/>
  <c r="BE541" i="6"/>
  <c r="BE436" i="6"/>
  <c r="BE101" i="6"/>
  <c r="BE378" i="6"/>
  <c r="BE357" i="6"/>
  <c r="BE86" i="6"/>
  <c r="BE198" i="6"/>
  <c r="BE391" i="6"/>
  <c r="BE427" i="6"/>
  <c r="BE278" i="6"/>
  <c r="BE326" i="6"/>
  <c r="BE423" i="6"/>
  <c r="BE537" i="6"/>
  <c r="BE452" i="6"/>
  <c r="BE402" i="6"/>
  <c r="BE337" i="6"/>
  <c r="BE380" i="6"/>
  <c r="BE30" i="6"/>
  <c r="BE390" i="6"/>
  <c r="BE370" i="6"/>
  <c r="BE182" i="6"/>
  <c r="BE284" i="6"/>
  <c r="BE289" i="6"/>
  <c r="BE519" i="6"/>
  <c r="BE108" i="6"/>
  <c r="BE348" i="6"/>
  <c r="BE387" i="6"/>
  <c r="BE40" i="6"/>
  <c r="BE243" i="6"/>
  <c r="BE410" i="6"/>
  <c r="BE93" i="6"/>
  <c r="BE294" i="6"/>
  <c r="BE371" i="6"/>
  <c r="BE236" i="6"/>
  <c r="BE247" i="6"/>
  <c r="BE227" i="6"/>
  <c r="BE435" i="6"/>
  <c r="BE59" i="6"/>
  <c r="BE168" i="6"/>
  <c r="BE460" i="6"/>
  <c r="BE381" i="6"/>
  <c r="BE372" i="6"/>
  <c r="BE335" i="6"/>
  <c r="BE540" i="6"/>
  <c r="BE48" i="6"/>
  <c r="BE125" i="6"/>
  <c r="BE457" i="6"/>
  <c r="BE111" i="6"/>
  <c r="BE513" i="6"/>
  <c r="BE103" i="6"/>
  <c r="BE521" i="6"/>
  <c r="BE368" i="6"/>
  <c r="BE42" i="6"/>
  <c r="BE304" i="6"/>
  <c r="BE139" i="6"/>
  <c r="BE239" i="6"/>
  <c r="BE277" i="6"/>
  <c r="BE280" i="6"/>
  <c r="BE413" i="6"/>
  <c r="BE186" i="6"/>
  <c r="BE58" i="6"/>
  <c r="BE192" i="6"/>
  <c r="BE68" i="6"/>
  <c r="BE517" i="6"/>
  <c r="BE416" i="6"/>
  <c r="BE36" i="6"/>
  <c r="BE138" i="6"/>
  <c r="BE171" i="6"/>
  <c r="BE399" i="6"/>
  <c r="BE344" i="6"/>
  <c r="BE282" i="6"/>
  <c r="BE196" i="6"/>
  <c r="BE165" i="6"/>
  <c r="BE203" i="6"/>
  <c r="BE341" i="6"/>
  <c r="BE376" i="6"/>
  <c r="BE442" i="6"/>
  <c r="BE218" i="6"/>
  <c r="BE324" i="6"/>
  <c r="BE420" i="6"/>
  <c r="BE545" i="6"/>
  <c r="BE69" i="6"/>
  <c r="BE261" i="6"/>
  <c r="BE409" i="6"/>
  <c r="BE548" i="6"/>
  <c r="BE44" i="6"/>
  <c r="BE54" i="6"/>
  <c r="BE468" i="6"/>
  <c r="BE300" i="6"/>
  <c r="BE118" i="6"/>
  <c r="BE220" i="6"/>
  <c r="BE358" i="6"/>
  <c r="BE364" i="6"/>
  <c r="BE124" i="6"/>
  <c r="BE223" i="6"/>
  <c r="BE332" i="6"/>
  <c r="BE250" i="6"/>
  <c r="BE351" i="6"/>
  <c r="BE83" i="6"/>
  <c r="BE498" i="6"/>
  <c r="BE214" i="6"/>
  <c r="BE508" i="6"/>
  <c r="BE96" i="6"/>
  <c r="BE109" i="6"/>
  <c r="BE147" i="6"/>
  <c r="BE246" i="6"/>
  <c r="BE226" i="6"/>
  <c r="BE211" i="6"/>
  <c r="BE157" i="6"/>
  <c r="BE136" i="6"/>
  <c r="BE434" i="6"/>
  <c r="BE486" i="6"/>
  <c r="BE403" i="6"/>
  <c r="BE375" i="6"/>
  <c r="BE131" i="6"/>
  <c r="BE149" i="6"/>
  <c r="BE422" i="6"/>
  <c r="BE265" i="6"/>
  <c r="BE355" i="6"/>
  <c r="BE189" i="6"/>
  <c r="BE515" i="6"/>
  <c r="BE135" i="6"/>
  <c r="BE74" i="6"/>
  <c r="BE496" i="6"/>
  <c r="BE167" i="6"/>
  <c r="BE106" i="6"/>
  <c r="BE49" i="6"/>
  <c r="BE202" i="6"/>
  <c r="BE199" i="6"/>
  <c r="BE170" i="6"/>
  <c r="BE209" i="6"/>
  <c r="BE266" i="6"/>
  <c r="BE464" i="6"/>
  <c r="BE235" i="6"/>
  <c r="BE112" i="6"/>
  <c r="BE373" i="6"/>
  <c r="BE504" i="6"/>
  <c r="BE62" i="6"/>
  <c r="BE506" i="6"/>
  <c r="BE314" i="6"/>
  <c r="BE547" i="6"/>
  <c r="BE450" i="6"/>
  <c r="BE163" i="6"/>
  <c r="BE229" i="6"/>
  <c r="BE292" i="6"/>
  <c r="BE305" i="6"/>
  <c r="BE298" i="6"/>
  <c r="BE81" i="6"/>
  <c r="BE267" i="6"/>
  <c r="BE176" i="6"/>
  <c r="BE405" i="6"/>
  <c r="BE89" i="6"/>
  <c r="BE222" i="6"/>
  <c r="BE123" i="6"/>
  <c r="BE65" i="6"/>
  <c r="BE544" i="6"/>
  <c r="BE60" i="6"/>
  <c r="BE386" i="6"/>
  <c r="BE140" i="6"/>
  <c r="BE475" i="6"/>
  <c r="BE204" i="6"/>
  <c r="BE459" i="6"/>
  <c r="BE539" i="6"/>
  <c r="BE455" i="6"/>
  <c r="BE150" i="6"/>
  <c r="BE492" i="6"/>
  <c r="BE497" i="6"/>
  <c r="BE444" i="6"/>
  <c r="BE258" i="6"/>
  <c r="BE45" i="6"/>
  <c r="BE346" i="6"/>
  <c r="BE352" i="6"/>
  <c r="BE291" i="6"/>
  <c r="BE210" i="6"/>
  <c r="BE412" i="6"/>
  <c r="BE104" i="6"/>
  <c r="BE474" i="6"/>
  <c r="BE389" i="6"/>
  <c r="BE307" i="6"/>
  <c r="BE343" i="6"/>
  <c r="BE160" i="6"/>
  <c r="BE52" i="6"/>
  <c r="BE155" i="6"/>
  <c r="BE518" i="6"/>
  <c r="BE527" i="6"/>
  <c r="BE385" i="6"/>
  <c r="BE431" i="6"/>
  <c r="BE512" i="6"/>
  <c r="BE441" i="6"/>
  <c r="BE164" i="6"/>
  <c r="BE231" i="6"/>
  <c r="BE234" i="6"/>
  <c r="BE263" i="6"/>
  <c r="BE330" i="6"/>
  <c r="BE401" i="6"/>
  <c r="BE362" i="6"/>
  <c r="BE145" i="6"/>
  <c r="BE299" i="6"/>
  <c r="BE240" i="6"/>
  <c r="BE437" i="6"/>
  <c r="BE153" i="6"/>
  <c r="BE286" i="6"/>
  <c r="BE251" i="6"/>
  <c r="BE538" i="6"/>
  <c r="BE193" i="6"/>
  <c r="BE325" i="6"/>
  <c r="BE418" i="6"/>
  <c r="BE482" i="6"/>
  <c r="BE421" i="6"/>
  <c r="BE327" i="6"/>
  <c r="BE529" i="6"/>
  <c r="BE363" i="6"/>
  <c r="BE501" i="6"/>
  <c r="BE510" i="6"/>
  <c r="BE187" i="6"/>
  <c r="BE70" i="6"/>
  <c r="BE383" i="6"/>
  <c r="BE522" i="6"/>
  <c r="BE76" i="6"/>
  <c r="BE395" i="6"/>
  <c r="BE533" i="6"/>
  <c r="BE315" i="6"/>
  <c r="BE178" i="6"/>
  <c r="BE177" i="6"/>
  <c r="BE156" i="6"/>
  <c r="BE338" i="6"/>
  <c r="BE241" i="6"/>
  <c r="BE374" i="6"/>
  <c r="BE98" i="6"/>
  <c r="BE306" i="6"/>
  <c r="BE438" i="6"/>
  <c r="BE487" i="6"/>
  <c r="BE172" i="6"/>
  <c r="BE354" i="6"/>
  <c r="BE173" i="6"/>
  <c r="BE274" i="6"/>
  <c r="BE61" i="6"/>
  <c r="BE127" i="6"/>
  <c r="BE365" i="6"/>
  <c r="BE342" i="6"/>
  <c r="BE130" i="6"/>
  <c r="BE333" i="6"/>
  <c r="BE530" i="6"/>
  <c r="BE259" i="6"/>
  <c r="BE462" i="6"/>
  <c r="BE500" i="6"/>
  <c r="BE43" i="6"/>
  <c r="BE345" i="6"/>
  <c r="BE162" i="6"/>
  <c r="BE80" i="6"/>
  <c r="BE377" i="6"/>
  <c r="BE295" i="6"/>
  <c r="BE426" i="6"/>
  <c r="BE465" i="6"/>
  <c r="BE394" i="6"/>
  <c r="BE273" i="6"/>
  <c r="BE331" i="6"/>
  <c r="BE336" i="6"/>
  <c r="BE469" i="6"/>
  <c r="BE249" i="6"/>
  <c r="BE350" i="6"/>
  <c r="BE347" i="6"/>
  <c r="BE91" i="6"/>
  <c r="BE321" i="6"/>
  <c r="BE451" i="6"/>
  <c r="BE97" i="6"/>
  <c r="BE230" i="6"/>
  <c r="BE490" i="6"/>
  <c r="BE458" i="6"/>
  <c r="BE369" i="6"/>
  <c r="BE528" i="6"/>
  <c r="BE313" i="6"/>
  <c r="BE411" i="6"/>
  <c r="BE447" i="6"/>
  <c r="BE225" i="6"/>
  <c r="BE359" i="6"/>
  <c r="BE82" i="6"/>
  <c r="BE433" i="6"/>
  <c r="BE113" i="6"/>
  <c r="BE353" i="6"/>
  <c r="BE50" i="6"/>
  <c r="BE473" i="6"/>
  <c r="BE67" i="6"/>
  <c r="BE102" i="6"/>
  <c r="BE242" i="6"/>
  <c r="BE323" i="6"/>
  <c r="BE268" i="6"/>
  <c r="BE491" i="6"/>
  <c r="BE90" i="6"/>
  <c r="BE479" i="6"/>
  <c r="BE466" i="6"/>
  <c r="BE523" i="6"/>
  <c r="BE87" i="6"/>
  <c r="BE453" i="6"/>
  <c r="BE428" i="6"/>
  <c r="BE146" i="6"/>
  <c r="BE119" i="6"/>
  <c r="BE141" i="6"/>
  <c r="BE215" i="6"/>
  <c r="BE454" i="6"/>
  <c r="BE301" i="6"/>
  <c r="BE310" i="6"/>
  <c r="BE99" i="6"/>
  <c r="BE269" i="6"/>
  <c r="BE396" i="6"/>
  <c r="BE317" i="6"/>
  <c r="BE221" i="6"/>
  <c r="BE255" i="6"/>
  <c r="BE461" i="6"/>
  <c r="BE406" i="6"/>
  <c r="BE285" i="6"/>
  <c r="BE201" i="6"/>
  <c r="BE449" i="6"/>
  <c r="BE181" i="6"/>
  <c r="BE388" i="6"/>
  <c r="BE75" i="6"/>
  <c r="BE200" i="6"/>
  <c r="BE429" i="6"/>
  <c r="BE180" i="6"/>
  <c r="BE525" i="6"/>
  <c r="BE531" i="6"/>
  <c r="BE524" i="6"/>
  <c r="BE115" i="6"/>
  <c r="BE470" i="6"/>
  <c r="BE219" i="6"/>
  <c r="BE471" i="6"/>
  <c r="BE445" i="6"/>
  <c r="BE349" i="6"/>
  <c r="BE133" i="6"/>
  <c r="BE260" i="6"/>
  <c r="BE419" i="6"/>
  <c r="BE484" i="6"/>
  <c r="BE417" i="6"/>
  <c r="BE296" i="6"/>
  <c r="BE264" i="6"/>
  <c r="BE142" i="6"/>
  <c r="BE205" i="6"/>
  <c r="BE534" i="6"/>
  <c r="BE88" i="6"/>
  <c r="BE126" i="6"/>
  <c r="BE159" i="6"/>
  <c r="BE360" i="6"/>
  <c r="BE328" i="6"/>
  <c r="BE308" i="6"/>
  <c r="BE499" i="6"/>
  <c r="BE443" i="6"/>
  <c r="BE318" i="6"/>
  <c r="BE35" i="6"/>
  <c r="BE100" i="6"/>
  <c r="BE456" i="6"/>
  <c r="BE430" i="6"/>
  <c r="BE493" i="6"/>
  <c r="BE92" i="6"/>
  <c r="BE414" i="6"/>
  <c r="BE356" i="6"/>
  <c r="BE520" i="6"/>
  <c r="BE494" i="6"/>
  <c r="BE46" i="6"/>
  <c r="BE279" i="6"/>
  <c r="BE542" i="6"/>
  <c r="BE322" i="6"/>
  <c r="BE197" i="6"/>
  <c r="BE73" i="6"/>
  <c r="BE137" i="6"/>
  <c r="BE174" i="6"/>
  <c r="BE311" i="6"/>
  <c r="BE472" i="6"/>
  <c r="BE95" i="6"/>
  <c r="BE262" i="6"/>
  <c r="BE105" i="6"/>
  <c r="BE233" i="6"/>
  <c r="BE238" i="6"/>
  <c r="BE316" i="6"/>
  <c r="BE440" i="6"/>
  <c r="BE549" i="6"/>
  <c r="BE256" i="6"/>
  <c r="BE169" i="6"/>
  <c r="BE271" i="6"/>
  <c r="BE302" i="6"/>
  <c r="BE439" i="6"/>
  <c r="BE185" i="6"/>
  <c r="BE319" i="6"/>
  <c r="BE257" i="6"/>
  <c r="BE329" i="6"/>
  <c r="BE281" i="6"/>
  <c r="BE33" i="6"/>
  <c r="BE526" i="6"/>
  <c r="BE546" i="6"/>
  <c r="BE213" i="6"/>
  <c r="BE290" i="6"/>
  <c r="BE232" i="6"/>
  <c r="BE110" i="6"/>
  <c r="BE72" i="6"/>
  <c r="BE78" i="6"/>
  <c r="BE148" i="6"/>
  <c r="BE77" i="6"/>
  <c r="BE179" i="6"/>
  <c r="BE502" i="6"/>
  <c r="BE283" i="6"/>
  <c r="BE503" i="6"/>
  <c r="BE94" i="6"/>
  <c r="BE509" i="6"/>
  <c r="BE31" i="6"/>
  <c r="BE134" i="6"/>
  <c r="BE128" i="6"/>
  <c r="BE206" i="6"/>
  <c r="BE244" i="6"/>
  <c r="BE339" i="6"/>
  <c r="BE379" i="6"/>
  <c r="BE158" i="6"/>
  <c r="BE161" i="6"/>
  <c r="BE38" i="6"/>
  <c r="BE485" i="6"/>
  <c r="BE334" i="6"/>
  <c r="BE270" i="6"/>
  <c r="BE237" i="6"/>
  <c r="BE55" i="6"/>
  <c r="BE184" i="6"/>
  <c r="BE190" i="6"/>
  <c r="BE288" i="6"/>
  <c r="BE129" i="6"/>
  <c r="BE79" i="6"/>
  <c r="BE51" i="6"/>
  <c r="BE212" i="6"/>
  <c r="BE183" i="6"/>
  <c r="BE446" i="6"/>
  <c r="BE194" i="6"/>
  <c r="BE511" i="6"/>
  <c r="BE143" i="6"/>
  <c r="BE275" i="6"/>
  <c r="BE340" i="6"/>
  <c r="BE408" i="6"/>
  <c r="BE478" i="6"/>
  <c r="BE481" i="6"/>
  <c r="BE303" i="6"/>
  <c r="BE467" i="6"/>
  <c r="BE53" i="6"/>
  <c r="BE252" i="6"/>
  <c r="BE56" i="6"/>
  <c r="BE448" i="6"/>
  <c r="BE483" i="6"/>
  <c r="BE367" i="6"/>
  <c r="BE116" i="6"/>
  <c r="BE85" i="6"/>
  <c r="BE407" i="6"/>
  <c r="BE57" i="6"/>
  <c r="BE224" i="6"/>
  <c r="BE287" i="6"/>
  <c r="BE463" i="6"/>
  <c r="BE276" i="6"/>
  <c r="BE117" i="6"/>
  <c r="BE536" i="6"/>
  <c r="BE195" i="6"/>
  <c r="BE32" i="6"/>
  <c r="BE404" i="6"/>
  <c r="BE121" i="6"/>
  <c r="BE393" i="6"/>
  <c r="BE217" i="6"/>
  <c r="BE152" i="6"/>
  <c r="BE392" i="6"/>
  <c r="BE398" i="6"/>
  <c r="BE424" i="6"/>
  <c r="BE366" i="6"/>
  <c r="BE114" i="6"/>
  <c r="BE397" i="6"/>
  <c r="BE84" i="6"/>
  <c r="BE151" i="6"/>
  <c r="BE507" i="6"/>
  <c r="BE248" i="6"/>
  <c r="BE382" i="6"/>
  <c r="BE254" i="6"/>
  <c r="BE66" i="6"/>
  <c r="BE532" i="6"/>
  <c r="BE228" i="6"/>
  <c r="BE384" i="6"/>
  <c r="BE488" i="6"/>
  <c r="BE312" i="6"/>
  <c r="BE166" i="6"/>
  <c r="BE41" i="6"/>
  <c r="BE188" i="6"/>
  <c r="BE132" i="6"/>
  <c r="BE47" i="6"/>
  <c r="BE63" i="6"/>
  <c r="BE207" i="6"/>
  <c r="BE191" i="6"/>
  <c r="BE297" i="6"/>
  <c r="BE476" i="6"/>
  <c r="BE480" i="6"/>
  <c r="BE535" i="6"/>
  <c r="BE120" i="6"/>
  <c r="BE514" i="6"/>
  <c r="AT28" i="4" l="1"/>
  <c r="AT27" i="4" a="1"/>
  <c r="AT27" i="4" s="1"/>
  <c r="BE27" i="6" a="1"/>
  <c r="BE27" i="6" s="1"/>
  <c r="BE28" i="6"/>
  <c r="W6" i="9" l="1"/>
  <c r="P5" i="6"/>
  <c r="W6" i="9" a="1"/>
  <c r="P5" i="6" a="1"/>
  <c r="X6" i="9"/>
  <c r="X6" i="9" a="1"/>
  <c r="X6" i="5"/>
  <c r="X6" i="5" a="1"/>
  <c r="P5" i="4"/>
  <c r="P5" i="4" a="1"/>
  <c r="W6" i="5"/>
  <c r="W6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<sst xmlns="http://schemas.openxmlformats.org/spreadsheetml/2006/main" count="28179" uniqueCount="2393">
  <si>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</si>
  <si>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</si>
  <si>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</si>
  <si>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</si>
  <si>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</si>
  <si>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</si>
  <si>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</si>
  <si>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</si>
  <si>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</si>
  <si>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</si>
  <si>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</si>
  <si>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</si>
  <si>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</si>
  <si>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</si>
  <si>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</si>
  <si>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</si>
  <si>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</si>
  <si>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</si>
  <si>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</si>
  <si>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</si>
  <si>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</si>
  <si>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</si>
  <si>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</si>
  <si>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</si>
  <si>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</si>
  <si>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</si>
  <si>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</si>
  <si>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</si>
  <si>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</si>
  <si>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</si>
  <si>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</si>
  <si>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</si>
  <si>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</si>
  <si>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</si>
  <si>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</si>
  <si>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</si>
  <si>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</si>
  <si>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</si>
  <si>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</si>
  <si>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</si>
  <si>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</si>
  <si>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</si>
  <si>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</si>
  <si>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</si>
  <si>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</si>
  <si>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</si>
  <si>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</si>
  <si>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</si>
  <si>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</si>
  <si>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</si>
  <si>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</si>
  <si>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</si>
  <si>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</si>
  <si>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</si>
  <si>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</si>
  <si>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</si>
  <si>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</si>
  <si>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</si>
  <si>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</si>
  <si>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</si>
  <si>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</si>
  <si>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</si>
  <si>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</si>
  <si>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</si>
  <si>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</si>
  <si>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</si>
  <si>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</si>
  <si>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</si>
  <si>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</si>
  <si>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</si>
  <si>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</si>
  <si>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</si>
  <si>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</si>
  <si>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</si>
  <si>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</si>
  <si>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</si>
  <si>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</si>
  <si>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</si>
  <si>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</si>
  <si>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</si>
  <si>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</si>
  <si>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</si>
  <si>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</si>
  <si>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</si>
  <si>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</si>
  <si>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</si>
  <si>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</si>
  <si>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</si>
  <si>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</si>
  <si>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</si>
  <si>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</si>
  <si>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</si>
  <si>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</si>
  <si>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</si>
  <si>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</si>
  <si>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</si>
  <si>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</si>
  <si>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</si>
  <si>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</si>
  <si>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</si>
  <si>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</si>
  <si>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</si>
  <si>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</si>
  <si>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</si>
  <si>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</si>
  <si>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</si>
  <si>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</si>
  <si>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</si>
  <si>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</si>
  <si>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</si>
  <si>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</si>
  <si>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</si>
  <si>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</si>
  <si>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</si>
  <si>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</si>
  <si>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</si>
  <si>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</si>
  <si>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</si>
  <si>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</si>
  <si>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</si>
  <si>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</si>
  <si>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</si>
  <si>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</si>
  <si>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</si>
  <si>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</si>
  <si>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</si>
  <si>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</si>
  <si>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</si>
  <si>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</si>
  <si>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</si>
  <si>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</si>
  <si>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</si>
  <si>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</si>
  <si>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</si>
  <si>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</si>
  <si>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</si>
  <si>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</si>
  <si>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</si>
  <si>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</si>
  <si>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</si>
  <si>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</si>
  <si>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</si>
  <si>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</si>
  <si>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</si>
  <si>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</si>
  <si>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</si>
  <si>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</si>
  <si>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</si>
  <si>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</si>
  <si>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</si>
  <si>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</si>
  <si>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</si>
  <si>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</si>
  <si>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</si>
  <si>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</si>
  <si>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</si>
  <si>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</si>
  <si>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</si>
  <si>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</si>
  <si>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</si>
  <si>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</si>
  <si>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</si>
  <si>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</si>
  <si>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</si>
  <si>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</si>
  <si>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</si>
  <si>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</si>
  <si>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</si>
  <si>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</si>
  <si>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</si>
  <si>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</si>
  <si>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</si>
  <si>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</si>
  <si>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</si>
  <si>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</si>
  <si>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</si>
  <si>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</si>
  <si>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</si>
  <si>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</si>
  <si>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</si>
  <si>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</si>
  <si>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</si>
  <si>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</si>
  <si>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</si>
  <si>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</si>
  <si>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</si>
  <si>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</si>
  <si>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</si>
  <si>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</si>
  <si>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</si>
  <si>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</si>
  <si>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</si>
  <si>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</si>
  <si>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</si>
  <si>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</si>
  <si>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</si>
  <si>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</si>
  <si>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</si>
  <si>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</si>
  <si>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</si>
  <si>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</si>
  <si>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</si>
  <si>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</si>
  <si>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</si>
  <si>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</si>
  <si>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</si>
  <si>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</si>
  <si>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</si>
  <si>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</si>
  <si>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</si>
  <si>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</si>
  <si>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</si>
  <si>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</si>
  <si>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</si>
  <si>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</si>
  <si>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</si>
  <si>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</si>
  <si>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</si>
  <si>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</si>
  <si>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</si>
  <si>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</si>
  <si>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</si>
  <si>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</si>
  <si>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</si>
  <si>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</si>
  <si>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</si>
  <si>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</si>
  <si>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</si>
  <si>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</si>
  <si>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</si>
  <si>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</si>
  <si>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</si>
  <si>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</si>
  <si>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</si>
  <si>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</si>
  <si>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</si>
  <si>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</si>
  <si>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</si>
  <si>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</si>
  <si>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</si>
  <si>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</si>
  <si>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</si>
  <si>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</si>
  <si>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</si>
  <si>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</si>
  <si>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</si>
  <si>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</si>
  <si>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</si>
  <si>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</si>
  <si>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</si>
  <si>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</si>
  <si>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</si>
  <si>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</si>
  <si>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</si>
  <si>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</si>
  <si>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</si>
  <si>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</si>
  <si>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</si>
  <si>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</si>
  <si>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</si>
  <si>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</si>
  <si>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</si>
  <si>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</si>
  <si>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</si>
  <si>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</si>
  <si>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</si>
  <si>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</si>
  <si>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</si>
  <si>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</si>
  <si>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</si>
  <si>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</si>
  <si>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</si>
  <si>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</si>
  <si>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</si>
  <si>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</si>
  <si>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</si>
  <si>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</si>
  <si>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</si>
  <si>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</si>
  <si>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</si>
  <si>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</si>
  <si>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</si>
  <si>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</si>
  <si>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</si>
  <si>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</si>
  <si>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</si>
  <si>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</si>
  <si>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</si>
  <si>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</si>
  <si>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</si>
  <si>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</si>
  <si>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</si>
  <si>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</si>
  <si>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</si>
  <si>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</si>
  <si>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</si>
  <si>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</si>
  <si>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</si>
  <si>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</si>
  <si>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</si>
  <si>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</si>
  <si>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</si>
  <si>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</si>
  <si>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</si>
  <si>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</si>
  <si>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</si>
  <si>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</si>
  <si>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</si>
  <si>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</si>
  <si>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</si>
  <si>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</si>
  <si>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</si>
  <si>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</si>
  <si>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</si>
  <si>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</si>
  <si>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</si>
  <si>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</si>
  <si>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</si>
  <si>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</si>
  <si>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</si>
  <si>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</si>
  <si>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</si>
  <si>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</si>
  <si>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</si>
  <si>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</si>
  <si>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</si>
  <si>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</si>
  <si>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</si>
  <si>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</si>
  <si>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</si>
  <si>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</si>
  <si>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</si>
  <si>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</si>
  <si>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</si>
  <si>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</si>
  <si>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</si>
  <si>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</si>
  <si>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</si>
  <si>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</si>
  <si>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</si>
  <si>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</si>
  <si>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</si>
  <si>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</si>
  <si>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</si>
  <si>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</si>
  <si>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</si>
  <si>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</si>
  <si>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</si>
  <si>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</si>
  <si>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</si>
  <si>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</si>
  <si>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</si>
  <si>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</si>
  <si>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</si>
  <si>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</si>
  <si>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</si>
  <si>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</si>
  <si>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</si>
  <si>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</si>
  <si>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</si>
  <si>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</si>
  <si>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</si>
  <si>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</si>
  <si>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</si>
  <si>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</si>
  <si>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</si>
  <si>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</si>
  <si>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</si>
  <si>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</si>
  <si>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</si>
  <si>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</si>
  <si>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</si>
  <si>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</si>
  <si>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</si>
  <si>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</si>
  <si>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</si>
  <si>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</si>
  <si>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</si>
  <si>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</si>
  <si>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</si>
  <si>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</si>
  <si>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</si>
  <si>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</si>
  <si>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</si>
  <si>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</si>
  <si>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</si>
  <si>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</si>
  <si>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</si>
  <si>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</si>
  <si>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</si>
  <si>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</si>
  <si>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</si>
  <si>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</si>
  <si>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</si>
  <si>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</si>
  <si>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</si>
  <si>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</si>
  <si>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</si>
  <si>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</si>
  <si>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</si>
  <si>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</si>
  <si>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</si>
  <si>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</si>
  <si>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</si>
  <si>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</si>
  <si>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</si>
  <si>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</si>
  <si>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</si>
  <si>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</si>
  <si>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</si>
  <si>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</si>
  <si>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</si>
  <si>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</si>
  <si>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</si>
  <si>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</si>
  <si>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</si>
  <si>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</si>
  <si>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</si>
  <si>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</si>
  <si>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</si>
  <si>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</si>
  <si>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</si>
  <si>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</si>
  <si>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</si>
  <si>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</si>
  <si>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</si>
  <si>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</si>
  <si>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</si>
  <si>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</si>
  <si>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</si>
  <si>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</si>
  <si>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</si>
  <si>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</si>
  <si>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</si>
  <si>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</si>
  <si>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</si>
  <si>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</si>
  <si>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</si>
  <si>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</si>
  <si>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</si>
  <si>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</si>
  <si>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</si>
  <si>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</si>
  <si>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</si>
  <si>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</si>
  <si>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</si>
  <si>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</si>
  <si>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</si>
  <si>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</si>
  <si>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</si>
  <si>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</si>
  <si>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</si>
  <si>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</si>
  <si>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</si>
  <si>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</si>
  <si>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</si>
  <si>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</si>
  <si>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</si>
  <si>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</si>
  <si>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</si>
  <si>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</si>
  <si>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</si>
  <si>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</si>
  <si>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</si>
  <si>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</si>
  <si>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</si>
  <si>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</si>
  <si>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</si>
  <si>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</si>
  <si>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</si>
  <si>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</si>
  <si>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</si>
  <si>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</si>
  <si>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</si>
  <si>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</si>
  <si>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</si>
  <si>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</si>
  <si>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</si>
  <si>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</si>
  <si>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</si>
  <si>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</si>
  <si>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</si>
  <si>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</si>
  <si>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</si>
  <si>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</si>
  <si>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</si>
  <si>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</si>
  <si>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</si>
  <si>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</si>
  <si>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</si>
  <si>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</si>
  <si>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</si>
  <si>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</si>
  <si>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</si>
  <si>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</si>
  <si>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</si>
  <si>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</si>
  <si>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</si>
  <si>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</si>
  <si>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</si>
  <si>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</si>
  <si>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</si>
  <si>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</si>
  <si>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</si>
  <si>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</si>
  <si>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</si>
  <si>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</si>
  <si>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</si>
  <si>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</si>
  <si>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</si>
  <si>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</si>
  <si>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</si>
  <si>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</si>
  <si>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</si>
  <si>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</si>
  <si>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</si>
  <si>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</si>
  <si>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</si>
  <si>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</si>
  <si>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</si>
  <si>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</si>
  <si>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</si>
  <si>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</si>
  <si>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</si>
  <si>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</si>
  <si>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</si>
  <si>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</si>
  <si>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</si>
  <si>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</si>
  <si>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</si>
  <si>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</si>
  <si>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</si>
  <si>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</si>
  <si>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</si>
  <si>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</si>
  <si>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</si>
  <si>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</si>
  <si>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</si>
  <si>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</si>
  <si>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</si>
  <si>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</si>
  <si>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</si>
  <si>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</si>
  <si>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</si>
  <si>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</si>
  <si>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</si>
  <si>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</si>
  <si>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</si>
  <si>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</si>
  <si>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</si>
  <si>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</si>
  <si>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</si>
  <si>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</si>
  <si>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</si>
  <si>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</si>
  <si>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</si>
  <si>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</si>
  <si>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</si>
  <si>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</si>
  <si>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</si>
  <si>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</si>
  <si>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</si>
  <si>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</si>
  <si>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</si>
  <si>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</si>
  <si>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</si>
  <si>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</si>
  <si>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</si>
  <si>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</si>
  <si>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</si>
  <si>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</si>
  <si>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</si>
  <si>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</si>
  <si>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</si>
  <si>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</si>
  <si>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</si>
  <si>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</si>
  <si>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</si>
  <si>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</si>
  <si>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</si>
  <si>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</si>
  <si>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</si>
  <si>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</si>
  <si>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</si>
  <si>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</si>
  <si>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</si>
  <si>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</si>
  <si>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</si>
  <si>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</si>
  <si>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</si>
  <si>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</si>
  <si>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</si>
  <si>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</si>
  <si>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</si>
  <si>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</si>
  <si>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</si>
  <si>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</si>
  <si>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</si>
  <si>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</si>
  <si>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</si>
  <si>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</si>
  <si>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</si>
  <si>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</si>
  <si>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</si>
  <si>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</si>
  <si>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</si>
  <si>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</si>
  <si>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</si>
  <si>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</si>
  <si>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</si>
  <si>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</si>
  <si>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</si>
  <si>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</si>
  <si>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</si>
  <si>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</si>
  <si>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</si>
  <si>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</si>
  <si>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</si>
  <si>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</si>
  <si>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</si>
  <si>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</si>
  <si>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</si>
  <si>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</si>
  <si>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</si>
  <si>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</si>
  <si>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</si>
  <si>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</si>
  <si>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</si>
  <si>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</si>
  <si>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</si>
  <si>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</si>
  <si>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</si>
  <si>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</si>
  <si>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</si>
  <si>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</si>
  <si>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</si>
  <si>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</si>
  <si>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</si>
  <si>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</si>
  <si>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</si>
  <si>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</si>
  <si>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</si>
  <si>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</si>
  <si>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</si>
  <si>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</si>
  <si>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</si>
  <si>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</si>
  <si>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</si>
  <si>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</si>
  <si>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</si>
  <si>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</si>
  <si>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</si>
  <si>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</si>
  <si>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</si>
  <si>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</si>
  <si>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</si>
  <si>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</si>
  <si>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</si>
  <si>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</si>
  <si>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</si>
  <si>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</si>
  <si>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</si>
  <si>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</si>
  <si>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</si>
  <si>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</si>
  <si>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</si>
  <si>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</si>
  <si>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</si>
  <si>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</si>
  <si>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</si>
  <si>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</si>
  <si>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</si>
  <si>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</si>
  <si>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</si>
  <si>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</si>
  <si>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</si>
  <si>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</si>
  <si>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</si>
  <si>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</si>
  <si>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</si>
  <si>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</si>
  <si>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</si>
  <si>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</si>
  <si>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</si>
  <si>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</si>
  <si>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</si>
  <si>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</si>
  <si>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</si>
  <si>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</si>
  <si>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</si>
  <si>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</si>
  <si>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</si>
  <si>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</si>
  <si>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</si>
  <si>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</si>
  <si>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</si>
  <si>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</si>
  <si>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</si>
  <si>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</si>
  <si>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</si>
  <si>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</si>
  <si>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</si>
  <si>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</si>
  <si>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</si>
  <si>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</si>
  <si>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</si>
  <si>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</si>
  <si>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</si>
  <si>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</si>
  <si>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</si>
  <si>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</si>
  <si>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</si>
  <si>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</si>
  <si>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</si>
  <si>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</si>
  <si>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</si>
  <si>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</si>
  <si>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</si>
  <si>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</si>
  <si>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</si>
  <si>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</si>
  <si>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</si>
  <si>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</si>
  <si>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</si>
  <si>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</si>
  <si>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</si>
  <si>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</si>
  <si>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</si>
  <si>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</si>
  <si>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</si>
  <si>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</si>
  <si>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</si>
  <si>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</si>
  <si>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</si>
  <si>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</si>
  <si>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</si>
  <si>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</si>
  <si>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</si>
  <si>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</si>
  <si>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</si>
  <si>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</si>
  <si>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</si>
  <si>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</si>
  <si>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</si>
  <si>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</si>
  <si>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</si>
  <si>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</si>
  <si>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</si>
  <si>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</si>
  <si>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</si>
  <si>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</si>
  <si>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</si>
  <si>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</si>
  <si>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</si>
  <si>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</si>
  <si>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</si>
  <si>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</si>
  <si>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</si>
  <si>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</si>
  <si>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</si>
  <si>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</si>
  <si>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</si>
  <si>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</si>
  <si>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</si>
  <si>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</si>
  <si>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</si>
  <si>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</si>
  <si>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</si>
  <si>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</si>
  <si>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</si>
  <si>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</si>
  <si>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</si>
  <si>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</si>
  <si>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</si>
  <si>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</si>
  <si>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</si>
  <si>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</si>
  <si>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</si>
  <si>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</si>
  <si>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</si>
  <si>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</si>
  <si>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</si>
  <si>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</si>
  <si>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</si>
  <si>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</si>
  <si>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</si>
  <si>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</si>
  <si>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</si>
  <si>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</si>
  <si>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</si>
  <si>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</si>
  <si>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</si>
  <si>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</si>
  <si>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</si>
  <si>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</si>
  <si>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</si>
  <si>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</si>
  <si>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</si>
  <si>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</si>
  <si>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</si>
  <si>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</si>
  <si>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</si>
  <si>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</si>
  <si>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</si>
  <si>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</si>
  <si>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</si>
  <si>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</si>
  <si>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</si>
  <si>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</si>
  <si>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</si>
  <si>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</si>
  <si>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</si>
  <si>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</si>
  <si>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</si>
  <si>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</si>
  <si>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</si>
  <si>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</si>
  <si>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</si>
  <si>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</si>
  <si>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</si>
  <si>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</si>
  <si>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</si>
  <si>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</si>
  <si>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</si>
  <si>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</si>
  <si>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</si>
  <si>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</si>
  <si>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</si>
  <si>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</si>
  <si>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</si>
  <si>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</si>
  <si>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</si>
  <si>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</si>
  <si>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</si>
  <si>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</si>
  <si>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</si>
  <si>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</si>
  <si>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</si>
  <si>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</si>
  <si>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</si>
  <si>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</si>
  <si>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</si>
  <si>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</si>
  <si>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</si>
  <si>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</si>
  <si>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</si>
  <si>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</si>
  <si>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</si>
  <si>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</si>
  <si>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</si>
  <si>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</si>
  <si>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</si>
  <si>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</si>
  <si>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</si>
  <si>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</si>
  <si>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</si>
  <si>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</si>
  <si>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</si>
  <si>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</si>
  <si>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</si>
  <si>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</si>
  <si>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</si>
  <si>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</si>
  <si>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</si>
  <si>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</si>
  <si>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</si>
  <si>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</si>
  <si>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</si>
  <si>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</si>
  <si>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</si>
  <si>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</si>
  <si>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</si>
  <si>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</si>
  <si>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</si>
  <si>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</si>
  <si>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</si>
  <si>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</si>
  <si>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</si>
  <si>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</si>
  <si>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</si>
  <si>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</si>
  <si>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</si>
  <si>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</si>
  <si>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</si>
  <si>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</si>
  <si>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</si>
  <si>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</si>
  <si>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</si>
  <si>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</si>
  <si>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</si>
  <si>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</si>
  <si>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</si>
  <si>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</si>
  <si>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</si>
  <si>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</si>
  <si>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</si>
  <si>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</si>
  <si>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</si>
  <si>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</si>
  <si>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</si>
  <si>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</si>
  <si>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</si>
  <si>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</si>
  <si>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</si>
  <si>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</si>
  <si>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</si>
  <si>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</si>
  <si>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</si>
  <si>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</si>
  <si>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</si>
  <si>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</si>
  <si>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</si>
  <si>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</si>
  <si>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</si>
  <si>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</si>
  <si>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</si>
  <si>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</si>
  <si>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</si>
  <si>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</si>
  <si>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</si>
  <si>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</si>
  <si>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</si>
  <si>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</si>
  <si>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</si>
  <si>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</si>
  <si>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</si>
  <si>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</si>
  <si>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</si>
  <si>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</si>
  <si>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</si>
  <si>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</si>
  <si>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</si>
  <si>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</si>
  <si>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</si>
  <si>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</si>
  <si>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</si>
  <si>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</si>
  <si>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</si>
  <si>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</si>
  <si>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</si>
  <si>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</si>
  <si>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</si>
  <si>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</si>
  <si>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</si>
  <si>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</si>
  <si>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</si>
  <si>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</si>
  <si>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</si>
  <si>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</si>
  <si>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</si>
  <si>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</si>
  <si>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</si>
  <si>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</si>
  <si>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</si>
  <si>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</si>
  <si>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</si>
  <si>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</si>
  <si>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</si>
  <si>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</si>
  <si>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</si>
  <si>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</si>
  <si>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</si>
  <si>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</si>
  <si>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</si>
  <si>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</si>
  <si>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</si>
  <si>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</si>
  <si>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</si>
  <si>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</si>
  <si>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</si>
  <si>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</si>
  <si>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</si>
  <si>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</si>
  <si>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</si>
  <si>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</si>
  <si>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</si>
  <si>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</si>
  <si>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</si>
  <si>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</si>
  <si>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</si>
  <si>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</si>
  <si>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</si>
  <si>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</si>
  <si>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</si>
  <si>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</si>
  <si>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</si>
  <si>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</si>
  <si>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</si>
  <si>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</si>
  <si>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</si>
  <si>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</si>
  <si>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</si>
  <si>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</si>
  <si>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</si>
  <si>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</si>
  <si>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</si>
  <si>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</si>
  <si>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</si>
  <si>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</si>
  <si>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</si>
  <si>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</si>
  <si>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</si>
  <si>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</si>
  <si>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</si>
  <si>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</si>
  <si>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</si>
  <si>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</si>
  <si>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</si>
  <si>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</si>
  <si>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</si>
  <si>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</si>
  <si>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</si>
  <si>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</si>
  <si>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</si>
  <si>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</si>
  <si>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</si>
  <si>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</si>
  <si>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</si>
  <si>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</si>
  <si>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</si>
  <si>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</si>
  <si>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</si>
  <si>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</si>
  <si>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</si>
  <si>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</si>
  <si>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</si>
  <si>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</si>
  <si>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</si>
  <si>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</si>
  <si>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</si>
  <si>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</si>
  <si>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</si>
  <si>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</si>
  <si>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</si>
  <si>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</si>
  <si>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</si>
  <si>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</si>
  <si>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</si>
  <si>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</si>
  <si>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</si>
  <si>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</si>
  <si>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</si>
  <si>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</si>
  <si>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</si>
  <si>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</si>
  <si>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</si>
  <si>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</si>
  <si>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</si>
  <si>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</si>
  <si>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</si>
  <si>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</si>
  <si>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</si>
  <si>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</si>
  <si>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</si>
  <si>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</si>
  <si>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</si>
  <si>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</si>
  <si>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</si>
  <si>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</si>
  <si>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</si>
  <si>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</si>
  <si>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</si>
  <si>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</si>
  <si>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</si>
  <si>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</si>
  <si>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</si>
  <si>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</si>
  <si>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</si>
  <si>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</si>
  <si>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</si>
  <si>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</si>
  <si>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</si>
  <si>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</si>
  <si>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</si>
  <si>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</si>
  <si>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</si>
  <si>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</si>
  <si>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</si>
  <si>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</si>
  <si>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</si>
  <si>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</si>
  <si>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</si>
  <si>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</si>
  <si>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</si>
  <si>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</si>
  <si>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</si>
  <si>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</si>
  <si>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</si>
  <si>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</si>
  <si>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</si>
  <si>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</si>
  <si>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</si>
  <si>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</si>
  <si>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</si>
  <si>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</si>
  <si>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</si>
  <si>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</si>
  <si>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</si>
  <si>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</si>
  <si>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</si>
  <si>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</si>
  <si>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</si>
  <si>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</si>
  <si>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</si>
  <si>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</si>
  <si>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</si>
  <si>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</si>
  <si>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</si>
  <si>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</si>
  <si>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</si>
  <si>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</si>
  <si>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</si>
  <si>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</si>
  <si>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</si>
  <si>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</si>
  <si>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</si>
  <si>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</si>
  <si>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</si>
  <si>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</si>
  <si>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</si>
  <si>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</si>
  <si>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</si>
  <si>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</si>
  <si>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</si>
  <si>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</si>
  <si>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</si>
  <si>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</si>
  <si>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</si>
  <si>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</si>
  <si>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</si>
  <si>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</si>
  <si>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</si>
  <si>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</si>
  <si>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</si>
  <si>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</si>
  <si>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</si>
  <si>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</si>
  <si>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</si>
  <si>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</si>
  <si>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</si>
  <si>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</si>
  <si>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</si>
  <si>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</si>
  <si>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</si>
  <si>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</si>
  <si>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</si>
  <si>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</si>
  <si>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</si>
  <si>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</si>
  <si>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</si>
  <si>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</si>
  <si>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</si>
  <si>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</si>
  <si>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</si>
  <si>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</si>
  <si>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</si>
  <si>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</si>
  <si>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</si>
  <si>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</si>
  <si>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</si>
  <si>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</si>
  <si>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</si>
  <si>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</si>
  <si>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</si>
  <si>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</si>
  <si>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</si>
  <si>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</si>
  <si>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</si>
  <si>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</si>
  <si>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</si>
  <si>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</si>
  <si>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</si>
  <si>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</si>
  <si>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</si>
  <si>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</si>
  <si>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</si>
  <si>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</si>
  <si>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</si>
  <si>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</si>
  <si>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</si>
  <si>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</si>
  <si>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</si>
  <si>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</si>
  <si>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</si>
  <si>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</si>
  <si>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</si>
  <si>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</si>
  <si>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</si>
  <si>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</si>
  <si>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</si>
  <si>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</si>
  <si>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</si>
  <si>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</si>
  <si>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</si>
  <si>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</si>
  <si>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</si>
  <si>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</si>
  <si>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</si>
  <si>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</si>
  <si>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</si>
  <si>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</si>
  <si>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</si>
  <si>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</si>
  <si>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</si>
  <si>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</si>
  <si>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</si>
  <si>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</si>
  <si>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</si>
  <si>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</si>
  <si>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</si>
  <si>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</si>
  <si>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</si>
  <si>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</si>
  <si>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</si>
  <si>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</si>
  <si>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</si>
  <si>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</si>
  <si>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</si>
  <si>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</si>
  <si>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</si>
  <si>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</si>
  <si>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</si>
  <si>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</si>
  <si>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</si>
  <si>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</si>
  <si>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</si>
  <si>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</si>
  <si>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</si>
  <si>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</si>
  <si>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</si>
  <si>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</si>
  <si>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</si>
  <si>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</si>
  <si>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</si>
  <si>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</si>
  <si>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</si>
  <si>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</si>
  <si>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</si>
  <si>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</si>
  <si>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</si>
  <si>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</si>
  <si>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</si>
  <si>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</si>
  <si>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</si>
  <si>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</si>
  <si>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</si>
  <si>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</si>
  <si>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</si>
  <si>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</si>
  <si>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</si>
  <si>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</si>
  <si>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</si>
  <si>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</si>
  <si>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</si>
  <si>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</si>
  <si>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</si>
  <si>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</si>
  <si>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</si>
  <si>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</si>
  <si>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</si>
  <si>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</si>
  <si>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</si>
  <si>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</si>
  <si>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</si>
  <si>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</si>
  <si>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</si>
  <si>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</si>
  <si>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</si>
  <si>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</si>
  <si>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</si>
  <si>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</si>
  <si>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</si>
  <si>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</si>
  <si>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</si>
  <si>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</si>
  <si>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</si>
  <si>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</si>
  <si>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</si>
  <si>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</si>
  <si>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</si>
  <si>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</si>
  <si>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</si>
  <si>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</si>
  <si>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</si>
  <si>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</si>
  <si>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</si>
  <si>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</si>
  <si>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</si>
  <si>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</si>
  <si>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</si>
  <si>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</si>
  <si>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</si>
  <si>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</si>
  <si>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</si>
  <si>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</si>
  <si>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</si>
  <si>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</si>
  <si>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</si>
  <si>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</si>
  <si>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</si>
  <si>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</si>
  <si>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</si>
  <si>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</si>
  <si>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</si>
  <si>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</si>
  <si>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</si>
  <si>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</si>
  <si>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</si>
  <si>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</si>
  <si>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</si>
  <si>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</si>
  <si>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</si>
  <si>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</si>
  <si>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</si>
  <si>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</si>
  <si>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</si>
  <si>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</si>
  <si>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</si>
  <si>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</si>
  <si>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</si>
  <si>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</si>
  <si>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</si>
  <si>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</si>
  <si>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</si>
  <si>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</si>
  <si>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</si>
  <si>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</si>
  <si>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</si>
  <si>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</si>
  <si>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</si>
  <si>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</si>
  <si>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</si>
  <si>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</si>
  <si>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</si>
  <si>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</si>
  <si>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</si>
  <si>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</si>
  <si>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</si>
  <si>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</si>
  <si>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</si>
  <si>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</si>
  <si>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</si>
  <si>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</si>
  <si>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</si>
  <si>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</si>
  <si>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</si>
  <si>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</si>
  <si>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</si>
  <si>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</si>
  <si>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</si>
  <si>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</si>
  <si>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</si>
  <si>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</si>
  <si>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</si>
  <si>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</si>
  <si>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</si>
  <si>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</si>
  <si>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</si>
  <si>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</si>
  <si>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</si>
  <si>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</si>
  <si>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</si>
  <si>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</si>
  <si>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</si>
  <si>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</si>
  <si>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</si>
  <si>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</si>
  <si>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</si>
  <si>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</si>
  <si>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</si>
  <si>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</si>
  <si>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</si>
  <si>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</si>
  <si>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</si>
  <si>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</si>
  <si>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</si>
  <si>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</si>
  <si>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</si>
  <si>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</si>
  <si>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</si>
  <si>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</si>
  <si>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</si>
  <si>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</si>
  <si>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</si>
  <si>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</si>
  <si>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</si>
  <si>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</si>
  <si>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</si>
  <si>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</si>
  <si>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</si>
  <si>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</si>
  <si>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</si>
  <si>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</si>
  <si>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</si>
  <si>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</si>
  <si>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</si>
  <si>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</si>
  <si>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</si>
  <si>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</si>
  <si>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</si>
  <si>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</si>
  <si>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</si>
  <si>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</si>
  <si>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</si>
  <si>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</si>
  <si>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</si>
  <si>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</si>
  <si>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</si>
  <si>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</si>
  <si>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</si>
  <si>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</si>
  <si>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</si>
  <si>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</si>
  <si>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</si>
  <si>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</si>
  <si>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</si>
  <si>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</si>
  <si>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</si>
  <si>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</si>
  <si>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</si>
  <si>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</si>
  <si>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</si>
  <si>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</si>
  <si>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</si>
  <si>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</si>
  <si>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</si>
  <si>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</si>
  <si>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</si>
  <si>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</si>
  <si>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</si>
  <si>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</si>
  <si>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</si>
  <si>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</si>
  <si>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</si>
  <si>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</si>
  <si>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</si>
  <si>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</si>
  <si>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</si>
  <si>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</si>
  <si>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</si>
  <si>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</si>
  <si>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</si>
  <si>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</si>
  <si>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</si>
  <si>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</si>
  <si>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</si>
  <si>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</si>
  <si>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</si>
  <si>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</si>
  <si>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</si>
  <si>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</si>
  <si>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</si>
  <si>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</si>
  <si>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</si>
  <si>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</si>
  <si>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</si>
  <si>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</si>
  <si>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</si>
  <si>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</si>
  <si>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</si>
  <si>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</si>
  <si>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</si>
  <si>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</si>
  <si>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</si>
  <si>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</si>
  <si>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</si>
  <si>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</si>
  <si>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</si>
  <si>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</si>
  <si>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</si>
  <si>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</si>
  <si>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</si>
  <si>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</si>
  <si>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</si>
  <si>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</si>
  <si>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</si>
  <si>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</si>
  <si>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</si>
  <si>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</si>
  <si>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</si>
  <si>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</si>
  <si>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</si>
  <si>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</si>
  <si>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</si>
  <si>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</si>
  <si>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</si>
  <si>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</si>
  <si>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</si>
  <si>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</si>
  <si>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</si>
  <si>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</si>
  <si>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</si>
  <si>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</si>
  <si>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</si>
  <si>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</si>
  <si>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</si>
  <si>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</si>
  <si>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</si>
  <si>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</si>
  <si>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</si>
  <si>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</si>
  <si>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</si>
  <si>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</si>
  <si>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</si>
  <si>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</si>
  <si>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</si>
  <si>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</si>
  <si>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</si>
  <si>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</si>
  <si>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</si>
  <si>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</si>
  <si>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</si>
  <si>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</si>
  <si>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</si>
  <si>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</si>
  <si>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</si>
  <si>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</si>
  <si>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</si>
  <si>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</si>
  <si>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</si>
  <si>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</si>
  <si>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</si>
  <si>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</si>
  <si>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</si>
  <si>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</si>
  <si>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</si>
  <si>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</si>
  <si>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</si>
  <si>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</si>
  <si>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</si>
  <si>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</si>
  <si>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</si>
  <si>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</si>
  <si>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</si>
  <si>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</si>
  <si>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</si>
  <si>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</si>
  <si>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</si>
  <si>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</si>
  <si>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</si>
  <si>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</si>
  <si>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</si>
  <si>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</si>
  <si>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</si>
  <si>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</si>
  <si>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</si>
  <si>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</si>
  <si>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</si>
  <si>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</si>
  <si>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</si>
  <si>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</si>
  <si>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</si>
  <si>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</si>
  <si>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</si>
  <si>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</si>
  <si>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</si>
  <si>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</si>
  <si>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</si>
  <si>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</si>
  <si>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</si>
  <si>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</si>
  <si>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</si>
  <si>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</si>
  <si>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</si>
  <si>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</si>
  <si>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</si>
  <si>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</si>
  <si>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</si>
  <si>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</si>
  <si>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</si>
  <si>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</si>
  <si>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</si>
  <si>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</si>
  <si>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</si>
  <si>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</si>
  <si>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</si>
  <si>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</si>
  <si>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</si>
  <si>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</si>
  <si>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</si>
  <si>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</si>
  <si>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</si>
  <si>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</si>
  <si>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</si>
  <si>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</si>
  <si>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</si>
  <si>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</si>
  <si>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</si>
  <si>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</si>
  <si>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</si>
  <si>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</si>
  <si>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</si>
  <si>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</si>
  <si>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</si>
  <si>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</si>
  <si>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</si>
  <si>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</si>
  <si>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</si>
  <si>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</si>
  <si>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</si>
  <si>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</si>
  <si>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</si>
  <si>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</si>
  <si>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</si>
  <si>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</si>
  <si>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</si>
  <si>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</si>
  <si>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</si>
  <si>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</si>
  <si>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</si>
  <si>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</si>
  <si>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</si>
  <si>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</si>
  <si>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</si>
  <si>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</si>
  <si>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</si>
  <si>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</si>
  <si>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</si>
  <si>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</si>
  <si>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</si>
  <si>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</si>
  <si>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</si>
  <si>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</si>
  <si>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</si>
  <si>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</si>
  <si>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</si>
  <si>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</si>
  <si>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</si>
  <si>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</si>
  <si>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</si>
  <si>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</si>
  <si>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</si>
  <si>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</si>
  <si>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</si>
  <si>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</si>
  <si>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</si>
  <si>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</si>
  <si>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</si>
  <si>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</si>
  <si>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</si>
  <si>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</si>
  <si>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</si>
  <si>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</si>
  <si>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</si>
  <si>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</si>
  <si>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</si>
  <si>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</si>
  <si>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</si>
  <si>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</si>
  <si>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</si>
  <si>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</si>
  <si>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</si>
  <si>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</si>
  <si>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</si>
  <si>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</si>
  <si>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</si>
  <si>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</si>
  <si>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</si>
  <si>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</si>
  <si>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</si>
  <si>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</si>
  <si>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</si>
  <si>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</si>
  <si>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</si>
  <si>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</si>
  <si>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</si>
  <si>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</si>
  <si>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</si>
  <si>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</si>
  <si>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</si>
  <si>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</si>
  <si>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</si>
  <si>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</si>
  <si>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</si>
  <si>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</si>
  <si>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</si>
  <si>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</si>
  <si>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</si>
  <si>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</si>
  <si>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</si>
  <si>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</si>
  <si>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</si>
  <si>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</si>
  <si>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</si>
  <si>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</si>
  <si>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</si>
  <si>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</si>
  <si>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</si>
  <si>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</si>
  <si>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</si>
  <si>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</si>
  <si>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</si>
  <si>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</si>
  <si>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</si>
  <si>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</si>
  <si>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</si>
  <si>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</si>
  <si>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</si>
  <si>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</si>
  <si>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</si>
  <si>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</si>
  <si>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</si>
  <si>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</si>
  <si>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</si>
  <si>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</si>
  <si>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</si>
  <si>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</si>
  <si>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</si>
  <si>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</si>
  <si>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</si>
  <si>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</si>
  <si>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</si>
  <si>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</si>
  <si>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</si>
  <si>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</si>
  <si>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</si>
  <si>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</si>
  <si>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</si>
  <si>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</si>
  <si>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</si>
  <si>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</si>
  <si>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</si>
  <si>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</si>
  <si>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</si>
  <si>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</si>
  <si>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</si>
  <si>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</si>
  <si>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</si>
  <si>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</si>
  <si>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</si>
  <si>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</si>
  <si>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</si>
  <si>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</si>
  <si>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</si>
  <si>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</si>
  <si>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</si>
  <si>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</si>
  <si>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</si>
  <si>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</si>
  <si>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</si>
  <si>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</si>
  <si>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</si>
  <si>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</si>
  <si>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</si>
  <si>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</si>
  <si>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</si>
  <si>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</si>
  <si>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</si>
  <si>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</si>
  <si>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</si>
  <si>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</si>
  <si>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</si>
  <si>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</si>
  <si>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</si>
  <si>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</si>
  <si>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</si>
  <si>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</si>
  <si>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</si>
  <si>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</si>
  <si>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</si>
  <si>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</si>
  <si>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</si>
  <si>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</si>
  <si>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</si>
  <si>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</si>
  <si>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</si>
  <si>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</si>
  <si>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</si>
  <si>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</si>
  <si>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</si>
  <si>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</si>
  <si>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</si>
  <si>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</si>
  <si>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</si>
  <si>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</si>
  <si>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</si>
  <si>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</si>
  <si>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</si>
  <si>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</si>
  <si>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</si>
  <si>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</si>
  <si>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</si>
  <si>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</si>
  <si>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</si>
  <si>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</si>
  <si>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</si>
  <si>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</si>
  <si>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</si>
  <si>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</si>
  <si>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</si>
  <si>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</si>
  <si>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</si>
  <si>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</si>
  <si>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</si>
  <si>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</si>
  <si>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</si>
  <si>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</si>
  <si>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</si>
  <si>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</si>
  <si>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</si>
  <si>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</si>
  <si>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</si>
  <si>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</si>
  <si>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</si>
  <si>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</si>
  <si>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</si>
  <si>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</si>
  <si>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</si>
  <si>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</si>
  <si>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</si>
  <si>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</si>
  <si>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</si>
  <si>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</si>
  <si>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</si>
  <si>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</si>
  <si>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</si>
  <si>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</si>
  <si>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</si>
  <si>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</si>
  <si>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</si>
  <si>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</si>
  <si>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</si>
  <si>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</si>
  <si>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</si>
  <si>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</si>
  <si>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</si>
  <si>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</si>
  <si>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</si>
  <si>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</si>
  <si>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</si>
  <si>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</si>
  <si>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</si>
  <si>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</si>
  <si>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</si>
  <si>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</si>
  <si>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</si>
  <si>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</si>
  <si>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</si>
  <si>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</si>
  <si>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</si>
  <si>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</si>
  <si>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</si>
  <si>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</si>
  <si>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</si>
  <si>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</si>
  <si>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</si>
  <si>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</si>
  <si>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</si>
  <si>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</si>
  <si>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</si>
  <si>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</si>
  <si>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</si>
  <si>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</si>
  <si>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</si>
  <si>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</si>
  <si>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</si>
  <si>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</si>
  <si>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</si>
  <si>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</si>
  <si>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</si>
  <si>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</si>
  <si>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</si>
  <si>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</si>
  <si>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</si>
  <si>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</si>
  <si>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</si>
  <si>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</si>
  <si>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</si>
  <si>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</si>
  <si>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</si>
  <si>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</si>
  <si>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</si>
  <si>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</si>
  <si>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</si>
  <si>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</si>
  <si>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</si>
  <si>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</si>
  <si>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</si>
  <si>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</si>
  <si>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</si>
  <si>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</si>
  <si>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</si>
  <si>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</si>
  <si>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</si>
  <si>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</si>
  <si>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</si>
  <si>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</si>
  <si>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</si>
  <si>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</si>
  <si>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</si>
  <si>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</si>
  <si>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</si>
  <si>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</si>
  <si>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</si>
  <si>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</si>
  <si>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</si>
  <si>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</si>
  <si>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</si>
  <si>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</si>
  <si>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</si>
  <si>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</si>
  <si>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</si>
  <si>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</si>
  <si>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</si>
  <si>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</si>
  <si>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</si>
  <si>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</si>
  <si>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</si>
  <si>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</si>
  <si>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</si>
  <si>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</si>
  <si>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</si>
  <si>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</si>
  <si>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</si>
  <si>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</si>
  <si>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</si>
  <si>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</si>
  <si>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</si>
  <si>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</si>
  <si>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</si>
  <si>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</si>
  <si>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</si>
  <si>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</si>
  <si>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</si>
  <si>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</si>
  <si>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</si>
  <si>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</si>
  <si>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</si>
  <si>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</si>
  <si>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</si>
  <si>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</si>
  <si>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</si>
  <si>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</si>
  <si>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</si>
  <si>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</si>
  <si>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</si>
  <si>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</si>
  <si>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</si>
  <si>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</si>
  <si>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</si>
  <si>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</si>
  <si>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</si>
  <si>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</si>
  <si>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</si>
  <si>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</si>
  <si>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</si>
  <si>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</si>
  <si>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</si>
  <si>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</si>
  <si>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</si>
  <si>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</si>
  <si>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</si>
  <si>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</si>
  <si>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</si>
  <si>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</si>
  <si>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</si>
  <si>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</si>
  <si>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</si>
  <si>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</si>
  <si>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</si>
  <si>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</si>
  <si>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</si>
  <si>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</si>
  <si>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</si>
  <si>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</si>
  <si>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</si>
  <si>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</si>
  <si>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</si>
  <si>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</si>
  <si>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</si>
  <si>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</si>
  <si>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</si>
  <si>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</si>
  <si>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</si>
  <si>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</si>
  <si>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</si>
  <si>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</si>
  <si>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</si>
  <si>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</si>
  <si>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</si>
  <si>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</si>
  <si>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</si>
  <si>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</si>
  <si>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</si>
  <si>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</si>
  <si>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</si>
  <si>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</si>
  <si>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</si>
  <si>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</si>
  <si>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</si>
  <si>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</si>
  <si>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</si>
  <si>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</si>
  <si>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</si>
  <si>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</si>
  <si>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</si>
  <si>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</si>
  <si>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</si>
  <si>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</si>
  <si>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</si>
  <si>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</si>
  <si>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</si>
  <si>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</si>
  <si>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</si>
  <si>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</si>
  <si>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</si>
  <si>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</si>
  <si>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</si>
  <si>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</si>
  <si>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</si>
  <si>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</si>
  <si>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</si>
  <si>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</si>
  <si>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</si>
  <si>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</si>
  <si>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</si>
  <si>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</si>
  <si>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</si>
  <si>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</si>
  <si>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</si>
  <si>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</si>
  <si>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</si>
  <si>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</si>
  <si>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</si>
  <si>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</si>
  <si>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</si>
  <si>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</si>
  <si>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</si>
  <si>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</si>
  <si>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</si>
  <si>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</si>
  <si>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</si>
  <si>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</si>
  <si>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</si>
  <si>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</si>
  <si>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</si>
  <si>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</si>
  <si>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</si>
  <si>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</si>
  <si>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</si>
  <si>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</si>
  <si>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</si>
  <si>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</si>
  <si>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</si>
  <si>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</si>
  <si>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</si>
  <si>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</si>
  <si>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</si>
  <si>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</si>
  <si>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</si>
  <si>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</si>
  <si>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</si>
  <si>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</si>
  <si>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</si>
  <si>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</si>
  <si>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</si>
  <si>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</si>
  <si>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</si>
  <si>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</si>
  <si>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</si>
  <si>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</si>
  <si>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</si>
  <si>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</si>
  <si>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</si>
  <si>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</si>
  <si>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</si>
  <si>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</si>
  <si>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</si>
  <si>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</si>
  <si>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</si>
  <si>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</si>
  <si>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</si>
  <si>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</si>
  <si>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</si>
  <si>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</si>
  <si>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</si>
  <si>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</si>
  <si>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</si>
  <si>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</si>
  <si>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</si>
  <si>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</si>
  <si>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</si>
  <si>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</si>
  <si>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</si>
  <si>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</si>
  <si>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</si>
  <si>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</si>
  <si>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</si>
  <si>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</si>
  <si>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</si>
  <si>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</si>
  <si>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</si>
  <si>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</si>
  <si>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</si>
  <si>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</si>
  <si>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</si>
  <si>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</si>
  <si>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</si>
  <si>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</si>
  <si>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</si>
  <si>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</si>
  <si>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</si>
  <si>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</si>
  <si>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</si>
  <si>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</si>
  <si>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</si>
  <si>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</si>
  <si>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</si>
  <si>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</si>
  <si>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</si>
  <si>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</si>
  <si>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</si>
  <si>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</si>
  <si>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</si>
  <si>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</si>
  <si>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</si>
  <si>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</si>
  <si>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</si>
  <si>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</si>
  <si>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</si>
  <si>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</si>
  <si>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</si>
  <si>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</si>
  <si>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</si>
  <si>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</si>
  <si>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</si>
  <si>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</si>
  <si>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</si>
  <si>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</si>
  <si>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</si>
  <si>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</si>
  <si>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</si>
  <si>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</si>
  <si>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</si>
  <si>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</si>
  <si>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</si>
  <si>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</si>
  <si>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</si>
  <si>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</si>
  <si>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</si>
  <si>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</si>
  <si>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</si>
  <si>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</si>
  <si>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</si>
  <si>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</si>
  <si>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</si>
  <si>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</si>
  <si>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</si>
  <si>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</si>
  <si>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</si>
  <si>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</si>
  <si>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</si>
  <si>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</si>
  <si>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</si>
  <si>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</si>
  <si>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</si>
  <si>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</si>
  <si>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</si>
  <si>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</si>
  <si>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</si>
  <si>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</si>
  <si>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</si>
  <si>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</si>
  <si>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</si>
  <si>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</si>
  <si>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</si>
  <si>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</si>
  <si>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</si>
  <si>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</si>
  <si>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</si>
  <si>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</si>
  <si>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</si>
  <si>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</si>
  <si>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</si>
  <si>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</si>
  <si>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</si>
  <si>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</si>
  <si>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</si>
  <si>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</si>
  <si>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</si>
  <si>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</si>
  <si>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</si>
  <si>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</si>
  <si>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</si>
  <si>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</si>
  <si>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</si>
  <si>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</si>
  <si>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</si>
  <si>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</si>
  <si>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</si>
  <si>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</si>
  <si>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</si>
  <si>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</si>
  <si>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</si>
  <si>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</si>
  <si>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</si>
  <si>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</si>
  <si>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</si>
  <si>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</si>
  <si>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</si>
  <si>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</si>
  <si>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</si>
  <si>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</si>
  <si>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</si>
  <si>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</si>
  <si>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</si>
  <si>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</si>
  <si>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</si>
  <si>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</si>
  <si>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</si>
  <si>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</si>
  <si>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</si>
  <si>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</si>
  <si>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</si>
  <si>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</si>
  <si>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</si>
  <si>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</si>
  <si>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</si>
  <si>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</si>
  <si>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</si>
  <si>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</si>
  <si>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</si>
  <si>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</si>
  <si>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</si>
  <si>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</si>
  <si>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</si>
  <si>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</si>
  <si>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</si>
  <si>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</si>
  <si>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</si>
  <si>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</si>
  <si>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</si>
  <si>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</si>
  <si>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</si>
  <si>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</si>
  <si>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</si>
  <si>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Đã trả lại FAC1 1 cái ngày 14/09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</si>
  <si>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</si>
  <si>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</si>
  <si>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</si>
  <si>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</si>
  <si>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</si>
  <si>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</si>
  <si>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</si>
  <si>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</si>
  <si>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</si>
  <si>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</si>
  <si>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</si>
  <si>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</si>
  <si>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</si>
  <si>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</si>
  <si>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</si>
  <si>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</si>
  <si>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</si>
  <si>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</si>
  <si>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</si>
  <si>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</si>
  <si>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</si>
  <si>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</si>
  <si>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</si>
  <si>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</si>
  <si>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</si>
  <si>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</si>
  <si>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</si>
  <si>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</si>
  <si>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</si>
  <si>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</si>
  <si>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</si>
  <si>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</si>
  <si>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</si>
  <si>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</si>
  <si>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</si>
  <si>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</si>
  <si>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</si>
  <si>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</si>
  <si>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</si>
  <si>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</si>
  <si>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</si>
  <si>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</si>
  <si>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</si>
  <si>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</si>
  <si>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</si>
  <si>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</si>
  <si>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</si>
  <si>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</si>
  <si>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</si>
  <si>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</si>
  <si>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</si>
  <si>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</si>
  <si>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</si>
  <si>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</si>
  <si>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</si>
  <si>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</si>
  <si>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</si>
  <si>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</si>
  <si>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</si>
  <si>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</si>
  <si>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</si>
  <si>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</si>
  <si>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</si>
  <si>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</si>
  <si>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</si>
  <si>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</si>
  <si>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</si>
  <si>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</si>
  <si>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</si>
  <si>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</si>
  <si>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</si>
  <si>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</si>
  <si>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</si>
  <si>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</si>
  <si>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</si>
  <si>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</si>
  <si>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</si>
  <si>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</si>
  <si>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</si>
  <si>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</si>
  <si>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</si>
  <si>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</si>
  <si>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</si>
  <si>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</si>
  <si>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</si>
  <si>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</si>
  <si>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</si>
  <si>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</si>
  <si>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</si>
  <si>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</si>
  <si>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</si>
  <si>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</si>
  <si>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</si>
  <si>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</si>
  <si>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</si>
  <si>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</si>
  <si>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</si>
  <si>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</si>
  <si>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</si>
  <si>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</si>
  <si>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</si>
  <si>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</si>
  <si>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</si>
  <si>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</si>
  <si>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</si>
  <si>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</si>
  <si>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</si>
  <si>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</si>
  <si>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</si>
  <si>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</si>
  <si>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</si>
  <si>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</si>
  <si>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</si>
  <si>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</si>
  <si>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</si>
  <si>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</si>
  <si>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</si>
  <si>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</si>
  <si>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</si>
  <si>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</si>
  <si>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</si>
  <si>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</si>
  <si>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</si>
  <si>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</si>
  <si>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</si>
  <si>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</si>
  <si>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</si>
  <si>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</si>
  <si>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</si>
  <si>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</si>
  <si>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</si>
  <si>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</si>
  <si>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</si>
  <si>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</si>
  <si>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</si>
  <si>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</si>
  <si>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</si>
  <si>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</si>
  <si>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</si>
  <si>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</si>
  <si>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</si>
  <si>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</si>
  <si>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</si>
  <si>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</si>
  <si>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</si>
  <si>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</si>
  <si>
    <t>S1=27</t>
  </si>
  <si>
    <t>S1</t>
  </si>
  <si>
    <t>S2</t>
  </si>
  <si>
    <t>ABECD</t>
  </si>
  <si>
    <t>2B</t>
  </si>
  <si>
    <t>4A4B3C3D4ECD</t>
  </si>
  <si>
    <t>A2B</t>
  </si>
  <si>
    <t>2C2A2B</t>
  </si>
  <si>
    <t>C2A2BC</t>
  </si>
  <si>
    <t>A2CA2B2C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</si>
</sst>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SD_B0005_A0078_P0230</v>
          </cell>
          <cell r="J3">
            <v>1</v>
          </cell>
        </row>
        <row r="4">
          <cell r="D4" t="str">
            <v>SD_B0005_A0072_P0215</v>
          </cell>
          <cell r="J4">
            <v>1</v>
          </cell>
        </row>
        <row r="5">
          <cell r="D5" t="str">
            <v>SDM_A5C_5-1_P10</v>
          </cell>
          <cell r="J5">
            <v>1</v>
          </cell>
        </row>
        <row r="6">
          <cell r="D6" t="str">
            <v>SDM_A5C_1-1A_P10</v>
          </cell>
          <cell r="J6">
            <v>1</v>
          </cell>
        </row>
        <row r="7">
          <cell r="D7" t="str">
            <v>SDM_A5C_4-1A_P4A</v>
          </cell>
          <cell r="J7">
            <v>1</v>
          </cell>
        </row>
        <row r="8">
          <cell r="D8" t="str">
            <v>SDM_A5C_3-1A_P6</v>
          </cell>
          <cell r="J8">
            <v>1</v>
          </cell>
        </row>
        <row r="9">
          <cell r="D9" t="str">
            <v>SDM_A5C_6-1_P8-C</v>
          </cell>
          <cell r="J9">
            <v>2</v>
          </cell>
        </row>
        <row r="10">
          <cell r="D10" t="str">
            <v>SDM_A4C_6-1_P6</v>
          </cell>
          <cell r="J10">
            <v>1</v>
          </cell>
        </row>
        <row r="11">
          <cell r="D11" t="str">
            <v>SDM_A4C_6-1_P8</v>
          </cell>
          <cell r="J11">
            <v>2</v>
          </cell>
        </row>
        <row r="12">
          <cell r="D12" t="str">
            <v>SDM_A4C_3-1_P16</v>
          </cell>
          <cell r="J12">
            <v>2</v>
          </cell>
        </row>
        <row r="13">
          <cell r="D13" t="str">
            <v>SDM_A4C_4-1_P8</v>
          </cell>
          <cell r="J13">
            <v>2</v>
          </cell>
        </row>
        <row r="14">
          <cell r="D14" t="str">
            <v>SDM_A4C_5-1_P8</v>
          </cell>
          <cell r="J14">
            <v>2</v>
          </cell>
        </row>
        <row r="15">
          <cell r="D15" t="str">
            <v>SDM_A4C_6-1_P5</v>
          </cell>
          <cell r="J15">
            <v>3</v>
          </cell>
        </row>
        <row r="16">
          <cell r="D16" t="str">
            <v>SDM_A4C_2-0A_P9</v>
          </cell>
          <cell r="J16">
            <v>2</v>
          </cell>
        </row>
        <row r="17">
          <cell r="D17" t="str">
            <v>SDM_A4C_3-1_P14</v>
          </cell>
          <cell r="J17">
            <v>4</v>
          </cell>
        </row>
        <row r="18">
          <cell r="D18" t="str">
            <v>SDM_A4C_5-1_P7</v>
          </cell>
          <cell r="J18">
            <v>4</v>
          </cell>
        </row>
        <row r="19">
          <cell r="D19" t="str">
            <v>SDM_A4C_4-1_P9</v>
          </cell>
          <cell r="J19">
            <v>10</v>
          </cell>
        </row>
        <row r="20">
          <cell r="D20" t="str">
            <v>SDM_A4C_6-1_P9</v>
          </cell>
          <cell r="J20">
            <v>10</v>
          </cell>
        </row>
        <row r="21">
          <cell r="D21" t="str">
            <v>SDM_A4C_2-0A_P8</v>
          </cell>
          <cell r="J21">
            <v>6</v>
          </cell>
        </row>
        <row r="22">
          <cell r="D22" t="str">
            <v>SDM_A4C_1-0A_P12</v>
          </cell>
          <cell r="J22">
            <v>10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9" sqref="J9"/>
    </sheetView>
  </sheetViews>
  <sheetFormatPr defaultColWidth="9"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221323.75670000003</v>
      </c>
      <c r="G3" s="94">
        <f>SUM(G4:G23)</f>
        <v>112713.50674611474</v>
      </c>
      <c r="H3" s="94">
        <f>SUM(H4:H23)</f>
        <v>61246.878350000006</v>
      </c>
      <c r="I3" s="95">
        <f>IFERROR(F3/E3," ")</f>
        <v>0.66257205683192544</v>
      </c>
      <c r="J3" s="94">
        <f>SUM(J4:J23)</f>
        <v>51008.607039999988</v>
      </c>
      <c r="K3" s="96">
        <f>SUM(K4:K23)</f>
        <v>10238.271310000018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98830.000000000029</v>
      </c>
      <c r="G4" s="100">
        <f>+E4-F4</f>
        <v>41257.600000000064</v>
      </c>
      <c r="H4" s="100"/>
      <c r="I4" s="101">
        <f t="shared" ref="I4:I23" si="0">IFERROR(F4/E4," ")</f>
        <v>0.70548713804790686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2069</v>
      </c>
      <c r="E5" s="100">
        <f>'BTP-A320M4130'!F8</f>
        <v>193949.66344611469</v>
      </c>
      <c r="F5" s="100">
        <f>'BTP-A320M4130'!H8</f>
        <v>122493.75670000001</v>
      </c>
      <c r="G5" s="100">
        <f t="shared" ref="G5:G7" si="1">+E5-F5</f>
        <v>71455.906746114677</v>
      </c>
      <c r="H5" s="100">
        <f>+F5*0.5</f>
        <v>61246.878350000006</v>
      </c>
      <c r="I5" s="101">
        <f t="shared" si="0"/>
        <v>0.63157498973455362</v>
      </c>
      <c r="J5" s="100">
        <f>[2]Progress!$BH$4</f>
        <v>51008.607039999988</v>
      </c>
      <c r="K5" s="102">
        <f t="shared" ref="K5:K23" si="2">IF(H5-J5&lt;0,0,H5-J5)</f>
        <v>10238.271310000018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E332"/>
  <sheetViews>
    <sheetView zoomScale="85" zoomScaleNormal="85" workbookViewId="0">
      <pane xSplit="13" ySplit="29" topLeftCell="AL30" activePane="bottomRight" state="frozen"/>
      <selection activeCell="O42" sqref="O42"/>
      <selection pane="topRight" activeCell="O42" sqref="O42"/>
      <selection pane="bottomLeft" activeCell="O42" sqref="O42"/>
      <selection pane="bottomRight" activeCell="F351" sqref="F35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4" width="6.875" style="3" customWidth="1"/>
    <col min="45" max="45" width="7.25" style="3" customWidth="1"/>
    <col min="46" max="46" width="8.625" style="3" customWidth="1"/>
    <col min="47" max="47" width="14.25" style="3" customWidth="1"/>
    <col min="48" max="48" width="8.625" style="3" customWidth="1"/>
    <col min="49" max="49" width="8.75" style="3" customWidth="1"/>
    <col min="50" max="50" width="7.5" style="3" customWidth="1"/>
    <col min="51" max="53" width="9" style="3" customWidth="1"/>
    <col min="54" max="54" width="8.75" style="3" customWidth="1"/>
    <col min="55" max="55" width="8.625" style="3" customWidth="1"/>
    <col min="56" max="57" width="9" style="3" customWidth="1"/>
    <col min="58" max="16384" width="8.75" style="3"/>
  </cols>
  <sheetData>
    <row r="1" spans="4:45" ht="19.5">
      <c r="D1" s="1" t="s">
        <v>818</v>
      </c>
      <c r="E1" s="2"/>
      <c r="F1" s="2"/>
      <c r="G1" s="2"/>
      <c r="H1" s="2"/>
    </row>
    <row r="2" spans="4:45" ht="13.5" thickBot="1"/>
    <row r="3" spans="4:4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</row>
    <row r="4" spans="4:4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5"/>
    </row>
    <row r="5" spans="4:45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480</v>
      </c>
      <c r="N5" s="30">
        <f>H8</f>
        <v>98830.000000000029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</row>
    <row r="6" spans="4:45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480</v>
      </c>
      <c r="H6" s="26" cm="1">
        <f t="array" ref="H6">SUMPRODUCT(--($C$30:$C$332=$D6),$L$30:$L$332,$J$30:$J$332)</f>
        <v>98830.000000000029</v>
      </c>
      <c r="I6" s="26" cm="1">
        <f t="array" ref="I6">SUMPRODUCT(--($C$30:$C$332=$D6),$M$30:$M$332)</f>
        <v>285</v>
      </c>
      <c r="J6" s="27" cm="1">
        <f t="array" ref="J6">SUMPRODUCT(--($C$30:$C$332=$D6),$M$30:$M$332,$J$30:$J$332)</f>
        <v>41257.599999999999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</row>
    <row r="7" spans="4:4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5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480</v>
      </c>
      <c r="H8" s="41">
        <f t="shared" si="0"/>
        <v>98830.000000000029</v>
      </c>
      <c r="I8" s="41">
        <f t="shared" si="0"/>
        <v>285</v>
      </c>
      <c r="J8" s="42">
        <f t="shared" si="0"/>
        <v>41257.599999999999</v>
      </c>
    </row>
    <row r="9" spans="4:45" ht="13.5" hidden="1" outlineLevel="1" thickTop="1"/>
    <row r="10" spans="4:4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5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</row>
    <row r="12" spans="4:45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</row>
    <row r="13" spans="4:45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</row>
    <row r="14" spans="4:45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</row>
    <row r="15" spans="4:45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</row>
    <row r="16" spans="4:45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</row>
    <row r="17" spans="3:57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</row>
    <row r="18" spans="3:57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</row>
    <row r="19" spans="3:57" ht="13.5" hidden="1" outlineLevel="1" thickTop="1"/>
    <row r="20" spans="3:5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7" ht="13.5" hidden="1" outlineLevel="1" thickTop="1">
      <c r="D21" s="63" t="s">
        <v>13</v>
      </c>
      <c r="E21" s="64" t="str" cm="1">
        <f t="array" ref="E21:M21">_xlfn._xlws.SORT(MID(TRANSPOSE(_xlfn.UNIQUE(_xlfn._xlws.FILTER(AV30:AV332,(C30:C332=$D$21)*(M30:M332&lt;&gt;0)))),3,3),,1)</f>
        <v>10</v>
      </c>
      <c r="F21" s="64" t="str">
        <v>25</v>
      </c>
      <c r="G21" s="64" t="str">
        <v>15</v>
      </c>
      <c r="H21" s="64" t="str">
        <v>20</v>
      </c>
      <c r="I21" s="64" t="e">
        <v>#VALUE!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</row>
    <row r="22" spans="3:57" ht="30.75" hidden="1" customHeight="1" outlineLevel="2">
      <c r="D22" s="66" t="s">
        <v>24</v>
      </c>
      <c r="E22" s="67" t="e" cm="1">
        <f t="array" ref="E22">SUMPRODUCT(--($C$30:$C$332=$D$21),--($AV$30:$AV$332="PL"&amp;E$21),$J$30:$J$332,$I$30:$I$332)/(7.85*E$21)</f>
        <v>#VALUE!</v>
      </c>
      <c r="F22" s="67" t="e" cm="1">
        <f t="array" ref="F22">SUMPRODUCT(--($C$30:$C$332=$D$21),--($AV$30:$AV$332="PL"&amp;F$21),$J$30:$J$332,$I$30:$I$332)/(7.85*F$21)</f>
        <v>#VALUE!</v>
      </c>
      <c r="G22" s="67" t="e" cm="1">
        <f t="array" ref="G22">SUMPRODUCT(--($C$30:$C$332=$D$21),--($AV$30:$AV$332="PL"&amp;G$21),$J$30:$J$332,$I$30:$I$332)/(7.85*G$21)</f>
        <v>#VALUE!</v>
      </c>
      <c r="H22" s="67" t="e" cm="1">
        <f t="array" ref="H22">SUMPRODUCT(--($C$30:$C$332=$D$21),--($AV$30:$AV$332="PL"&amp;H$21),$J$30:$J$332,$I$30:$I$332)/(7.85*H$21)</f>
        <v>#VALUE!</v>
      </c>
      <c r="I22" s="67" t="e" cm="1">
        <f t="array" ref="I22">SUMPRODUCT(--($C$30:$C$332=$D$21),--($AV$30:$AV$332="PL"&amp;I$21),$J$30:$J$332,$I$30:$I$332)/(7.85*I$21)</f>
        <v>#VALUE!</v>
      </c>
      <c r="J22" s="67" t="e" cm="1">
        <f t="array" ref="J22">SUMPRODUCT(--($C$30:$C$332=$D$21),--($AV$30:$AV$332="PL"&amp;J$21),$J$30:$J$332,$I$30:$I$332)/(7.85*J$21)</f>
        <v>#VALUE!</v>
      </c>
      <c r="K22" s="67" t="e" cm="1">
        <f t="array" ref="K22">SUMPRODUCT(--($C$30:$C$332=$D$21),--($AV$30:$AV$332="PL"&amp;K$21),$J$30:$J$332,$I$30:$I$332)/(7.85*K$21)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</row>
    <row r="23" spans="3:57" ht="21" hidden="1" customHeight="1" outlineLevel="2">
      <c r="D23" s="66" t="s">
        <v>17</v>
      </c>
      <c r="E23" s="69" t="e" cm="1">
        <f t="array" ref="E23">SUMPRODUCT(--($C$30:$C$332=$D$21),--($AV$30:$AV$332="PL"&amp;E$21),$I$30:$I$332)</f>
        <v>#VALUE!</v>
      </c>
      <c r="F23" s="69" t="e" cm="1">
        <f t="array" ref="F23">SUMPRODUCT(--($C$30:$C$332=$D$21),--($AV$30:$AV$332="PL"&amp;F$21),$I$30:$I$332)</f>
        <v>#VALUE!</v>
      </c>
      <c r="G23" s="69" t="e" cm="1">
        <f t="array" ref="G23">SUMPRODUCT(--($C$30:$C$332=$D$21),--($AV$30:$AV$332="PL"&amp;G$21),$I$30:$I$332)</f>
        <v>#VALUE!</v>
      </c>
      <c r="H23" s="69" t="e" cm="1">
        <f t="array" ref="H23">SUMPRODUCT(--($C$30:$C$332=$D$21),--($AV$30:$AV$332="PL"&amp;H$21),$I$30:$I$332)</f>
        <v>#VALUE!</v>
      </c>
      <c r="I23" s="69" t="e" cm="1">
        <f t="array" ref="I23">SUMPRODUCT(--($C$30:$C$332=$D$21),--($AV$30:$AV$332="PL"&amp;I$21),$I$30:$I$332)</f>
        <v>#VALUE!</v>
      </c>
      <c r="J23" s="69" t="e" cm="1">
        <f t="array" ref="J23">SUMPRODUCT(--($C$30:$C$332=$D$21),--($AV$30:$AV$332="PL"&amp;J$21),$I$30:$I$332)</f>
        <v>#VALUE!</v>
      </c>
      <c r="K23" s="69" t="e" cm="1">
        <f t="array" ref="K23">SUMPRODUCT(--($C$30:$C$332=$D$21),--($AV$30:$AV$332="PL"&amp;K$21),$I$30:$I$332)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</row>
    <row r="24" spans="3:57" ht="25.9" hidden="1" customHeight="1" outlineLevel="2">
      <c r="D24" s="66" t="s">
        <v>25</v>
      </c>
      <c r="E24" s="67" t="e" cm="1">
        <f t="array" ref="E24">SUMPRODUCT(--($C$30:$C$332=$D$21),--($AV$30:$AV$332="PL"&amp;E$21),$J$30:$J$332,$M$30:$M$332)/(7.85*E$21)</f>
        <v>#VALUE!</v>
      </c>
      <c r="F24" s="67" t="e" cm="1">
        <f t="array" ref="F24">SUMPRODUCT(--($C$30:$C$332=$D$21),--($AV$30:$AV$332="PL"&amp;F$21),$J$30:$J$332,$M$30:$M$332)/(7.85*F$21)</f>
        <v>#VALUE!</v>
      </c>
      <c r="G24" s="67" t="e" cm="1">
        <f t="array" ref="G24">SUMPRODUCT(--($C$30:$C$332=$D$21),--($AV$30:$AV$332="PL"&amp;G$21),$J$30:$J$332,$M$30:$M$332)/(7.85*G$21)</f>
        <v>#VALUE!</v>
      </c>
      <c r="H24" s="67" t="e" cm="1">
        <f t="array" ref="H24">SUMPRODUCT(--($C$30:$C$332=$D$21),--($AV$30:$AV$332="PL"&amp;H$21),$J$30:$J$332,$M$30:$M$332)/(7.85*H$21)</f>
        <v>#VALUE!</v>
      </c>
      <c r="I24" s="67" t="e" cm="1">
        <f t="array" ref="I24">SUMPRODUCT(--($C$30:$C$332=$D$21),--($AV$30:$AV$332="PL"&amp;I$21),$J$30:$J$332,$M$30:$M$332)/(7.85*I$21)</f>
        <v>#VALUE!</v>
      </c>
      <c r="J24" s="67" t="e" cm="1">
        <f t="array" ref="J24">SUMPRODUCT(--($C$30:$C$332=$D$21),--($AV$30:$AV$332="PL"&amp;J$21),$J$30:$J$332,$M$30:$M$332)/(7.85*J$21)</f>
        <v>#VALUE!</v>
      </c>
      <c r="K24" s="67" t="e" cm="1">
        <f t="array" ref="K24">SUMPRODUCT(--($C$30:$C$332=$D$21),--($AV$30:$AV$332="PL"&amp;K$21),$J$30:$J$332,$M$30:$M$332)/(7.85*K$21)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</row>
    <row r="25" spans="3:57" ht="19.5" hidden="1" customHeight="1" outlineLevel="2">
      <c r="D25" s="71" t="s">
        <v>26</v>
      </c>
      <c r="E25" s="69" t="e" cm="1">
        <f t="array" ref="E25">SUMPRODUCT(--($C$30:$C$332=$D$21),--($AV$30:$AV$332="PL"&amp;E$21),$M$30:$M$332)</f>
        <v>#VALUE!</v>
      </c>
      <c r="F25" s="69" t="e" cm="1">
        <f t="array" ref="F25">SUMPRODUCT(--($C$30:$C$332=$D$21),--($AV$30:$AV$332="PL"&amp;F$21),$M$30:$M$332)</f>
        <v>#VALUE!</v>
      </c>
      <c r="G25" s="69" t="e" cm="1">
        <f t="array" ref="G25">SUMPRODUCT(--($C$30:$C$332=$D$21),--($AV$30:$AV$332="PL"&amp;G$21),$M$30:$M$332)</f>
        <v>#VALUE!</v>
      </c>
      <c r="H25" s="69" t="e" cm="1">
        <f t="array" ref="H25">SUMPRODUCT(--($C$30:$C$332=$D$21),--($AV$30:$AV$332="PL"&amp;H$21),$M$30:$M$332)</f>
        <v>#VALUE!</v>
      </c>
      <c r="I25" s="69" t="e" cm="1">
        <f t="array" ref="I25">SUMPRODUCT(--($C$30:$C$332=$D$21),--($AV$30:$AV$332="PL"&amp;I$21),$M$30:$M$332)</f>
        <v>#VALUE!</v>
      </c>
      <c r="J25" s="69" t="e" cm="1">
        <f t="array" ref="J25">SUMPRODUCT(--($C$30:$C$332=$D$21),--($AV$30:$AV$332="PL"&amp;J$21),$M$30:$M$332)</f>
        <v>#VALUE!</v>
      </c>
      <c r="K25" s="69" t="e" cm="1">
        <f t="array" ref="K25">SUMPRODUCT(--($C$30:$C$332=$D$21),--($AV$30:$AV$332="PL"&amp;K$21),$M$30:$M$332)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</row>
    <row r="26" spans="3:57" ht="25.9" hidden="1" customHeight="1" outlineLevel="1" collapsed="1" thickBot="1">
      <c r="D26" s="72" t="s">
        <v>27</v>
      </c>
      <c r="E26" s="67" t="e" cm="1">
        <f t="array" ref="E26">SUMPRODUCT(--($C$30:$C$332=$D$21),--($AV$30:$AV$332="PL"&amp;E$21),$J$30:$J$332,$M$30:$M$332)</f>
        <v>#VALUE!</v>
      </c>
      <c r="F26" s="67" t="e" cm="1">
        <f t="array" ref="F26">SUMPRODUCT(--($C$30:$C$332=$D$21),--($AV$30:$AV$332="PL"&amp;F$21),$J$30:$J$332,$M$30:$M$332)</f>
        <v>#VALUE!</v>
      </c>
      <c r="G26" s="67" t="e" cm="1">
        <f t="array" ref="G26">SUMPRODUCT(--($C$30:$C$332=$D$21),--($AV$30:$AV$332="PL"&amp;G$21),$J$30:$J$332,$M$30:$M$332)</f>
        <v>#VALUE!</v>
      </c>
      <c r="H26" s="67" t="e" cm="1">
        <f t="array" ref="H26">SUMPRODUCT(--($C$30:$C$332=$D$21),--($AV$30:$AV$332="PL"&amp;H$21),$J$30:$J$332,$M$30:$M$332)</f>
        <v>#VALUE!</v>
      </c>
      <c r="I26" s="67" t="e" cm="1">
        <f t="array" ref="I26">SUMPRODUCT(--($C$30:$C$332=$D$21),--($AV$30:$AV$332="PL"&amp;I$21),$J$30:$J$332,$M$30:$M$332)</f>
        <v>#VALUE!</v>
      </c>
      <c r="J26" s="67" t="e" cm="1">
        <f t="array" ref="J26">SUMPRODUCT(--($C$30:$C$332=$D$21),--($AV$30:$AV$332="PL"&amp;J$21),$J$30:$J$332,$M$30:$M$332)</f>
        <v>#VALUE!</v>
      </c>
      <c r="K26" s="67" t="e" cm="1">
        <f t="array" ref="K26">SUMPRODUCT(--($C$30:$C$332=$D$21),--($AV$30:$AV$332="PL"&amp;K$21),$J$30:$J$332,$M$30:$M$332)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</row>
    <row r="27" spans="3:57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10285.700000000001</v>
      </c>
      <c r="AR27" s="73" cm="1">
        <f t="array" ref="AR27">SUMPRODUCT($J$30:$J$332,AR30:AR332,--(AR30:AR332&lt;&gt;""))</f>
        <v>48.8</v>
      </c>
      <c r="AS27" s="73" cm="1">
        <f t="array" ref="AS27">SUMPRODUCT($J$30:$J$332,AS30:AS332,--(AS30:AS332&lt;&gt;""))</f>
        <v>0</v>
      </c>
      <c r="AT27" s="73" cm="1">
        <f t="array" ref="AT27">SUMPRODUCT($J$30:$J$332,AT30:AT332,--(AT30:AT332&lt;&gt;""))</f>
        <v>48.8</v>
      </c>
    </row>
    <row r="28" spans="3:5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S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ref="AQ28:AR28" si="11">SUM(AQ30:AQ332)</f>
        <v>7</v>
      </c>
      <c r="AR28" s="75">
        <f t="shared" si="11"/>
        <v>2</v>
      </c>
      <c r="AS28" s="75">
        <f t="shared" si="1"/>
        <v>0</v>
      </c>
      <c r="AT28" s="75">
        <f t="shared" ref="AT28" si="12">SUM(AT30:AT332)</f>
        <v>2</v>
      </c>
      <c r="AU28" s="74"/>
      <c r="AV28" s="74"/>
    </row>
    <row r="29" spans="3:5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9">
        <v>46304</v>
      </c>
      <c r="AR29" s="79">
        <v>46307</v>
      </c>
      <c r="AS29" s="78" t="s">
        <v>34</v>
      </c>
      <c r="AT29" s="77" t="s">
        <v>35</v>
      </c>
      <c r="AU29" s="77" t="s">
        <v>36</v>
      </c>
      <c r="AV29" s="77" t="s">
        <v>37</v>
      </c>
      <c r="AW29" s="80" t="s">
        <v>38</v>
      </c>
      <c r="AX29" s="80" t="s">
        <v>39</v>
      </c>
      <c r="AY29" s="80" t="s">
        <v>40</v>
      </c>
      <c r="AZ29" s="80" t="s">
        <v>41</v>
      </c>
      <c r="BA29" s="80" t="s">
        <v>42</v>
      </c>
      <c r="BB29" s="80" t="s">
        <v>43</v>
      </c>
      <c r="BC29" s="81" t="s">
        <v>44</v>
      </c>
      <c r="BD29" s="80"/>
      <c r="BE29" s="80"/>
    </row>
    <row r="30" spans="3:57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3">MIN(SUM(N30:AS30),I30)</f>
        <v>4</v>
      </c>
      <c r="M30" s="26">
        <f t="shared" ref="M30:M269" si="14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26"/>
      <c r="AS30" s="26"/>
      <c r="AT30" s="67">
        <f>SUMIFS([1]Up!$J:$J,[1]Up!$D:$D,D30)</f>
        <v>0</v>
      </c>
      <c r="AU30" s="82"/>
      <c r="AV30" s="82" t="str">
        <f t="shared" ref="AV30:AV269" si="15">IFERROR(IF(C30="Plate",LEFT(E30,FIND("*",E30,1)-1),""),IF(C30="Plate",LEFT(E30,FIND("x",E30,1)-1),""))</f>
        <v>PL10</v>
      </c>
      <c r="AW30" s="53" t="s">
        <v>2251</v>
      </c>
      <c r="AX30" s="53" t="s">
        <v>148</v>
      </c>
      <c r="AY30" s="53"/>
      <c r="AZ30" s="53"/>
      <c r="BA30" s="53" t="s">
        <v>57</v>
      </c>
      <c r="BB30" s="53">
        <v>12</v>
      </c>
      <c r="BC30" s="83"/>
      <c r="BD30" s="53"/>
      <c r="BE30" s="53"/>
    </row>
    <row r="31" spans="3:57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3"/>
        <v>2</v>
      </c>
      <c r="M31" s="26">
        <f t="shared" si="14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>
        <v>2</v>
      </c>
      <c r="AR31" s="26"/>
      <c r="AS31" s="26"/>
      <c r="AT31" s="67">
        <f>SUMIFS([1]Up!$J:$J,[1]Up!$D:$D,D31)</f>
        <v>0</v>
      </c>
      <c r="AU31" s="82" t="s">
        <v>2387</v>
      </c>
      <c r="AV31" s="82" t="e">
        <f t="shared" si="15"/>
        <v>#VALUE!</v>
      </c>
      <c r="AW31" s="53" t="str">
        <f t="shared" ref="AW31:AW269" si="16">IF(ROUND(SUM(N31:AS31)-I31,0)&gt;0,"Thừa "&amp;SUM(N31:AS31)-I31,"")</f>
        <v/>
      </c>
      <c r="AX31" s="53" t="s">
        <v>154</v>
      </c>
      <c r="AY31" s="53"/>
      <c r="AZ31" s="53"/>
      <c r="BA31" s="53" t="s">
        <v>57</v>
      </c>
      <c r="BB31" s="53">
        <v>6</v>
      </c>
      <c r="BC31" s="83"/>
      <c r="BD31" s="53"/>
      <c r="BE31" s="53"/>
    </row>
    <row r="32" spans="3:57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3"/>
        <v>2</v>
      </c>
      <c r="M32" s="26">
        <f t="shared" si="14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26"/>
      <c r="AS32" s="26"/>
      <c r="AT32" s="67">
        <f>SUMIFS([1]Up!$J:$J,[1]Up!$D:$D,D32)</f>
        <v>0</v>
      </c>
      <c r="AU32" s="82"/>
      <c r="AV32" s="82" t="str">
        <f t="shared" si="15"/>
        <v>PL10</v>
      </c>
      <c r="AW32" s="53" t="str">
        <f t="shared" si="16"/>
        <v/>
      </c>
      <c r="AX32" s="53" t="s">
        <v>154</v>
      </c>
      <c r="AY32" s="84" t="s">
        <v>210</v>
      </c>
      <c r="AZ32" s="53"/>
      <c r="BA32" s="53" t="s">
        <v>211</v>
      </c>
      <c r="BB32" s="53">
        <v>2</v>
      </c>
      <c r="BC32" s="83">
        <v>46201</v>
      </c>
      <c r="BD32" s="53"/>
      <c r="BE32" s="53"/>
    </row>
    <row r="33" spans="3:57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3"/>
        <v>0</v>
      </c>
      <c r="M33" s="26">
        <f t="shared" si="14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67">
        <f>SUMIFS([1]Up!$J:$J,[1]Up!$D:$D,D33)</f>
        <v>0</v>
      </c>
      <c r="AU33" s="82"/>
      <c r="AV33" s="82" t="str">
        <f t="shared" si="15"/>
        <v>PL10</v>
      </c>
      <c r="AW33" s="53" t="str">
        <f t="shared" si="16"/>
        <v/>
      </c>
      <c r="AX33" s="53" t="s">
        <v>154</v>
      </c>
      <c r="AY33" s="84" t="s">
        <v>210</v>
      </c>
      <c r="AZ33" s="53"/>
      <c r="BA33" s="53" t="s">
        <v>211</v>
      </c>
      <c r="BB33" s="53">
        <v>4</v>
      </c>
      <c r="BC33" s="83">
        <v>46201</v>
      </c>
      <c r="BD33" s="53"/>
      <c r="BE33" s="53"/>
    </row>
    <row r="34" spans="3:57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>
        <v>2</v>
      </c>
      <c r="AR34" s="26"/>
      <c r="AS34" s="26"/>
      <c r="AT34" s="67">
        <f>SUMIFS([1]Up!$J:$J,[1]Up!$D:$D,D34)</f>
        <v>0</v>
      </c>
      <c r="AU34" s="82" t="s">
        <v>2389</v>
      </c>
      <c r="AV34" s="82" t="e">
        <f t="shared" si="15"/>
        <v>#VALUE!</v>
      </c>
      <c r="AW34" s="53" t="str">
        <f t="shared" si="16"/>
        <v>Thừa 1</v>
      </c>
      <c r="AX34" s="53" t="s">
        <v>154</v>
      </c>
      <c r="AY34" s="53"/>
      <c r="AZ34" s="53"/>
      <c r="BA34" s="53" t="s">
        <v>57</v>
      </c>
      <c r="BB34" s="53">
        <v>6</v>
      </c>
      <c r="BC34" s="83"/>
      <c r="BD34" s="53"/>
      <c r="BE34" s="53"/>
    </row>
    <row r="35" spans="3:57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3"/>
        <v>2</v>
      </c>
      <c r="M35" s="26">
        <f t="shared" si="14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26"/>
      <c r="AS35" s="26"/>
      <c r="AT35" s="67">
        <f>SUMIFS([1]Up!$J:$J,[1]Up!$D:$D,D35)</f>
        <v>0</v>
      </c>
      <c r="AU35" s="82"/>
      <c r="AV35" s="82" t="str">
        <f t="shared" si="15"/>
        <v>PL10</v>
      </c>
      <c r="AW35" s="53" t="str">
        <f t="shared" si="16"/>
        <v/>
      </c>
      <c r="AX35" s="53" t="s">
        <v>148</v>
      </c>
      <c r="AY35" s="84" t="s">
        <v>210</v>
      </c>
      <c r="AZ35" s="53"/>
      <c r="BA35" s="53" t="s">
        <v>211</v>
      </c>
      <c r="BB35" s="53">
        <v>2</v>
      </c>
      <c r="BC35" s="83">
        <v>46201</v>
      </c>
      <c r="BD35" s="53"/>
      <c r="BE35" s="53"/>
    </row>
    <row r="36" spans="3:57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3"/>
        <v>0</v>
      </c>
      <c r="M36" s="26">
        <f t="shared" si="1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67">
        <f>SUMIFS([1]Up!$J:$J,[1]Up!$D:$D,D36)</f>
        <v>0</v>
      </c>
      <c r="AU36" s="82"/>
      <c r="AV36" s="82" t="str">
        <f t="shared" si="15"/>
        <v>PL10</v>
      </c>
      <c r="AW36" s="53" t="str">
        <f t="shared" si="16"/>
        <v/>
      </c>
      <c r="AX36" s="53" t="s">
        <v>154</v>
      </c>
      <c r="AY36" s="84" t="s">
        <v>210</v>
      </c>
      <c r="AZ36" s="53"/>
      <c r="BA36" s="53" t="s">
        <v>211</v>
      </c>
      <c r="BB36" s="53">
        <v>4</v>
      </c>
      <c r="BC36" s="83">
        <v>46201</v>
      </c>
      <c r="BD36" s="53"/>
      <c r="BE36" s="53"/>
    </row>
    <row r="37" spans="3:57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3"/>
        <v>0</v>
      </c>
      <c r="M37" s="26">
        <f t="shared" si="14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67">
        <f>SUMIFS([1]Up!$J:$J,[1]Up!$D:$D,D37)</f>
        <v>0</v>
      </c>
      <c r="AU37" s="82"/>
      <c r="AV37" s="82" t="str">
        <f t="shared" si="15"/>
        <v>PL10</v>
      </c>
      <c r="AW37" s="53" t="str">
        <f t="shared" si="16"/>
        <v/>
      </c>
      <c r="AX37" s="53" t="s">
        <v>154</v>
      </c>
      <c r="AY37" s="84" t="s">
        <v>210</v>
      </c>
      <c r="AZ37" s="53"/>
      <c r="BA37" s="53" t="s">
        <v>211</v>
      </c>
      <c r="BB37" s="53">
        <v>4</v>
      </c>
      <c r="BC37" s="83">
        <v>46201</v>
      </c>
      <c r="BD37" s="53"/>
      <c r="BE37" s="53"/>
    </row>
    <row r="38" spans="3:57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3"/>
        <v>0</v>
      </c>
      <c r="M38" s="26">
        <f t="shared" si="14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67">
        <f>SUMIFS([1]Up!$J:$J,[1]Up!$D:$D,D38)</f>
        <v>0</v>
      </c>
      <c r="AU38" s="82"/>
      <c r="AV38" s="82" t="str">
        <f t="shared" si="15"/>
        <v>PL10</v>
      </c>
      <c r="AW38" s="53" t="str">
        <f t="shared" si="16"/>
        <v/>
      </c>
      <c r="AX38" s="53" t="s">
        <v>154</v>
      </c>
      <c r="AY38" s="84" t="s">
        <v>210</v>
      </c>
      <c r="AZ38" s="53"/>
      <c r="BA38" s="53" t="s">
        <v>211</v>
      </c>
      <c r="BB38" s="53">
        <v>4</v>
      </c>
      <c r="BC38" s="83">
        <v>46201</v>
      </c>
      <c r="BD38" s="53"/>
      <c r="BE38" s="53"/>
    </row>
    <row r="39" spans="3:57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3"/>
        <v>0</v>
      </c>
      <c r="M39" s="26">
        <f t="shared" si="14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67">
        <f>SUMIFS([1]Up!$J:$J,[1]Up!$D:$D,D39)</f>
        <v>0</v>
      </c>
      <c r="AU39" s="82"/>
      <c r="AV39" s="82" t="str">
        <f t="shared" si="15"/>
        <v>PL10</v>
      </c>
      <c r="AW39" s="53" t="str">
        <f t="shared" si="16"/>
        <v/>
      </c>
      <c r="AX39" s="53" t="s">
        <v>154</v>
      </c>
      <c r="AY39" s="84" t="s">
        <v>210</v>
      </c>
      <c r="AZ39" s="53"/>
      <c r="BA39" s="53" t="s">
        <v>211</v>
      </c>
      <c r="BB39" s="53">
        <v>4</v>
      </c>
      <c r="BC39" s="83">
        <v>46201</v>
      </c>
      <c r="BD39" s="53"/>
      <c r="BE39" s="53"/>
    </row>
    <row r="40" spans="3:57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3"/>
        <v>0</v>
      </c>
      <c r="M40" s="26">
        <f t="shared" si="14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67">
        <f>SUMIFS([1]Up!$J:$J,[1]Up!$D:$D,D40)</f>
        <v>0</v>
      </c>
      <c r="AU40" s="82"/>
      <c r="AV40" s="82" t="str">
        <f t="shared" si="15"/>
        <v>PL10</v>
      </c>
      <c r="AW40" s="53" t="str">
        <f t="shared" si="16"/>
        <v/>
      </c>
      <c r="AX40" s="53" t="s">
        <v>154</v>
      </c>
      <c r="AY40" s="84" t="s">
        <v>210</v>
      </c>
      <c r="AZ40" s="53"/>
      <c r="BA40" s="53" t="s">
        <v>211</v>
      </c>
      <c r="BB40" s="53">
        <v>4</v>
      </c>
      <c r="BC40" s="83">
        <v>46201</v>
      </c>
      <c r="BD40" s="53"/>
      <c r="BE40" s="53"/>
    </row>
    <row r="41" spans="3:57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3"/>
        <v>0</v>
      </c>
      <c r="M41" s="26">
        <f t="shared" si="1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67">
        <f>SUMIFS([1]Up!$J:$J,[1]Up!$D:$D,D41)</f>
        <v>0</v>
      </c>
      <c r="AU41" s="82"/>
      <c r="AV41" s="82" t="str">
        <f t="shared" si="15"/>
        <v>PL10</v>
      </c>
      <c r="AW41" s="53" t="str">
        <f t="shared" si="16"/>
        <v/>
      </c>
      <c r="AX41" s="53" t="s">
        <v>154</v>
      </c>
      <c r="AY41" s="84" t="s">
        <v>210</v>
      </c>
      <c r="AZ41" s="53"/>
      <c r="BA41" s="53" t="s">
        <v>211</v>
      </c>
      <c r="BB41" s="53">
        <v>4</v>
      </c>
      <c r="BC41" s="83">
        <v>46201</v>
      </c>
      <c r="BD41" s="53"/>
      <c r="BE41" s="53"/>
    </row>
    <row r="42" spans="3:57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3"/>
        <v>0</v>
      </c>
      <c r="M42" s="26">
        <f t="shared" si="14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67">
        <f>SUMIFS([1]Up!$J:$J,[1]Up!$D:$D,D42)</f>
        <v>0</v>
      </c>
      <c r="AU42" s="82"/>
      <c r="AV42" s="82" t="str">
        <f t="shared" si="15"/>
        <v>PL10</v>
      </c>
      <c r="AW42" s="53" t="str">
        <f t="shared" si="16"/>
        <v/>
      </c>
      <c r="AX42" s="53" t="s">
        <v>154</v>
      </c>
      <c r="AY42" s="84" t="s">
        <v>210</v>
      </c>
      <c r="AZ42" s="53"/>
      <c r="BA42" s="53" t="s">
        <v>211</v>
      </c>
      <c r="BB42" s="53">
        <v>4</v>
      </c>
      <c r="BC42" s="83">
        <v>46201</v>
      </c>
      <c r="BD42" s="53"/>
      <c r="BE42" s="53"/>
    </row>
    <row r="43" spans="3:57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3"/>
        <v>0</v>
      </c>
      <c r="M43" s="26">
        <f t="shared" si="14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67">
        <f>SUMIFS([1]Up!$J:$J,[1]Up!$D:$D,D43)</f>
        <v>0</v>
      </c>
      <c r="AU43" s="82"/>
      <c r="AV43" s="82" t="str">
        <f t="shared" si="15"/>
        <v>PL10</v>
      </c>
      <c r="AW43" s="53" t="str">
        <f t="shared" si="16"/>
        <v/>
      </c>
      <c r="AX43" s="53" t="s">
        <v>154</v>
      </c>
      <c r="AY43" s="84" t="s">
        <v>210</v>
      </c>
      <c r="AZ43" s="53"/>
      <c r="BA43" s="53" t="s">
        <v>211</v>
      </c>
      <c r="BB43" s="53">
        <v>4</v>
      </c>
      <c r="BC43" s="83">
        <v>46201</v>
      </c>
      <c r="BD43" s="53"/>
      <c r="BE43" s="53"/>
    </row>
    <row r="44" spans="3:57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3"/>
        <v>0</v>
      </c>
      <c r="M44" s="26">
        <f t="shared" si="14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67">
        <f>SUMIFS([1]Up!$J:$J,[1]Up!$D:$D,D44)</f>
        <v>0</v>
      </c>
      <c r="AU44" s="82"/>
      <c r="AV44" s="82" t="str">
        <f t="shared" si="15"/>
        <v>PL10</v>
      </c>
      <c r="AW44" s="53" t="str">
        <f t="shared" si="16"/>
        <v/>
      </c>
      <c r="AX44" s="53" t="s">
        <v>154</v>
      </c>
      <c r="AY44" s="84" t="s">
        <v>210</v>
      </c>
      <c r="AZ44" s="53"/>
      <c r="BA44" s="53" t="s">
        <v>211</v>
      </c>
      <c r="BB44" s="53">
        <v>4</v>
      </c>
      <c r="BC44" s="83">
        <v>46201</v>
      </c>
      <c r="BD44" s="53"/>
      <c r="BE44" s="53"/>
    </row>
    <row r="45" spans="3:57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3"/>
        <v>0</v>
      </c>
      <c r="M45" s="26">
        <f t="shared" si="1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67">
        <f>SUMIFS([1]Up!$J:$J,[1]Up!$D:$D,D45)</f>
        <v>0</v>
      </c>
      <c r="AU45" s="82"/>
      <c r="AV45" s="82" t="str">
        <f t="shared" si="15"/>
        <v>PL10</v>
      </c>
      <c r="AW45" s="53" t="str">
        <f t="shared" si="16"/>
        <v/>
      </c>
      <c r="AX45" s="53" t="s">
        <v>154</v>
      </c>
      <c r="AY45" s="84" t="s">
        <v>210</v>
      </c>
      <c r="AZ45" s="53"/>
      <c r="BA45" s="53" t="s">
        <v>211</v>
      </c>
      <c r="BB45" s="53">
        <v>4</v>
      </c>
      <c r="BC45" s="83">
        <v>46201</v>
      </c>
      <c r="BD45" s="53"/>
      <c r="BE45" s="53"/>
    </row>
    <row r="46" spans="3:57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3"/>
        <v>1</v>
      </c>
      <c r="M46" s="26">
        <f t="shared" si="14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67">
        <f>SUMIFS([1]Up!$J:$J,[1]Up!$D:$D,D46)</f>
        <v>0</v>
      </c>
      <c r="AU46" s="82"/>
      <c r="AV46" s="82" t="str">
        <f t="shared" si="15"/>
        <v>PL20</v>
      </c>
      <c r="AW46" s="53" t="str">
        <f t="shared" si="16"/>
        <v/>
      </c>
      <c r="AX46" s="53" t="s">
        <v>148</v>
      </c>
      <c r="AY46" s="84" t="s">
        <v>319</v>
      </c>
      <c r="AZ46" s="53"/>
      <c r="BA46" s="53" t="s">
        <v>320</v>
      </c>
      <c r="BB46" s="53">
        <v>1</v>
      </c>
      <c r="BC46" s="83">
        <v>46202</v>
      </c>
      <c r="BD46" s="53"/>
      <c r="BE46" s="53"/>
    </row>
    <row r="47" spans="3:57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3"/>
        <v>2</v>
      </c>
      <c r="M47" s="26">
        <f t="shared" si="14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67">
        <f>SUMIFS([1]Up!$J:$J,[1]Up!$D:$D,D47)</f>
        <v>0</v>
      </c>
      <c r="AU47" s="82"/>
      <c r="AV47" s="82" t="str">
        <f t="shared" si="15"/>
        <v>PL20</v>
      </c>
      <c r="AW47" s="53" t="str">
        <f t="shared" si="16"/>
        <v/>
      </c>
      <c r="AX47" s="53" t="s">
        <v>148</v>
      </c>
      <c r="AY47" s="84" t="s">
        <v>319</v>
      </c>
      <c r="AZ47" s="53"/>
      <c r="BA47" s="53" t="s">
        <v>320</v>
      </c>
      <c r="BB47" s="53">
        <v>2</v>
      </c>
      <c r="BC47" s="83">
        <v>46202</v>
      </c>
      <c r="BD47" s="53"/>
      <c r="BE47" s="53"/>
    </row>
    <row r="48" spans="3:57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3"/>
        <v>1</v>
      </c>
      <c r="M48" s="26">
        <f t="shared" si="14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67">
        <f>SUMIFS([1]Up!$J:$J,[1]Up!$D:$D,D48)</f>
        <v>0</v>
      </c>
      <c r="AU48" s="82"/>
      <c r="AV48" s="82" t="str">
        <f t="shared" si="15"/>
        <v>PL20</v>
      </c>
      <c r="AW48" s="53" t="str">
        <f t="shared" si="16"/>
        <v/>
      </c>
      <c r="AX48" s="53" t="s">
        <v>148</v>
      </c>
      <c r="AY48" s="84" t="s">
        <v>319</v>
      </c>
      <c r="AZ48" s="53"/>
      <c r="BA48" s="53" t="s">
        <v>320</v>
      </c>
      <c r="BB48" s="53">
        <v>1</v>
      </c>
      <c r="BC48" s="83">
        <v>46202</v>
      </c>
      <c r="BD48" s="53"/>
      <c r="BE48" s="53"/>
    </row>
    <row r="49" spans="3:57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3"/>
        <v>1</v>
      </c>
      <c r="M49" s="26">
        <f t="shared" si="14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67">
        <f>SUMIFS([1]Up!$J:$J,[1]Up!$D:$D,D49)</f>
        <v>0</v>
      </c>
      <c r="AU49" s="82"/>
      <c r="AV49" s="82" t="str">
        <f t="shared" si="15"/>
        <v>PL20</v>
      </c>
      <c r="AW49" s="53" t="str">
        <f t="shared" si="16"/>
        <v/>
      </c>
      <c r="AX49" s="53" t="s">
        <v>148</v>
      </c>
      <c r="AY49" s="84" t="s">
        <v>319</v>
      </c>
      <c r="AZ49" s="53"/>
      <c r="BA49" s="53" t="s">
        <v>320</v>
      </c>
      <c r="BB49" s="53">
        <v>1</v>
      </c>
      <c r="BC49" s="83">
        <v>46202</v>
      </c>
      <c r="BD49" s="53"/>
      <c r="BE49" s="53"/>
    </row>
    <row r="50" spans="3:57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3"/>
        <v>2</v>
      </c>
      <c r="M50" s="26">
        <f t="shared" si="14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67">
        <f>SUMIFS([1]Up!$J:$J,[1]Up!$D:$D,D50)</f>
        <v>0</v>
      </c>
      <c r="AU50" s="82"/>
      <c r="AV50" s="82" t="str">
        <f t="shared" si="15"/>
        <v>PL20</v>
      </c>
      <c r="AW50" s="53" t="str">
        <f t="shared" si="16"/>
        <v/>
      </c>
      <c r="AX50" s="53" t="s">
        <v>148</v>
      </c>
      <c r="AY50" s="84" t="s">
        <v>319</v>
      </c>
      <c r="AZ50" s="53"/>
      <c r="BA50" s="53" t="s">
        <v>320</v>
      </c>
      <c r="BB50" s="53">
        <v>2</v>
      </c>
      <c r="BC50" s="83">
        <v>46202</v>
      </c>
      <c r="BD50" s="53"/>
      <c r="BE50" s="53"/>
    </row>
    <row r="51" spans="3:57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3"/>
        <v>2</v>
      </c>
      <c r="M51" s="26">
        <f t="shared" si="14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67">
        <f>SUMIFS([1]Up!$J:$J,[1]Up!$D:$D,D51)</f>
        <v>0</v>
      </c>
      <c r="AU51" s="82"/>
      <c r="AV51" s="82" t="str">
        <f t="shared" si="15"/>
        <v>PL25</v>
      </c>
      <c r="AW51" s="53" t="str">
        <f t="shared" si="16"/>
        <v/>
      </c>
      <c r="AX51" s="53" t="s">
        <v>148</v>
      </c>
      <c r="AY51" s="53" t="s">
        <v>803</v>
      </c>
      <c r="AZ51" s="53"/>
      <c r="BA51" s="53" t="s">
        <v>804</v>
      </c>
      <c r="BB51" s="53">
        <v>2</v>
      </c>
      <c r="BC51" s="83">
        <v>46196</v>
      </c>
      <c r="BD51" s="53"/>
      <c r="BE51" s="53"/>
    </row>
    <row r="52" spans="3:57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3"/>
        <v>27</v>
      </c>
      <c r="M52" s="26">
        <f t="shared" si="14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26"/>
      <c r="AS52" s="26"/>
      <c r="AT52" s="67">
        <f>SUMIFS([1]Up!$J:$J,[1]Up!$D:$D,D52)</f>
        <v>0</v>
      </c>
      <c r="AU52" s="82"/>
      <c r="AV52" s="82" t="str">
        <f t="shared" si="15"/>
        <v>PL15</v>
      </c>
      <c r="AW52" s="53" t="str">
        <f t="shared" si="16"/>
        <v/>
      </c>
      <c r="AX52" s="53" t="s">
        <v>148</v>
      </c>
      <c r="AY52" s="84" t="s">
        <v>200</v>
      </c>
      <c r="AZ52" s="53"/>
      <c r="BA52" s="53" t="s">
        <v>201</v>
      </c>
      <c r="BB52" s="53">
        <v>16</v>
      </c>
      <c r="BC52" s="83">
        <v>46201</v>
      </c>
      <c r="BD52" s="53"/>
      <c r="BE52" s="53"/>
    </row>
    <row r="53" spans="3:57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3"/>
        <v>18</v>
      </c>
      <c r="M53" s="26">
        <f t="shared" si="14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26"/>
      <c r="AS53" s="26"/>
      <c r="AT53" s="67">
        <f>SUMIFS([1]Up!$J:$J,[1]Up!$D:$D,D53)</f>
        <v>0</v>
      </c>
      <c r="AU53" s="82"/>
      <c r="AV53" s="82" t="str">
        <f t="shared" si="15"/>
        <v>PL15</v>
      </c>
      <c r="AW53" s="53" t="str">
        <f t="shared" si="16"/>
        <v/>
      </c>
      <c r="AX53" s="53" t="s">
        <v>148</v>
      </c>
      <c r="AY53" s="84" t="s">
        <v>200</v>
      </c>
      <c r="AZ53" s="53"/>
      <c r="BA53" s="53" t="s">
        <v>201</v>
      </c>
      <c r="BB53" s="53">
        <v>16</v>
      </c>
      <c r="BC53" s="83">
        <v>46201</v>
      </c>
      <c r="BD53" s="53"/>
      <c r="BE53" s="53"/>
    </row>
    <row r="54" spans="3:57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3"/>
        <v>16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67">
        <f>SUMIFS([1]Up!$J:$J,[1]Up!$D:$D,D54)</f>
        <v>0</v>
      </c>
      <c r="AU54" s="82"/>
      <c r="AV54" s="82" t="str">
        <f t="shared" si="15"/>
        <v>PL15</v>
      </c>
      <c r="AW54" s="53" t="str">
        <f t="shared" si="16"/>
        <v/>
      </c>
      <c r="AX54" s="53" t="s">
        <v>148</v>
      </c>
      <c r="AY54" s="84" t="s">
        <v>200</v>
      </c>
      <c r="AZ54" s="53"/>
      <c r="BA54" s="53" t="s">
        <v>201</v>
      </c>
      <c r="BB54" s="53">
        <v>16</v>
      </c>
      <c r="BC54" s="83">
        <v>46201</v>
      </c>
      <c r="BD54" s="53"/>
      <c r="BE54" s="53"/>
    </row>
    <row r="55" spans="3:57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3"/>
        <v>15</v>
      </c>
      <c r="M55" s="26">
        <f t="shared" si="1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67">
        <f>SUMIFS([1]Up!$J:$J,[1]Up!$D:$D,D55)</f>
        <v>0</v>
      </c>
      <c r="AU55" s="82"/>
      <c r="AV55" s="82" t="str">
        <f t="shared" si="15"/>
        <v>PL15</v>
      </c>
      <c r="AW55" s="53" t="str">
        <f t="shared" si="16"/>
        <v/>
      </c>
      <c r="AX55" s="53" t="s">
        <v>148</v>
      </c>
      <c r="AY55" s="84" t="s">
        <v>200</v>
      </c>
      <c r="AZ55" s="53"/>
      <c r="BA55" s="53" t="s">
        <v>201</v>
      </c>
      <c r="BB55" s="53">
        <v>16</v>
      </c>
      <c r="BC55" s="83">
        <v>46201</v>
      </c>
      <c r="BD55" s="53"/>
      <c r="BE55" s="53"/>
    </row>
    <row r="56" spans="3:57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3"/>
        <v>0</v>
      </c>
      <c r="M56" s="26">
        <f t="shared" si="1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67">
        <f>SUMIFS([1]Up!$J:$J,[1]Up!$D:$D,D56)</f>
        <v>0</v>
      </c>
      <c r="AU56" s="82"/>
      <c r="AV56" s="82" t="str">
        <f t="shared" si="15"/>
        <v>PL15</v>
      </c>
      <c r="AW56" s="53" t="str">
        <f t="shared" si="16"/>
        <v/>
      </c>
      <c r="AX56" s="53" t="s">
        <v>148</v>
      </c>
      <c r="AY56" s="53"/>
      <c r="AZ56" s="53"/>
      <c r="BA56" s="53"/>
      <c r="BB56" s="53"/>
      <c r="BC56" s="83"/>
      <c r="BD56" s="53"/>
      <c r="BE56" s="53"/>
    </row>
    <row r="57" spans="3:57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3"/>
        <v>0</v>
      </c>
      <c r="M57" s="26">
        <f t="shared" si="14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67">
        <f>SUMIFS([1]Up!$J:$J,[1]Up!$D:$D,D57)</f>
        <v>0</v>
      </c>
      <c r="AU57" s="82"/>
      <c r="AV57" s="82" t="str">
        <f t="shared" si="15"/>
        <v>PL15</v>
      </c>
      <c r="AW57" s="53" t="str">
        <f t="shared" si="16"/>
        <v/>
      </c>
      <c r="AX57" s="53" t="s">
        <v>148</v>
      </c>
      <c r="AY57" s="53"/>
      <c r="AZ57" s="53"/>
      <c r="BA57" s="53"/>
      <c r="BB57" s="53"/>
      <c r="BC57" s="83"/>
      <c r="BD57" s="53"/>
      <c r="BE57" s="53"/>
    </row>
    <row r="58" spans="3:57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3"/>
        <v>0</v>
      </c>
      <c r="M58" s="26">
        <f t="shared" si="1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67">
        <f>SUMIFS([1]Up!$J:$J,[1]Up!$D:$D,D58)</f>
        <v>0</v>
      </c>
      <c r="AU58" s="82"/>
      <c r="AV58" s="82" t="str">
        <f t="shared" si="15"/>
        <v>PL25</v>
      </c>
      <c r="AW58" s="53" t="str">
        <f t="shared" si="16"/>
        <v/>
      </c>
      <c r="AX58" s="53" t="s">
        <v>148</v>
      </c>
      <c r="AY58" s="53" t="s">
        <v>803</v>
      </c>
      <c r="AZ58" s="53"/>
      <c r="BA58" s="53" t="s">
        <v>804</v>
      </c>
      <c r="BB58" s="53">
        <v>1</v>
      </c>
      <c r="BC58" s="83">
        <v>46196</v>
      </c>
      <c r="BD58" s="53"/>
      <c r="BE58" s="53"/>
    </row>
    <row r="59" spans="3:57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3"/>
        <v>0</v>
      </c>
      <c r="M59" s="26">
        <f t="shared" si="14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67">
        <f>SUMIFS([1]Up!$J:$J,[1]Up!$D:$D,D59)</f>
        <v>0</v>
      </c>
      <c r="AU59" s="82"/>
      <c r="AV59" s="82" t="str">
        <f t="shared" si="15"/>
        <v>PL25</v>
      </c>
      <c r="AW59" s="53" t="str">
        <f t="shared" si="16"/>
        <v/>
      </c>
      <c r="AX59" s="53" t="s">
        <v>148</v>
      </c>
      <c r="AY59" s="53" t="s">
        <v>803</v>
      </c>
      <c r="AZ59" s="53"/>
      <c r="BA59" s="53" t="s">
        <v>804</v>
      </c>
      <c r="BB59" s="53">
        <v>2</v>
      </c>
      <c r="BC59" s="83">
        <v>46196</v>
      </c>
      <c r="BD59" s="53"/>
      <c r="BE59" s="53"/>
    </row>
    <row r="60" spans="3:57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67">
        <f>SUMIFS([1]Up!$J:$J,[1]Up!$D:$D,D60)</f>
        <v>0</v>
      </c>
      <c r="AU60" s="82"/>
      <c r="AV60" s="82" t="str">
        <f t="shared" si="15"/>
        <v>PL20</v>
      </c>
      <c r="AW60" s="53" t="str">
        <f t="shared" si="16"/>
        <v/>
      </c>
      <c r="AX60" s="53" t="s">
        <v>148</v>
      </c>
      <c r="AY60" s="84" t="s">
        <v>319</v>
      </c>
      <c r="AZ60" s="53"/>
      <c r="BA60" s="53" t="s">
        <v>320</v>
      </c>
      <c r="BB60" s="53">
        <v>1</v>
      </c>
      <c r="BC60" s="83">
        <v>46202</v>
      </c>
      <c r="BD60" s="53"/>
      <c r="BE60" s="53"/>
    </row>
    <row r="61" spans="3:57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3"/>
        <v>0</v>
      </c>
      <c r="M61" s="26">
        <f t="shared" si="14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67">
        <f>SUMIFS([1]Up!$J:$J,[1]Up!$D:$D,D61)</f>
        <v>0</v>
      </c>
      <c r="AU61" s="82"/>
      <c r="AV61" s="82" t="str">
        <f t="shared" si="15"/>
        <v>PL20</v>
      </c>
      <c r="AW61" s="53" t="str">
        <f t="shared" si="16"/>
        <v/>
      </c>
      <c r="AX61" s="53" t="s">
        <v>148</v>
      </c>
      <c r="AY61" s="84" t="s">
        <v>319</v>
      </c>
      <c r="AZ61" s="53"/>
      <c r="BA61" s="53" t="s">
        <v>320</v>
      </c>
      <c r="BB61" s="53">
        <v>2</v>
      </c>
      <c r="BC61" s="83">
        <v>46202</v>
      </c>
      <c r="BD61" s="53"/>
      <c r="BE61" s="53"/>
    </row>
    <row r="62" spans="3:57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3"/>
        <v>0</v>
      </c>
      <c r="M62" s="26">
        <f t="shared" si="14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67">
        <f>SUMIFS([1]Up!$J:$J,[1]Up!$D:$D,D62)</f>
        <v>0</v>
      </c>
      <c r="AU62" s="82"/>
      <c r="AV62" s="82" t="str">
        <f t="shared" si="15"/>
        <v>PL20</v>
      </c>
      <c r="AW62" s="53" t="str">
        <f t="shared" si="16"/>
        <v/>
      </c>
      <c r="AX62" s="53" t="s">
        <v>148</v>
      </c>
      <c r="AY62" s="53"/>
      <c r="AZ62" s="53"/>
      <c r="BA62" s="53" t="s">
        <v>57</v>
      </c>
      <c r="BB62" s="53">
        <v>2</v>
      </c>
      <c r="BC62" s="83"/>
      <c r="BD62" s="53"/>
      <c r="BE62" s="53"/>
    </row>
    <row r="63" spans="3:57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3"/>
        <v>0</v>
      </c>
      <c r="M63" s="26">
        <f t="shared" si="14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67">
        <f>SUMIFS([1]Up!$J:$J,[1]Up!$D:$D,D63)</f>
        <v>0</v>
      </c>
      <c r="AU63" s="82"/>
      <c r="AV63" s="82" t="str">
        <f t="shared" si="15"/>
        <v>PL20</v>
      </c>
      <c r="AW63" s="53" t="str">
        <f t="shared" si="16"/>
        <v/>
      </c>
      <c r="AX63" s="53" t="s">
        <v>148</v>
      </c>
      <c r="AY63" s="84" t="s">
        <v>319</v>
      </c>
      <c r="AZ63" s="53"/>
      <c r="BA63" s="53" t="s">
        <v>320</v>
      </c>
      <c r="BB63" s="53">
        <v>2</v>
      </c>
      <c r="BC63" s="83">
        <v>46202</v>
      </c>
      <c r="BD63" s="53"/>
      <c r="BE63" s="53"/>
    </row>
    <row r="64" spans="3:57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3"/>
        <v>2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67">
        <f>SUMIFS([1]Up!$J:$J,[1]Up!$D:$D,D64)</f>
        <v>0</v>
      </c>
      <c r="AU64" s="82" t="s">
        <v>2232</v>
      </c>
      <c r="AV64" s="82" t="str">
        <f t="shared" si="15"/>
        <v>PL20</v>
      </c>
      <c r="AW64" s="53" t="str">
        <f t="shared" si="16"/>
        <v/>
      </c>
      <c r="AX64" s="53" t="s">
        <v>148</v>
      </c>
      <c r="AY64" s="53"/>
      <c r="AZ64" s="53"/>
      <c r="BA64" s="53" t="s">
        <v>57</v>
      </c>
      <c r="BB64" s="53">
        <v>2</v>
      </c>
      <c r="BC64" s="83"/>
      <c r="BD64" s="53"/>
      <c r="BE64" s="53"/>
    </row>
    <row r="65" spans="3:57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3"/>
        <v>0</v>
      </c>
      <c r="M65" s="26">
        <f t="shared" si="14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67">
        <f>SUMIFS([1]Up!$J:$J,[1]Up!$D:$D,D65)</f>
        <v>0</v>
      </c>
      <c r="AU65" s="82"/>
      <c r="AV65" s="82" t="str">
        <f t="shared" si="15"/>
        <v>PL20</v>
      </c>
      <c r="AW65" s="53" t="str">
        <f t="shared" si="16"/>
        <v/>
      </c>
      <c r="AX65" s="53" t="s">
        <v>148</v>
      </c>
      <c r="AY65" s="84" t="s">
        <v>319</v>
      </c>
      <c r="AZ65" s="53"/>
      <c r="BA65" s="53" t="s">
        <v>320</v>
      </c>
      <c r="BB65" s="53">
        <v>2</v>
      </c>
      <c r="BC65" s="83">
        <v>46202</v>
      </c>
      <c r="BD65" s="53"/>
      <c r="BE65" s="53"/>
    </row>
    <row r="66" spans="3:57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3"/>
        <v>2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67">
        <f>SUMIFS([1]Up!$J:$J,[1]Up!$D:$D,D66)</f>
        <v>0</v>
      </c>
      <c r="AU66" s="82" t="s">
        <v>2233</v>
      </c>
      <c r="AV66" s="82" t="str">
        <f t="shared" si="15"/>
        <v>PL20</v>
      </c>
      <c r="AW66" s="53" t="str">
        <f t="shared" si="16"/>
        <v>Thừa 2</v>
      </c>
      <c r="AX66" s="53" t="s">
        <v>148</v>
      </c>
      <c r="AY66" s="53"/>
      <c r="AZ66" s="53"/>
      <c r="BA66" s="53" t="s">
        <v>57</v>
      </c>
      <c r="BB66" s="53">
        <v>2</v>
      </c>
      <c r="BC66" s="83"/>
      <c r="BD66" s="53"/>
      <c r="BE66" s="53"/>
    </row>
    <row r="67" spans="3:57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3"/>
        <v>0</v>
      </c>
      <c r="M67" s="26">
        <f t="shared" si="1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67">
        <f>SUMIFS([1]Up!$J:$J,[1]Up!$D:$D,D67)</f>
        <v>0</v>
      </c>
      <c r="AU67" s="82"/>
      <c r="AV67" s="82" t="str">
        <f t="shared" si="15"/>
        <v>PL20</v>
      </c>
      <c r="AW67" s="53" t="str">
        <f t="shared" si="16"/>
        <v/>
      </c>
      <c r="AX67" s="53" t="s">
        <v>148</v>
      </c>
      <c r="AY67" s="84" t="s">
        <v>319</v>
      </c>
      <c r="AZ67" s="53"/>
      <c r="BA67" s="53" t="s">
        <v>320</v>
      </c>
      <c r="BB67" s="53">
        <v>2</v>
      </c>
      <c r="BC67" s="83">
        <v>46202</v>
      </c>
      <c r="BD67" s="53"/>
      <c r="BE67" s="53"/>
    </row>
    <row r="68" spans="3:57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3"/>
        <v>2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67">
        <f>SUMIFS([1]Up!$J:$J,[1]Up!$D:$D,D68)</f>
        <v>0</v>
      </c>
      <c r="AU68" s="82" t="s">
        <v>2075</v>
      </c>
      <c r="AV68" s="82" t="str">
        <f t="shared" si="15"/>
        <v>PL15</v>
      </c>
      <c r="AW68" s="53" t="str">
        <f t="shared" si="16"/>
        <v>Thừa 2</v>
      </c>
      <c r="AX68" s="53" t="s">
        <v>148</v>
      </c>
      <c r="AY68" s="84" t="s">
        <v>200</v>
      </c>
      <c r="AZ68" s="53"/>
      <c r="BA68" s="53" t="s">
        <v>201</v>
      </c>
      <c r="BB68" s="53">
        <v>2</v>
      </c>
      <c r="BC68" s="83">
        <v>46201</v>
      </c>
      <c r="BD68" s="53"/>
      <c r="BE68" s="53"/>
    </row>
    <row r="69" spans="3:57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3"/>
        <v>12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67">
        <f>SUMIFS([1]Up!$J:$J,[1]Up!$D:$D,D69)</f>
        <v>0</v>
      </c>
      <c r="AU69" s="82" t="s">
        <v>2079</v>
      </c>
      <c r="AV69" s="82" t="str">
        <f t="shared" si="15"/>
        <v>PL15</v>
      </c>
      <c r="AW69" s="53" t="str">
        <f t="shared" si="16"/>
        <v>Thừa 12</v>
      </c>
      <c r="AX69" s="53" t="s">
        <v>148</v>
      </c>
      <c r="AY69" s="84" t="s">
        <v>200</v>
      </c>
      <c r="AZ69" s="53"/>
      <c r="BA69" s="53" t="s">
        <v>201</v>
      </c>
      <c r="BB69" s="53">
        <v>12</v>
      </c>
      <c r="BC69" s="83">
        <v>46201</v>
      </c>
      <c r="BD69" s="53"/>
      <c r="BE69" s="53"/>
    </row>
    <row r="70" spans="3:57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3"/>
        <v>4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67">
        <f>SUMIFS([1]Up!$J:$J,[1]Up!$D:$D,D70)</f>
        <v>0</v>
      </c>
      <c r="AU70" s="82" t="s">
        <v>2078</v>
      </c>
      <c r="AV70" s="82" t="str">
        <f t="shared" si="15"/>
        <v>PL15</v>
      </c>
      <c r="AW70" s="53" t="str">
        <f t="shared" si="16"/>
        <v>Thừa 4</v>
      </c>
      <c r="AX70" s="53" t="s">
        <v>148</v>
      </c>
      <c r="AY70" s="84" t="s">
        <v>200</v>
      </c>
      <c r="AZ70" s="53"/>
      <c r="BA70" s="53" t="s">
        <v>201</v>
      </c>
      <c r="BB70" s="53">
        <v>4</v>
      </c>
      <c r="BC70" s="83">
        <v>46201</v>
      </c>
      <c r="BD70" s="53"/>
      <c r="BE70" s="53"/>
    </row>
    <row r="71" spans="3:57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3"/>
        <v>4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>
        <v>2</v>
      </c>
      <c r="AR71" s="26"/>
      <c r="AS71" s="26"/>
      <c r="AT71" s="67">
        <f>SUMIFS([1]Up!$J:$J,[1]Up!$D:$D,D71)</f>
        <v>0</v>
      </c>
      <c r="AU71" s="82" t="s">
        <v>2388</v>
      </c>
      <c r="AV71" s="82" t="e">
        <f t="shared" si="15"/>
        <v>#VALUE!</v>
      </c>
      <c r="AW71" s="53" t="str">
        <f t="shared" si="16"/>
        <v>Thừa 16</v>
      </c>
      <c r="AX71" s="53" t="s">
        <v>154</v>
      </c>
      <c r="AY71" s="53"/>
      <c r="AZ71" s="53"/>
      <c r="BA71" s="53" t="s">
        <v>57</v>
      </c>
      <c r="BB71" s="53">
        <v>4</v>
      </c>
      <c r="BC71" s="83"/>
      <c r="BD71" s="53"/>
      <c r="BE71" s="53"/>
    </row>
    <row r="72" spans="3:57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3"/>
        <v>4</v>
      </c>
      <c r="M72" s="26">
        <f t="shared" si="14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67">
        <f>SUMIFS([1]Up!$J:$J,[1]Up!$D:$D,D72)</f>
        <v>0</v>
      </c>
      <c r="AU72" s="82"/>
      <c r="AV72" s="82" t="str">
        <f t="shared" si="15"/>
        <v>PL10</v>
      </c>
      <c r="AW72" s="53" t="str">
        <f t="shared" si="16"/>
        <v/>
      </c>
      <c r="AX72" s="53" t="s">
        <v>148</v>
      </c>
      <c r="AY72" s="84" t="s">
        <v>210</v>
      </c>
      <c r="AZ72" s="53"/>
      <c r="BA72" s="53" t="s">
        <v>211</v>
      </c>
      <c r="BB72" s="53">
        <v>4</v>
      </c>
      <c r="BC72" s="83">
        <v>46201</v>
      </c>
      <c r="BD72" s="53"/>
      <c r="BE72" s="53"/>
    </row>
    <row r="73" spans="3:57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67">
        <f>SUMIFS([1]Up!$J:$J,[1]Up!$D:$D,D73)</f>
        <v>0</v>
      </c>
      <c r="AU73" s="82" t="s">
        <v>2077</v>
      </c>
      <c r="AV73" s="82" t="str">
        <f t="shared" si="15"/>
        <v>PL15</v>
      </c>
      <c r="AW73" s="53" t="str">
        <f t="shared" si="16"/>
        <v>Thừa 2</v>
      </c>
      <c r="AX73" s="53" t="s">
        <v>148</v>
      </c>
      <c r="AY73" s="53"/>
      <c r="AZ73" s="53"/>
      <c r="BA73" s="53" t="s">
        <v>57</v>
      </c>
      <c r="BB73" s="53">
        <v>1</v>
      </c>
      <c r="BC73" s="83"/>
      <c r="BD73" s="53"/>
      <c r="BE73" s="53"/>
    </row>
    <row r="74" spans="3:57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>
        <v>1</v>
      </c>
      <c r="AR74" s="26"/>
      <c r="AS74" s="26"/>
      <c r="AT74" s="67">
        <f>SUMIFS([1]Up!$J:$J,[1]Up!$D:$D,D74)</f>
        <v>0</v>
      </c>
      <c r="AU74" s="82" t="s">
        <v>2386</v>
      </c>
      <c r="AV74" s="82" t="e">
        <f t="shared" si="15"/>
        <v>#VALUE!</v>
      </c>
      <c r="AW74" s="53" t="str">
        <f t="shared" si="16"/>
        <v>Thừa 4</v>
      </c>
      <c r="AX74" s="53" t="s">
        <v>154</v>
      </c>
      <c r="AY74" s="53"/>
      <c r="AZ74" s="53"/>
      <c r="BA74" s="53" t="s">
        <v>57</v>
      </c>
      <c r="BB74" s="53">
        <v>1</v>
      </c>
      <c r="BC74" s="83"/>
      <c r="BD74" s="53"/>
      <c r="BE74" s="53"/>
    </row>
    <row r="75" spans="3:57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3"/>
        <v>0</v>
      </c>
      <c r="M75" s="26">
        <f t="shared" si="1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67">
        <f>SUMIFS([1]Up!$J:$J,[1]Up!$D:$D,D75)</f>
        <v>0</v>
      </c>
      <c r="AU75" s="82"/>
      <c r="AV75" s="82" t="e">
        <f t="shared" si="15"/>
        <v>#VALUE!</v>
      </c>
      <c r="AW75" s="53" t="str">
        <f t="shared" si="16"/>
        <v/>
      </c>
      <c r="AX75" s="53" t="s">
        <v>154</v>
      </c>
      <c r="AY75" s="53"/>
      <c r="AZ75" s="53"/>
      <c r="BA75" s="53" t="s">
        <v>57</v>
      </c>
      <c r="BB75" s="53">
        <v>1</v>
      </c>
      <c r="BC75" s="83"/>
      <c r="BD75" s="53"/>
      <c r="BE75" s="53"/>
    </row>
    <row r="76" spans="3:57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26"/>
      <c r="AS76" s="26"/>
      <c r="AT76" s="67">
        <f>SUMIFS([1]Up!$J:$J,[1]Up!$D:$D,D76)</f>
        <v>0</v>
      </c>
      <c r="AU76" s="82" t="s">
        <v>2256</v>
      </c>
      <c r="AV76" s="82" t="e">
        <f t="shared" si="15"/>
        <v>#VALUE!</v>
      </c>
      <c r="AW76" s="53" t="str">
        <f t="shared" si="16"/>
        <v>Thừa 5</v>
      </c>
      <c r="AX76" s="53" t="s">
        <v>154</v>
      </c>
      <c r="AY76" s="53"/>
      <c r="AZ76" s="53"/>
      <c r="BA76" s="53" t="s">
        <v>57</v>
      </c>
      <c r="BB76" s="53">
        <v>1</v>
      </c>
      <c r="BC76" s="83"/>
      <c r="BD76" s="53"/>
      <c r="BE76" s="53"/>
    </row>
    <row r="77" spans="3:57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3"/>
        <v>2</v>
      </c>
      <c r="M77" s="26">
        <f t="shared" si="14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67">
        <f>SUMIFS([1]Up!$J:$J,[1]Up!$D:$D,D77)</f>
        <v>0</v>
      </c>
      <c r="AU77" s="82"/>
      <c r="AV77" s="82" t="str">
        <f t="shared" si="15"/>
        <v>PL12</v>
      </c>
      <c r="AW77" s="53" t="str">
        <f t="shared" si="16"/>
        <v/>
      </c>
      <c r="AX77" s="53" t="s">
        <v>148</v>
      </c>
      <c r="AY77" s="84" t="s">
        <v>304</v>
      </c>
      <c r="AZ77" s="53"/>
      <c r="BA77" s="53" t="s">
        <v>305</v>
      </c>
      <c r="BB77" s="53">
        <v>2</v>
      </c>
      <c r="BC77" s="83">
        <v>46196</v>
      </c>
      <c r="BD77" s="53"/>
      <c r="BE77" s="53"/>
    </row>
    <row r="78" spans="3:57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3"/>
        <v>2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67">
        <f>SUMIFS([1]Up!$J:$J,[1]Up!$D:$D,D78)</f>
        <v>0</v>
      </c>
      <c r="AU78" s="82"/>
      <c r="AV78" s="82" t="str">
        <f t="shared" si="15"/>
        <v>PL15</v>
      </c>
      <c r="AW78" s="53" t="str">
        <f t="shared" si="16"/>
        <v/>
      </c>
      <c r="AX78" s="53" t="s">
        <v>148</v>
      </c>
      <c r="AY78" s="84" t="s">
        <v>200</v>
      </c>
      <c r="AZ78" s="53"/>
      <c r="BA78" s="53" t="s">
        <v>201</v>
      </c>
      <c r="BB78" s="53">
        <v>2</v>
      </c>
      <c r="BC78" s="83">
        <v>46201</v>
      </c>
      <c r="BD78" s="53"/>
      <c r="BE78" s="53"/>
    </row>
    <row r="79" spans="3:57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3"/>
        <v>1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67">
        <f>SUMIFS([1]Up!$J:$J,[1]Up!$D:$D,D79)</f>
        <v>0</v>
      </c>
      <c r="AU79" s="82" t="s">
        <v>2070</v>
      </c>
      <c r="AV79" s="82" t="str">
        <f t="shared" si="15"/>
        <v>PL15</v>
      </c>
      <c r="AW79" s="53" t="str">
        <f t="shared" si="16"/>
        <v>Thừa 4</v>
      </c>
      <c r="AX79" s="53" t="s">
        <v>148</v>
      </c>
      <c r="AY79" s="53"/>
      <c r="AZ79" s="53"/>
      <c r="BA79" s="53" t="s">
        <v>57</v>
      </c>
      <c r="BB79" s="53">
        <v>1</v>
      </c>
      <c r="BC79" s="83"/>
      <c r="BD79" s="53"/>
      <c r="BE79" s="53"/>
    </row>
    <row r="80" spans="3:57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3"/>
        <v>2</v>
      </c>
      <c r="M80" s="26">
        <f t="shared" si="14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67">
        <f>SUMIFS([1]Up!$J:$J,[1]Up!$D:$D,D80)</f>
        <v>0</v>
      </c>
      <c r="AU80" s="82"/>
      <c r="AV80" s="82" t="str">
        <f t="shared" si="15"/>
        <v>PL15</v>
      </c>
      <c r="AW80" s="53" t="str">
        <f t="shared" si="16"/>
        <v/>
      </c>
      <c r="AX80" s="53" t="s">
        <v>148</v>
      </c>
      <c r="AY80" s="84" t="s">
        <v>200</v>
      </c>
      <c r="AZ80" s="53"/>
      <c r="BA80" s="53" t="s">
        <v>201</v>
      </c>
      <c r="BB80" s="53">
        <v>2</v>
      </c>
      <c r="BC80" s="83">
        <v>46201</v>
      </c>
      <c r="BD80" s="53"/>
      <c r="BE80" s="53"/>
    </row>
    <row r="81" spans="3:57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67">
        <f>SUMIFS([1]Up!$J:$J,[1]Up!$D:$D,D81)</f>
        <v>0</v>
      </c>
      <c r="AU81" s="82" t="s">
        <v>847</v>
      </c>
      <c r="AV81" s="82" t="str">
        <f t="shared" si="15"/>
        <v>PL20</v>
      </c>
      <c r="AW81" s="53" t="str">
        <f t="shared" si="16"/>
        <v>Thừa 1</v>
      </c>
      <c r="AX81" s="53" t="s">
        <v>148</v>
      </c>
      <c r="AY81" s="53"/>
      <c r="AZ81" s="53"/>
      <c r="BA81" s="53" t="s">
        <v>57</v>
      </c>
      <c r="BB81" s="53">
        <v>1</v>
      </c>
      <c r="BC81" s="83"/>
      <c r="BD81" s="53"/>
      <c r="BE81" s="53"/>
    </row>
    <row r="82" spans="3:57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3"/>
        <v>1</v>
      </c>
      <c r="M82" s="26">
        <f t="shared" si="14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67">
        <f>SUMIFS([1]Up!$J:$J,[1]Up!$D:$D,D82)</f>
        <v>0</v>
      </c>
      <c r="AU82" s="82"/>
      <c r="AV82" s="82" t="str">
        <f t="shared" si="15"/>
        <v>PL20</v>
      </c>
      <c r="AW82" s="53" t="str">
        <f t="shared" si="16"/>
        <v/>
      </c>
      <c r="AX82" s="53" t="s">
        <v>148</v>
      </c>
      <c r="AY82" s="84" t="s">
        <v>319</v>
      </c>
      <c r="AZ82" s="53"/>
      <c r="BA82" s="53" t="s">
        <v>320</v>
      </c>
      <c r="BB82" s="53">
        <v>2</v>
      </c>
      <c r="BC82" s="83">
        <v>46202</v>
      </c>
      <c r="BD82" s="53"/>
      <c r="BE82" s="53"/>
    </row>
    <row r="83" spans="3:57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3"/>
        <v>0</v>
      </c>
      <c r="M83" s="26">
        <f t="shared" si="1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67">
        <f>SUMIFS([1]Up!$J:$J,[1]Up!$D:$D,D83)</f>
        <v>0</v>
      </c>
      <c r="AU83" s="82"/>
      <c r="AV83" s="82" t="str">
        <f t="shared" si="15"/>
        <v>PL12</v>
      </c>
      <c r="AW83" s="53" t="str">
        <f t="shared" si="16"/>
        <v/>
      </c>
      <c r="AX83" s="53" t="s">
        <v>154</v>
      </c>
      <c r="AY83" s="84" t="s">
        <v>304</v>
      </c>
      <c r="AZ83" s="53"/>
      <c r="BA83" s="53" t="s">
        <v>305</v>
      </c>
      <c r="BB83" s="53">
        <v>1</v>
      </c>
      <c r="BC83" s="83">
        <v>46196</v>
      </c>
      <c r="BD83" s="53"/>
      <c r="BE83" s="53"/>
    </row>
    <row r="84" spans="3:57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3"/>
        <v>0</v>
      </c>
      <c r="M84" s="26">
        <f t="shared" si="1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67">
        <f>SUMIFS([1]Up!$J:$J,[1]Up!$D:$D,D84)</f>
        <v>0</v>
      </c>
      <c r="AU84" s="82"/>
      <c r="AV84" s="82" t="str">
        <f t="shared" si="15"/>
        <v>PL12</v>
      </c>
      <c r="AW84" s="53" t="str">
        <f t="shared" si="16"/>
        <v/>
      </c>
      <c r="AX84" s="53" t="s">
        <v>154</v>
      </c>
      <c r="AY84" s="84" t="s">
        <v>304</v>
      </c>
      <c r="AZ84" s="53"/>
      <c r="BA84" s="53" t="s">
        <v>305</v>
      </c>
      <c r="BB84" s="53">
        <v>1</v>
      </c>
      <c r="BC84" s="83">
        <v>46196</v>
      </c>
      <c r="BD84" s="53"/>
      <c r="BE84" s="53"/>
    </row>
    <row r="85" spans="3:57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67">
        <f>SUMIFS([1]Up!$J:$J,[1]Up!$D:$D,D85)</f>
        <v>0</v>
      </c>
      <c r="AU85" s="82"/>
      <c r="AV85" s="82" t="str">
        <f t="shared" si="15"/>
        <v>PL15</v>
      </c>
      <c r="AW85" s="53" t="str">
        <f t="shared" si="16"/>
        <v/>
      </c>
      <c r="AX85" s="53" t="s">
        <v>148</v>
      </c>
      <c r="AY85" s="84" t="s">
        <v>200</v>
      </c>
      <c r="AZ85" s="53"/>
      <c r="BA85" s="53" t="s">
        <v>201</v>
      </c>
      <c r="BB85" s="53">
        <v>1</v>
      </c>
      <c r="BC85" s="83">
        <v>46201</v>
      </c>
      <c r="BD85" s="53"/>
      <c r="BE85" s="53"/>
    </row>
    <row r="86" spans="3:57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26"/>
      <c r="AS86" s="26"/>
      <c r="AT86" s="67">
        <f>SUMIFS([1]Up!$J:$J,[1]Up!$D:$D,D86)</f>
        <v>0</v>
      </c>
      <c r="AU86" s="82" t="s">
        <v>2255</v>
      </c>
      <c r="AV86" s="82" t="e">
        <f t="shared" si="15"/>
        <v>#VALUE!</v>
      </c>
      <c r="AW86" s="53" t="str">
        <f t="shared" si="16"/>
        <v/>
      </c>
      <c r="AX86" s="53" t="s">
        <v>154</v>
      </c>
      <c r="AY86" s="53"/>
      <c r="AZ86" s="53"/>
      <c r="BA86" s="53" t="s">
        <v>57</v>
      </c>
      <c r="BB86" s="53">
        <v>1</v>
      </c>
      <c r="BC86" s="83"/>
      <c r="BD86" s="53"/>
      <c r="BE86" s="53"/>
    </row>
    <row r="87" spans="3:57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3"/>
        <v>1</v>
      </c>
      <c r="M87" s="26">
        <f t="shared" si="14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67">
        <f>SUMIFS([1]Up!$J:$J,[1]Up!$D:$D,D87)</f>
        <v>0</v>
      </c>
      <c r="AU87" s="82"/>
      <c r="AV87" s="82" t="str">
        <f t="shared" si="15"/>
        <v>PL10</v>
      </c>
      <c r="AW87" s="53" t="str">
        <f t="shared" si="16"/>
        <v/>
      </c>
      <c r="AX87" s="53" t="s">
        <v>148</v>
      </c>
      <c r="AY87" s="84" t="s">
        <v>210</v>
      </c>
      <c r="AZ87" s="53"/>
      <c r="BA87" s="53" t="s">
        <v>211</v>
      </c>
      <c r="BB87" s="53">
        <v>1</v>
      </c>
      <c r="BC87" s="83">
        <v>46201</v>
      </c>
      <c r="BD87" s="53"/>
      <c r="BE87" s="53"/>
    </row>
    <row r="88" spans="3:57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3"/>
        <v>1</v>
      </c>
      <c r="M88" s="26">
        <f t="shared" si="14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67">
        <f>SUMIFS([1]Up!$J:$J,[1]Up!$D:$D,D88)</f>
        <v>0</v>
      </c>
      <c r="AU88" s="82"/>
      <c r="AV88" s="82" t="str">
        <f t="shared" si="15"/>
        <v>PL10</v>
      </c>
      <c r="AW88" s="53" t="str">
        <f t="shared" si="16"/>
        <v/>
      </c>
      <c r="AX88" s="53" t="s">
        <v>148</v>
      </c>
      <c r="AY88" s="84" t="s">
        <v>210</v>
      </c>
      <c r="AZ88" s="53"/>
      <c r="BA88" s="53" t="s">
        <v>211</v>
      </c>
      <c r="BB88" s="53">
        <v>1</v>
      </c>
      <c r="BC88" s="83">
        <v>46201</v>
      </c>
      <c r="BD88" s="53"/>
      <c r="BE88" s="53"/>
    </row>
    <row r="89" spans="3:57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3"/>
        <v>1</v>
      </c>
      <c r="M89" s="26">
        <f t="shared" si="14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67">
        <f>SUMIFS([1]Up!$J:$J,[1]Up!$D:$D,D89)</f>
        <v>0</v>
      </c>
      <c r="AU89" s="82"/>
      <c r="AV89" s="82" t="str">
        <f t="shared" si="15"/>
        <v>PL10</v>
      </c>
      <c r="AW89" s="53" t="str">
        <f t="shared" si="16"/>
        <v/>
      </c>
      <c r="AX89" s="53" t="s">
        <v>148</v>
      </c>
      <c r="AY89" s="84" t="s">
        <v>210</v>
      </c>
      <c r="AZ89" s="53"/>
      <c r="BA89" s="53" t="s">
        <v>211</v>
      </c>
      <c r="BB89" s="53">
        <v>1</v>
      </c>
      <c r="BC89" s="83">
        <v>46201</v>
      </c>
      <c r="BD89" s="53"/>
      <c r="BE89" s="53"/>
    </row>
    <row r="90" spans="3:57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3"/>
        <v>1</v>
      </c>
      <c r="M90" s="26">
        <f t="shared" si="14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67">
        <f>SUMIFS([1]Up!$J:$J,[1]Up!$D:$D,D90)</f>
        <v>0</v>
      </c>
      <c r="AU90" s="82"/>
      <c r="AV90" s="82" t="str">
        <f t="shared" si="15"/>
        <v>PL10</v>
      </c>
      <c r="AW90" s="53" t="str">
        <f t="shared" si="16"/>
        <v/>
      </c>
      <c r="AX90" s="53" t="s">
        <v>148</v>
      </c>
      <c r="AY90" s="84" t="s">
        <v>210</v>
      </c>
      <c r="AZ90" s="53"/>
      <c r="BA90" s="53" t="s">
        <v>211</v>
      </c>
      <c r="BB90" s="53">
        <v>1</v>
      </c>
      <c r="BC90" s="83">
        <v>46201</v>
      </c>
      <c r="BD90" s="53"/>
      <c r="BE90" s="53"/>
    </row>
    <row r="91" spans="3:57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67">
        <f>SUMIFS([1]Up!$J:$J,[1]Up!$D:$D,D91)</f>
        <v>0</v>
      </c>
      <c r="AU91" s="82"/>
      <c r="AV91" s="82" t="str">
        <f t="shared" si="15"/>
        <v>PL10</v>
      </c>
      <c r="AW91" s="53" t="str">
        <f t="shared" si="16"/>
        <v/>
      </c>
      <c r="AX91" s="53" t="s">
        <v>148</v>
      </c>
      <c r="AY91" s="84" t="s">
        <v>210</v>
      </c>
      <c r="AZ91" s="53"/>
      <c r="BA91" s="53" t="s">
        <v>211</v>
      </c>
      <c r="BB91" s="53">
        <v>1</v>
      </c>
      <c r="BC91" s="83">
        <v>46201</v>
      </c>
      <c r="BD91" s="53"/>
      <c r="BE91" s="53"/>
    </row>
    <row r="92" spans="3:57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3"/>
        <v>1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67">
        <f>SUMIFS([1]Up!$J:$J,[1]Up!$D:$D,D92)</f>
        <v>0</v>
      </c>
      <c r="AU92" s="82"/>
      <c r="AV92" s="82" t="str">
        <f t="shared" si="15"/>
        <v>PL15</v>
      </c>
      <c r="AW92" s="53" t="str">
        <f t="shared" si="16"/>
        <v/>
      </c>
      <c r="AX92" s="53" t="s">
        <v>148</v>
      </c>
      <c r="AY92" s="84" t="s">
        <v>200</v>
      </c>
      <c r="AZ92" s="53"/>
      <c r="BA92" s="53" t="s">
        <v>201</v>
      </c>
      <c r="BB92" s="53">
        <v>1</v>
      </c>
      <c r="BC92" s="83">
        <v>46201</v>
      </c>
      <c r="BD92" s="53"/>
      <c r="BE92" s="53"/>
    </row>
    <row r="93" spans="3:57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3"/>
        <v>1</v>
      </c>
      <c r="M93" s="26">
        <f t="shared" si="14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67">
        <f>SUMIFS([1]Up!$J:$J,[1]Up!$D:$D,D93)</f>
        <v>0</v>
      </c>
      <c r="AU93" s="82"/>
      <c r="AV93" s="82" t="str">
        <f t="shared" si="15"/>
        <v>PL20</v>
      </c>
      <c r="AW93" s="53" t="str">
        <f t="shared" si="16"/>
        <v/>
      </c>
      <c r="AX93" s="53" t="s">
        <v>148</v>
      </c>
      <c r="AY93" s="84" t="s">
        <v>319</v>
      </c>
      <c r="AZ93" s="53"/>
      <c r="BA93" s="53" t="s">
        <v>320</v>
      </c>
      <c r="BB93" s="53">
        <v>1</v>
      </c>
      <c r="BC93" s="83">
        <v>46202</v>
      </c>
      <c r="BD93" s="53"/>
      <c r="BE93" s="53"/>
    </row>
    <row r="94" spans="3:57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3"/>
        <v>1</v>
      </c>
      <c r="M94" s="26">
        <f t="shared" si="14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67">
        <f>SUMIFS([1]Up!$J:$J,[1]Up!$D:$D,D94)</f>
        <v>0</v>
      </c>
      <c r="AU94" s="82"/>
      <c r="AV94" s="82" t="str">
        <f t="shared" si="15"/>
        <v>PL20</v>
      </c>
      <c r="AW94" s="53" t="str">
        <f t="shared" si="16"/>
        <v/>
      </c>
      <c r="AX94" s="53" t="s">
        <v>148</v>
      </c>
      <c r="AY94" s="84" t="s">
        <v>319</v>
      </c>
      <c r="AZ94" s="53"/>
      <c r="BA94" s="53" t="s">
        <v>320</v>
      </c>
      <c r="BB94" s="53">
        <v>1</v>
      </c>
      <c r="BC94" s="83">
        <v>46202</v>
      </c>
      <c r="BD94" s="53"/>
      <c r="BE94" s="53"/>
    </row>
    <row r="95" spans="3:57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3"/>
        <v>1</v>
      </c>
      <c r="M95" s="26">
        <f t="shared" si="14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67">
        <f>SUMIFS([1]Up!$J:$J,[1]Up!$D:$D,D95)</f>
        <v>0</v>
      </c>
      <c r="AU95" s="82"/>
      <c r="AV95" s="82" t="str">
        <f t="shared" si="15"/>
        <v>PL15</v>
      </c>
      <c r="AW95" s="53" t="str">
        <f t="shared" si="16"/>
        <v/>
      </c>
      <c r="AX95" s="53" t="s">
        <v>148</v>
      </c>
      <c r="AY95" s="84" t="s">
        <v>200</v>
      </c>
      <c r="AZ95" s="53"/>
      <c r="BA95" s="53" t="s">
        <v>201</v>
      </c>
      <c r="BB95" s="53">
        <v>1</v>
      </c>
      <c r="BC95" s="83">
        <v>46201</v>
      </c>
      <c r="BD95" s="53"/>
      <c r="BE95" s="53"/>
    </row>
    <row r="96" spans="3:57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3"/>
        <v>1</v>
      </c>
      <c r="M96" s="26">
        <f t="shared" si="14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67">
        <f>SUMIFS([1]Up!$J:$J,[1]Up!$D:$D,D96)</f>
        <v>0</v>
      </c>
      <c r="AU96" s="82"/>
      <c r="AV96" s="82" t="str">
        <f t="shared" si="15"/>
        <v>PL10</v>
      </c>
      <c r="AW96" s="53" t="str">
        <f t="shared" si="16"/>
        <v/>
      </c>
      <c r="AX96" s="53" t="s">
        <v>148</v>
      </c>
      <c r="AY96" s="84" t="s">
        <v>210</v>
      </c>
      <c r="AZ96" s="53"/>
      <c r="BA96" s="53" t="s">
        <v>211</v>
      </c>
      <c r="BB96" s="53">
        <v>1</v>
      </c>
      <c r="BC96" s="83">
        <v>46201</v>
      </c>
      <c r="BD96" s="53"/>
      <c r="BE96" s="53"/>
    </row>
    <row r="97" spans="3:57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3"/>
        <v>1</v>
      </c>
      <c r="M97" s="26">
        <f t="shared" si="14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67">
        <f>SUMIFS([1]Up!$J:$J,[1]Up!$D:$D,D97)</f>
        <v>0</v>
      </c>
      <c r="AU97" s="82"/>
      <c r="AV97" s="82" t="str">
        <f t="shared" si="15"/>
        <v>PL10</v>
      </c>
      <c r="AW97" s="53" t="str">
        <f t="shared" si="16"/>
        <v/>
      </c>
      <c r="AX97" s="53" t="s">
        <v>148</v>
      </c>
      <c r="AY97" s="84" t="s">
        <v>210</v>
      </c>
      <c r="AZ97" s="53"/>
      <c r="BA97" s="53" t="s">
        <v>211</v>
      </c>
      <c r="BB97" s="53">
        <v>1</v>
      </c>
      <c r="BC97" s="83">
        <v>46201</v>
      </c>
      <c r="BD97" s="53"/>
      <c r="BE97" s="53"/>
    </row>
    <row r="98" spans="3:57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3"/>
        <v>1</v>
      </c>
      <c r="M98" s="26">
        <f t="shared" si="14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67">
        <f>SUMIFS([1]Up!$J:$J,[1]Up!$D:$D,D98)</f>
        <v>0</v>
      </c>
      <c r="AU98" s="82"/>
      <c r="AV98" s="82" t="str">
        <f t="shared" si="15"/>
        <v>PL10</v>
      </c>
      <c r="AW98" s="53" t="str">
        <f t="shared" si="16"/>
        <v/>
      </c>
      <c r="AX98" s="53" t="s">
        <v>148</v>
      </c>
      <c r="AY98" s="84" t="s">
        <v>210</v>
      </c>
      <c r="AZ98" s="53"/>
      <c r="BA98" s="53" t="s">
        <v>211</v>
      </c>
      <c r="BB98" s="53">
        <v>1</v>
      </c>
      <c r="BC98" s="83">
        <v>46201</v>
      </c>
      <c r="BD98" s="53"/>
      <c r="BE98" s="53"/>
    </row>
    <row r="99" spans="3:57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3"/>
        <v>1</v>
      </c>
      <c r="M99" s="26">
        <f t="shared" si="14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67">
        <f>SUMIFS([1]Up!$J:$J,[1]Up!$D:$D,D99)</f>
        <v>0</v>
      </c>
      <c r="AU99" s="82"/>
      <c r="AV99" s="82" t="str">
        <f t="shared" si="15"/>
        <v>PL10</v>
      </c>
      <c r="AW99" s="53" t="str">
        <f t="shared" si="16"/>
        <v/>
      </c>
      <c r="AX99" s="53" t="s">
        <v>148</v>
      </c>
      <c r="AY99" s="84" t="s">
        <v>210</v>
      </c>
      <c r="AZ99" s="53"/>
      <c r="BA99" s="53" t="s">
        <v>211</v>
      </c>
      <c r="BB99" s="53">
        <v>1</v>
      </c>
      <c r="BC99" s="83">
        <v>46201</v>
      </c>
      <c r="BD99" s="53"/>
      <c r="BE99" s="53"/>
    </row>
    <row r="100" spans="3:57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3"/>
        <v>1</v>
      </c>
      <c r="M100" s="26">
        <f t="shared" si="14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67">
        <f>SUMIFS([1]Up!$J:$J,[1]Up!$D:$D,D100)</f>
        <v>0</v>
      </c>
      <c r="AU100" s="82"/>
      <c r="AV100" s="82" t="str">
        <f t="shared" si="15"/>
        <v>PL10</v>
      </c>
      <c r="AW100" s="53" t="str">
        <f t="shared" si="16"/>
        <v/>
      </c>
      <c r="AX100" s="53" t="s">
        <v>148</v>
      </c>
      <c r="AY100" s="84" t="s">
        <v>210</v>
      </c>
      <c r="AZ100" s="53"/>
      <c r="BA100" s="53" t="s">
        <v>211</v>
      </c>
      <c r="BB100" s="53">
        <v>1</v>
      </c>
      <c r="BC100" s="83">
        <v>46201</v>
      </c>
      <c r="BD100" s="53"/>
      <c r="BE100" s="53"/>
    </row>
    <row r="101" spans="3:57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3"/>
        <v>0</v>
      </c>
      <c r="M101" s="26">
        <f t="shared" si="14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67">
        <f>SUMIFS([1]Up!$J:$J,[1]Up!$D:$D,D101)</f>
        <v>0</v>
      </c>
      <c r="AU101" s="82"/>
      <c r="AV101" s="82" t="e">
        <f t="shared" si="15"/>
        <v>#VALUE!</v>
      </c>
      <c r="AW101" s="53" t="str">
        <f t="shared" si="16"/>
        <v/>
      </c>
      <c r="AX101" s="53" t="s">
        <v>154</v>
      </c>
      <c r="AY101" s="53"/>
      <c r="AZ101" s="53"/>
      <c r="BA101" s="53" t="s">
        <v>57</v>
      </c>
      <c r="BB101" s="53">
        <v>1</v>
      </c>
      <c r="BC101" s="83"/>
      <c r="BD101" s="53"/>
      <c r="BE101" s="53"/>
    </row>
    <row r="102" spans="3:57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3"/>
        <v>1</v>
      </c>
      <c r="M102" s="26">
        <f t="shared" si="14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67">
        <f>SUMIFS([1]Up!$J:$J,[1]Up!$D:$D,D102)</f>
        <v>0</v>
      </c>
      <c r="AU102" s="82"/>
      <c r="AV102" s="82" t="str">
        <f t="shared" si="15"/>
        <v>PL15</v>
      </c>
      <c r="AW102" s="53" t="str">
        <f t="shared" si="16"/>
        <v/>
      </c>
      <c r="AX102" s="53" t="s">
        <v>148</v>
      </c>
      <c r="AY102" s="84" t="s">
        <v>200</v>
      </c>
      <c r="AZ102" s="53"/>
      <c r="BA102" s="53" t="s">
        <v>201</v>
      </c>
      <c r="BB102" s="53">
        <v>1</v>
      </c>
      <c r="BC102" s="83">
        <v>46201</v>
      </c>
      <c r="BD102" s="53"/>
      <c r="BE102" s="53"/>
    </row>
    <row r="103" spans="3:57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3"/>
        <v>1</v>
      </c>
      <c r="M103" s="26">
        <f t="shared" si="14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67">
        <f>SUMIFS([1]Up!$J:$J,[1]Up!$D:$D,D103)</f>
        <v>0</v>
      </c>
      <c r="AU103" s="82"/>
      <c r="AV103" s="82" t="str">
        <f t="shared" si="15"/>
        <v>PL20</v>
      </c>
      <c r="AW103" s="53" t="str">
        <f t="shared" si="16"/>
        <v/>
      </c>
      <c r="AX103" s="53" t="s">
        <v>148</v>
      </c>
      <c r="AY103" s="84" t="s">
        <v>319</v>
      </c>
      <c r="AZ103" s="53"/>
      <c r="BA103" s="53" t="s">
        <v>320</v>
      </c>
      <c r="BB103" s="53">
        <v>1</v>
      </c>
      <c r="BC103" s="83">
        <v>46202</v>
      </c>
      <c r="BD103" s="53"/>
      <c r="BE103" s="53"/>
    </row>
    <row r="104" spans="3:57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3"/>
        <v>1</v>
      </c>
      <c r="M104" s="26">
        <f t="shared" si="14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67">
        <f>SUMIFS([1]Up!$J:$J,[1]Up!$D:$D,D104)</f>
        <v>0</v>
      </c>
      <c r="AU104" s="82"/>
      <c r="AV104" s="82" t="str">
        <f t="shared" si="15"/>
        <v>PL20</v>
      </c>
      <c r="AW104" s="53" t="str">
        <f t="shared" si="16"/>
        <v/>
      </c>
      <c r="AX104" s="53" t="s">
        <v>148</v>
      </c>
      <c r="AY104" s="84" t="s">
        <v>319</v>
      </c>
      <c r="AZ104" s="53"/>
      <c r="BA104" s="53" t="s">
        <v>320</v>
      </c>
      <c r="BB104" s="53">
        <v>1</v>
      </c>
      <c r="BC104" s="83">
        <v>46202</v>
      </c>
      <c r="BD104" s="53"/>
      <c r="BE104" s="53"/>
    </row>
    <row r="105" spans="3:57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3"/>
        <v>1</v>
      </c>
      <c r="M105" s="26">
        <f t="shared" si="14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67">
        <f>SUMIFS([1]Up!$J:$J,[1]Up!$D:$D,D105)</f>
        <v>0</v>
      </c>
      <c r="AU105" s="82" t="s">
        <v>2071</v>
      </c>
      <c r="AV105" s="82" t="str">
        <f t="shared" si="15"/>
        <v>PL15</v>
      </c>
      <c r="AW105" s="53" t="str">
        <f t="shared" si="16"/>
        <v>Thừa 2</v>
      </c>
      <c r="AX105" s="53" t="s">
        <v>148</v>
      </c>
      <c r="AY105" s="53"/>
      <c r="AZ105" s="53"/>
      <c r="BA105" s="53" t="s">
        <v>57</v>
      </c>
      <c r="BB105" s="53">
        <v>1</v>
      </c>
      <c r="BC105" s="83"/>
      <c r="BD105" s="53"/>
      <c r="BE105" s="53"/>
    </row>
    <row r="106" spans="3:57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3"/>
        <v>1</v>
      </c>
      <c r="M106" s="26">
        <f t="shared" si="14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26"/>
      <c r="AS106" s="26"/>
      <c r="AT106" s="67">
        <f>SUMIFS([1]Up!$J:$J,[1]Up!$D:$D,D106)</f>
        <v>0</v>
      </c>
      <c r="AU106" s="82" t="s">
        <v>2244</v>
      </c>
      <c r="AV106" s="82" t="e">
        <f t="shared" si="15"/>
        <v>#VALUE!</v>
      </c>
      <c r="AW106" s="53" t="str">
        <f t="shared" si="16"/>
        <v>Thừa 2</v>
      </c>
      <c r="AX106" s="53" t="s">
        <v>154</v>
      </c>
      <c r="AY106" s="53"/>
      <c r="AZ106" s="53"/>
      <c r="BA106" s="53" t="s">
        <v>57</v>
      </c>
      <c r="BB106" s="53">
        <v>1</v>
      </c>
      <c r="BC106" s="83"/>
      <c r="BD106" s="53"/>
      <c r="BE106" s="53"/>
    </row>
    <row r="107" spans="3:57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3"/>
        <v>1</v>
      </c>
      <c r="M107" s="26">
        <f t="shared" si="14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67">
        <f>SUMIFS([1]Up!$J:$J,[1]Up!$D:$D,D107)</f>
        <v>0</v>
      </c>
      <c r="AU107" s="82" t="s">
        <v>2077</v>
      </c>
      <c r="AV107" s="82" t="str">
        <f t="shared" si="15"/>
        <v>PL15</v>
      </c>
      <c r="AW107" s="53" t="str">
        <f t="shared" si="16"/>
        <v>Thừa 2</v>
      </c>
      <c r="AX107" s="53" t="s">
        <v>148</v>
      </c>
      <c r="AY107" s="53"/>
      <c r="AZ107" s="53"/>
      <c r="BA107" s="53" t="s">
        <v>57</v>
      </c>
      <c r="BB107" s="53">
        <v>1</v>
      </c>
      <c r="BC107" s="83"/>
      <c r="BD107" s="53"/>
      <c r="BE107" s="53"/>
    </row>
    <row r="108" spans="3:57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3"/>
        <v>2</v>
      </c>
      <c r="M108" s="26">
        <f t="shared" si="14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67">
        <f>SUMIFS([1]Up!$J:$J,[1]Up!$D:$D,D108)</f>
        <v>0</v>
      </c>
      <c r="AU108" s="82"/>
      <c r="AV108" s="82" t="str">
        <f t="shared" si="15"/>
        <v>PL20</v>
      </c>
      <c r="AW108" s="53" t="str">
        <f t="shared" si="16"/>
        <v/>
      </c>
      <c r="AX108" s="53" t="s">
        <v>148</v>
      </c>
      <c r="AY108" s="84" t="s">
        <v>319</v>
      </c>
      <c r="AZ108" s="53"/>
      <c r="BA108" s="53" t="s">
        <v>320</v>
      </c>
      <c r="BB108" s="53">
        <v>2</v>
      </c>
      <c r="BC108" s="83">
        <v>46202</v>
      </c>
      <c r="BD108" s="53"/>
      <c r="BE108" s="53"/>
    </row>
    <row r="109" spans="3:57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3"/>
        <v>4</v>
      </c>
      <c r="M109" s="26">
        <f t="shared" si="14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67">
        <f>SUMIFS([1]Up!$J:$J,[1]Up!$D:$D,D109)</f>
        <v>0</v>
      </c>
      <c r="AU109" s="82"/>
      <c r="AV109" s="82" t="str">
        <f t="shared" si="15"/>
        <v>PL3</v>
      </c>
      <c r="AW109" s="53" t="str">
        <f t="shared" si="16"/>
        <v/>
      </c>
      <c r="AX109" s="53" t="s">
        <v>148</v>
      </c>
      <c r="AY109" s="84" t="s">
        <v>682</v>
      </c>
      <c r="AZ109" s="53"/>
      <c r="BA109" s="53" t="s">
        <v>683</v>
      </c>
      <c r="BB109" s="53">
        <v>4</v>
      </c>
      <c r="BC109" s="83">
        <v>46196</v>
      </c>
      <c r="BD109" s="53"/>
      <c r="BE109" s="53"/>
    </row>
    <row r="110" spans="3:57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3"/>
        <v>2</v>
      </c>
      <c r="M110" s="26">
        <f t="shared" si="14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67">
        <f>SUMIFS([1]Up!$J:$J,[1]Up!$D:$D,D110)</f>
        <v>0</v>
      </c>
      <c r="AU110" s="82"/>
      <c r="AV110" s="82" t="str">
        <f t="shared" si="15"/>
        <v>PL20</v>
      </c>
      <c r="AW110" s="53" t="str">
        <f t="shared" si="16"/>
        <v/>
      </c>
      <c r="AX110" s="53" t="s">
        <v>148</v>
      </c>
      <c r="AY110" s="84" t="s">
        <v>319</v>
      </c>
      <c r="AZ110" s="53"/>
      <c r="BA110" s="53" t="s">
        <v>320</v>
      </c>
      <c r="BB110" s="53">
        <v>2</v>
      </c>
      <c r="BC110" s="83">
        <v>46202</v>
      </c>
      <c r="BD110" s="53"/>
      <c r="BE110" s="53"/>
    </row>
    <row r="111" spans="3:57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3"/>
        <v>4</v>
      </c>
      <c r="M111" s="26">
        <f t="shared" si="14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67">
        <f>SUMIFS([1]Up!$J:$J,[1]Up!$D:$D,D111)</f>
        <v>0</v>
      </c>
      <c r="AU111" s="82"/>
      <c r="AV111" s="82" t="str">
        <f t="shared" si="15"/>
        <v>PL20</v>
      </c>
      <c r="AW111" s="53" t="str">
        <f t="shared" si="16"/>
        <v/>
      </c>
      <c r="AX111" s="53" t="s">
        <v>148</v>
      </c>
      <c r="AY111" s="84" t="s">
        <v>319</v>
      </c>
      <c r="AZ111" s="53"/>
      <c r="BA111" s="53" t="s">
        <v>320</v>
      </c>
      <c r="BB111" s="53">
        <v>4</v>
      </c>
      <c r="BC111" s="83">
        <v>46202</v>
      </c>
      <c r="BD111" s="53"/>
      <c r="BE111" s="53"/>
    </row>
    <row r="112" spans="3:57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3"/>
        <v>1</v>
      </c>
      <c r="M112" s="26">
        <f t="shared" si="14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67">
        <f>SUMIFS([1]Up!$J:$J,[1]Up!$D:$D,D112)</f>
        <v>0</v>
      </c>
      <c r="AU112" s="82"/>
      <c r="AV112" s="82" t="str">
        <f t="shared" si="15"/>
        <v>PL30</v>
      </c>
      <c r="AW112" s="53" t="str">
        <f t="shared" si="16"/>
        <v/>
      </c>
      <c r="AX112" s="53" t="s">
        <v>148</v>
      </c>
      <c r="AY112" s="84" t="s">
        <v>688</v>
      </c>
      <c r="AZ112" s="53"/>
      <c r="BA112" s="53" t="s">
        <v>689</v>
      </c>
      <c r="BB112" s="53">
        <v>1</v>
      </c>
      <c r="BC112" s="83">
        <v>46196</v>
      </c>
      <c r="BD112" s="53"/>
      <c r="BE112" s="53"/>
    </row>
    <row r="113" spans="3:57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3"/>
        <v>2</v>
      </c>
      <c r="M113" s="26">
        <f t="shared" si="14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67">
        <f>SUMIFS([1]Up!$J:$J,[1]Up!$D:$D,D113)</f>
        <v>0</v>
      </c>
      <c r="AU113" s="82"/>
      <c r="AV113" s="82" t="str">
        <f t="shared" si="15"/>
        <v>PL20</v>
      </c>
      <c r="AW113" s="53" t="str">
        <f t="shared" si="16"/>
        <v/>
      </c>
      <c r="AX113" s="53" t="s">
        <v>148</v>
      </c>
      <c r="AY113" s="84" t="s">
        <v>319</v>
      </c>
      <c r="AZ113" s="53"/>
      <c r="BA113" s="53" t="s">
        <v>320</v>
      </c>
      <c r="BB113" s="53">
        <v>2</v>
      </c>
      <c r="BC113" s="83">
        <v>46202</v>
      </c>
      <c r="BD113" s="53"/>
      <c r="BE113" s="53"/>
    </row>
    <row r="114" spans="3:57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3"/>
        <v>2</v>
      </c>
      <c r="M114" s="26">
        <f t="shared" si="14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67">
        <f>SUMIFS([1]Up!$J:$J,[1]Up!$D:$D,D114)</f>
        <v>0</v>
      </c>
      <c r="AU114" s="82"/>
      <c r="AV114" s="82" t="str">
        <f t="shared" si="15"/>
        <v>PL20</v>
      </c>
      <c r="AW114" s="53" t="str">
        <f t="shared" si="16"/>
        <v/>
      </c>
      <c r="AX114" s="53" t="s">
        <v>148</v>
      </c>
      <c r="AY114" s="84" t="s">
        <v>319</v>
      </c>
      <c r="AZ114" s="53"/>
      <c r="BA114" s="53" t="s">
        <v>320</v>
      </c>
      <c r="BB114" s="53">
        <v>2</v>
      </c>
      <c r="BC114" s="83">
        <v>46202</v>
      </c>
      <c r="BD114" s="53"/>
      <c r="BE114" s="53"/>
    </row>
    <row r="115" spans="3:57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3"/>
        <v>2</v>
      </c>
      <c r="M115" s="26">
        <f t="shared" si="14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67">
        <f>SUMIFS([1]Up!$J:$J,[1]Up!$D:$D,D115)</f>
        <v>0</v>
      </c>
      <c r="AU115" s="82"/>
      <c r="AV115" s="82" t="str">
        <f t="shared" si="15"/>
        <v>PL20</v>
      </c>
      <c r="AW115" s="53" t="str">
        <f t="shared" si="16"/>
        <v/>
      </c>
      <c r="AX115" s="53" t="s">
        <v>148</v>
      </c>
      <c r="AY115" s="84" t="s">
        <v>319</v>
      </c>
      <c r="AZ115" s="53"/>
      <c r="BA115" s="53" t="s">
        <v>320</v>
      </c>
      <c r="BB115" s="53">
        <v>2</v>
      </c>
      <c r="BC115" s="83">
        <v>46202</v>
      </c>
      <c r="BD115" s="53"/>
      <c r="BE115" s="53"/>
    </row>
    <row r="116" spans="3:57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3"/>
        <v>2</v>
      </c>
      <c r="M116" s="26">
        <f t="shared" si="14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67">
        <f>SUMIFS([1]Up!$J:$J,[1]Up!$D:$D,D116)</f>
        <v>0</v>
      </c>
      <c r="AU116" s="82"/>
      <c r="AV116" s="82" t="str">
        <f t="shared" si="15"/>
        <v>PL20</v>
      </c>
      <c r="AW116" s="53" t="str">
        <f t="shared" si="16"/>
        <v/>
      </c>
      <c r="AX116" s="53" t="s">
        <v>148</v>
      </c>
      <c r="AY116" s="84" t="s">
        <v>319</v>
      </c>
      <c r="AZ116" s="53"/>
      <c r="BA116" s="53" t="s">
        <v>320</v>
      </c>
      <c r="BB116" s="53">
        <v>2</v>
      </c>
      <c r="BC116" s="83">
        <v>46202</v>
      </c>
      <c r="BD116" s="53"/>
      <c r="BE116" s="53"/>
    </row>
    <row r="117" spans="3:57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3"/>
        <v>2</v>
      </c>
      <c r="M117" s="26">
        <f t="shared" si="14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67">
        <f>SUMIFS([1]Up!$J:$J,[1]Up!$D:$D,D117)</f>
        <v>0</v>
      </c>
      <c r="AU117" s="82"/>
      <c r="AV117" s="82" t="str">
        <f t="shared" si="15"/>
        <v>PL20</v>
      </c>
      <c r="AW117" s="53" t="str">
        <f t="shared" si="16"/>
        <v/>
      </c>
      <c r="AX117" s="53" t="s">
        <v>148</v>
      </c>
      <c r="AY117" s="84" t="s">
        <v>319</v>
      </c>
      <c r="AZ117" s="53"/>
      <c r="BA117" s="53" t="s">
        <v>320</v>
      </c>
      <c r="BB117" s="53">
        <v>2</v>
      </c>
      <c r="BC117" s="83">
        <v>46202</v>
      </c>
      <c r="BD117" s="53"/>
      <c r="BE117" s="53"/>
    </row>
    <row r="118" spans="3:57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3"/>
        <v>2</v>
      </c>
      <c r="M118" s="26">
        <f t="shared" si="14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67">
        <f>SUMIFS([1]Up!$J:$J,[1]Up!$D:$D,D118)</f>
        <v>0</v>
      </c>
      <c r="AU118" s="82"/>
      <c r="AV118" s="82" t="str">
        <f t="shared" si="15"/>
        <v>PL20</v>
      </c>
      <c r="AW118" s="53" t="str">
        <f t="shared" si="16"/>
        <v/>
      </c>
      <c r="AX118" s="53" t="s">
        <v>148</v>
      </c>
      <c r="AY118" s="84" t="s">
        <v>319</v>
      </c>
      <c r="AZ118" s="53"/>
      <c r="BA118" s="53" t="s">
        <v>320</v>
      </c>
      <c r="BB118" s="53">
        <v>2</v>
      </c>
      <c r="BC118" s="83">
        <v>46202</v>
      </c>
      <c r="BD118" s="53"/>
      <c r="BE118" s="53"/>
    </row>
    <row r="119" spans="3:57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3"/>
        <v>2</v>
      </c>
      <c r="M119" s="26">
        <f t="shared" si="14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67">
        <f>SUMIFS([1]Up!$J:$J,[1]Up!$D:$D,D119)</f>
        <v>0</v>
      </c>
      <c r="AU119" s="82"/>
      <c r="AV119" s="82" t="str">
        <f t="shared" si="15"/>
        <v>PL20</v>
      </c>
      <c r="AW119" s="53" t="str">
        <f t="shared" si="16"/>
        <v/>
      </c>
      <c r="AX119" s="53" t="s">
        <v>148</v>
      </c>
      <c r="AY119" s="84" t="s">
        <v>319</v>
      </c>
      <c r="AZ119" s="53"/>
      <c r="BA119" s="53" t="s">
        <v>320</v>
      </c>
      <c r="BB119" s="53">
        <v>2</v>
      </c>
      <c r="BC119" s="83">
        <v>46202</v>
      </c>
      <c r="BD119" s="53"/>
      <c r="BE119" s="53"/>
    </row>
    <row r="120" spans="3:57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3"/>
        <v>2</v>
      </c>
      <c r="M120" s="26">
        <f t="shared" si="14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67">
        <f>SUMIFS([1]Up!$J:$J,[1]Up!$D:$D,D120)</f>
        <v>0</v>
      </c>
      <c r="AU120" s="82"/>
      <c r="AV120" s="82" t="str">
        <f t="shared" si="15"/>
        <v>PL20</v>
      </c>
      <c r="AW120" s="53" t="str">
        <f t="shared" si="16"/>
        <v/>
      </c>
      <c r="AX120" s="53" t="s">
        <v>148</v>
      </c>
      <c r="AY120" s="84" t="s">
        <v>319</v>
      </c>
      <c r="AZ120" s="53"/>
      <c r="BA120" s="53" t="s">
        <v>320</v>
      </c>
      <c r="BB120" s="53">
        <v>2</v>
      </c>
      <c r="BC120" s="83">
        <v>46202</v>
      </c>
      <c r="BD120" s="53"/>
      <c r="BE120" s="53"/>
    </row>
    <row r="121" spans="3:57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3"/>
        <v>1</v>
      </c>
      <c r="M121" s="26">
        <f t="shared" si="14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67">
        <f>SUMIFS([1]Up!$J:$J,[1]Up!$D:$D,D121)</f>
        <v>0</v>
      </c>
      <c r="AU121" s="82"/>
      <c r="AV121" s="82" t="str">
        <f t="shared" si="15"/>
        <v>PL5</v>
      </c>
      <c r="AW121" s="53" t="str">
        <f t="shared" si="16"/>
        <v/>
      </c>
      <c r="AX121" s="53" t="s">
        <v>148</v>
      </c>
      <c r="AY121" s="53" t="s">
        <v>704</v>
      </c>
      <c r="AZ121" s="53"/>
      <c r="BA121" s="53" t="s">
        <v>705</v>
      </c>
      <c r="BB121" s="53">
        <v>1</v>
      </c>
      <c r="BC121" s="83">
        <v>46196</v>
      </c>
      <c r="BD121" s="53"/>
      <c r="BE121" s="53"/>
    </row>
    <row r="122" spans="3:57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3"/>
        <v>1</v>
      </c>
      <c r="M122" s="26">
        <f t="shared" si="14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67">
        <f>SUMIFS([1]Up!$J:$J,[1]Up!$D:$D,D122)</f>
        <v>0</v>
      </c>
      <c r="AU122" s="82"/>
      <c r="AV122" s="82" t="str">
        <f t="shared" si="15"/>
        <v>PL20</v>
      </c>
      <c r="AW122" s="53" t="str">
        <f t="shared" si="16"/>
        <v/>
      </c>
      <c r="AX122" s="53" t="s">
        <v>148</v>
      </c>
      <c r="AY122" s="84" t="s">
        <v>319</v>
      </c>
      <c r="AZ122" s="53"/>
      <c r="BA122" s="53" t="s">
        <v>320</v>
      </c>
      <c r="BB122" s="53">
        <v>1</v>
      </c>
      <c r="BC122" s="83">
        <v>46202</v>
      </c>
      <c r="BD122" s="53"/>
      <c r="BE122" s="53"/>
    </row>
    <row r="123" spans="3:57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3"/>
        <v>1</v>
      </c>
      <c r="M123" s="26">
        <f t="shared" si="14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67">
        <f>SUMIFS([1]Up!$J:$J,[1]Up!$D:$D,D123)</f>
        <v>0</v>
      </c>
      <c r="AU123" s="82"/>
      <c r="AV123" s="82" t="str">
        <f t="shared" si="15"/>
        <v>PL20</v>
      </c>
      <c r="AW123" s="53" t="str">
        <f t="shared" si="16"/>
        <v/>
      </c>
      <c r="AX123" s="53" t="s">
        <v>148</v>
      </c>
      <c r="AY123" s="84" t="s">
        <v>319</v>
      </c>
      <c r="AZ123" s="53"/>
      <c r="BA123" s="53" t="s">
        <v>320</v>
      </c>
      <c r="BB123" s="53">
        <v>1</v>
      </c>
      <c r="BC123" s="83">
        <v>46202</v>
      </c>
      <c r="BD123" s="53"/>
      <c r="BE123" s="53"/>
    </row>
    <row r="124" spans="3:57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3"/>
        <v>2</v>
      </c>
      <c r="M124" s="26">
        <f t="shared" si="14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67">
        <f>SUMIFS([1]Up!$J:$J,[1]Up!$D:$D,D124)</f>
        <v>0</v>
      </c>
      <c r="AU124" s="82"/>
      <c r="AV124" s="82" t="str">
        <f t="shared" si="15"/>
        <v>PL20</v>
      </c>
      <c r="AW124" s="53" t="str">
        <f t="shared" si="16"/>
        <v/>
      </c>
      <c r="AX124" s="53" t="s">
        <v>148</v>
      </c>
      <c r="AY124" s="84" t="s">
        <v>319</v>
      </c>
      <c r="AZ124" s="53"/>
      <c r="BA124" s="53" t="s">
        <v>320</v>
      </c>
      <c r="BB124" s="53">
        <v>2</v>
      </c>
      <c r="BC124" s="83">
        <v>46202</v>
      </c>
      <c r="BD124" s="53"/>
      <c r="BE124" s="53"/>
    </row>
    <row r="125" spans="3:57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3"/>
        <v>2</v>
      </c>
      <c r="M125" s="26">
        <f t="shared" si="14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67">
        <f>SUMIFS([1]Up!$J:$J,[1]Up!$D:$D,D125)</f>
        <v>0</v>
      </c>
      <c r="AU125" s="82"/>
      <c r="AV125" s="82" t="str">
        <f t="shared" si="15"/>
        <v>PL20</v>
      </c>
      <c r="AW125" s="53" t="str">
        <f t="shared" si="16"/>
        <v/>
      </c>
      <c r="AX125" s="53" t="s">
        <v>148</v>
      </c>
      <c r="AY125" s="84" t="s">
        <v>319</v>
      </c>
      <c r="AZ125" s="53"/>
      <c r="BA125" s="53" t="s">
        <v>320</v>
      </c>
      <c r="BB125" s="53">
        <v>2</v>
      </c>
      <c r="BC125" s="83">
        <v>46202</v>
      </c>
      <c r="BD125" s="53"/>
      <c r="BE125" s="53"/>
    </row>
    <row r="126" spans="3:57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3"/>
        <v>2</v>
      </c>
      <c r="M126" s="26">
        <f t="shared" si="14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67">
        <f>SUMIFS([1]Up!$J:$J,[1]Up!$D:$D,D126)</f>
        <v>0</v>
      </c>
      <c r="AU126" s="82"/>
      <c r="AV126" s="82" t="str">
        <f t="shared" si="15"/>
        <v>PL20</v>
      </c>
      <c r="AW126" s="53" t="str">
        <f t="shared" si="16"/>
        <v/>
      </c>
      <c r="AX126" s="53" t="s">
        <v>148</v>
      </c>
      <c r="AY126" s="84" t="s">
        <v>319</v>
      </c>
      <c r="AZ126" s="53"/>
      <c r="BA126" s="53" t="s">
        <v>320</v>
      </c>
      <c r="BB126" s="53">
        <v>2</v>
      </c>
      <c r="BC126" s="83">
        <v>46202</v>
      </c>
      <c r="BD126" s="53"/>
      <c r="BE126" s="53"/>
    </row>
    <row r="127" spans="3:57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3"/>
        <v>2</v>
      </c>
      <c r="M127" s="26">
        <f t="shared" si="14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67">
        <f>SUMIFS([1]Up!$J:$J,[1]Up!$D:$D,D127)</f>
        <v>0</v>
      </c>
      <c r="AU127" s="82"/>
      <c r="AV127" s="82" t="str">
        <f t="shared" si="15"/>
        <v>PL20</v>
      </c>
      <c r="AW127" s="53" t="str">
        <f t="shared" si="16"/>
        <v/>
      </c>
      <c r="AX127" s="53" t="s">
        <v>148</v>
      </c>
      <c r="AY127" s="84" t="s">
        <v>319</v>
      </c>
      <c r="AZ127" s="53"/>
      <c r="BA127" s="53" t="s">
        <v>320</v>
      </c>
      <c r="BB127" s="53">
        <v>2</v>
      </c>
      <c r="BC127" s="83">
        <v>46202</v>
      </c>
      <c r="BD127" s="53"/>
      <c r="BE127" s="53"/>
    </row>
    <row r="128" spans="3:57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3"/>
        <v>6</v>
      </c>
      <c r="M128" s="26">
        <f t="shared" si="14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67">
        <f>SUMIFS([1]Up!$J:$J,[1]Up!$D:$D,D128)</f>
        <v>0</v>
      </c>
      <c r="AU128" s="82"/>
      <c r="AV128" s="82" t="str">
        <f t="shared" si="15"/>
        <v>PL15</v>
      </c>
      <c r="AW128" s="53" t="str">
        <f t="shared" si="16"/>
        <v/>
      </c>
      <c r="AX128" s="53" t="s">
        <v>148</v>
      </c>
      <c r="AY128" s="84" t="s">
        <v>200</v>
      </c>
      <c r="AZ128" s="53"/>
      <c r="BA128" s="53" t="s">
        <v>201</v>
      </c>
      <c r="BB128" s="53">
        <v>6</v>
      </c>
      <c r="BC128" s="83">
        <v>46201</v>
      </c>
      <c r="BD128" s="53"/>
      <c r="BE128" s="53"/>
    </row>
    <row r="129" spans="3:57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3"/>
        <v>12</v>
      </c>
      <c r="M129" s="26">
        <f t="shared" si="14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67">
        <f>SUMIFS([1]Up!$J:$J,[1]Up!$D:$D,D129)</f>
        <v>0</v>
      </c>
      <c r="AU129" s="82"/>
      <c r="AV129" s="82" t="str">
        <f t="shared" si="15"/>
        <v>PL15</v>
      </c>
      <c r="AW129" s="53" t="str">
        <f t="shared" si="16"/>
        <v/>
      </c>
      <c r="AX129" s="53" t="s">
        <v>148</v>
      </c>
      <c r="AY129" s="84" t="s">
        <v>200</v>
      </c>
      <c r="AZ129" s="53"/>
      <c r="BA129" s="53" t="s">
        <v>201</v>
      </c>
      <c r="BB129" s="53">
        <v>12</v>
      </c>
      <c r="BC129" s="83">
        <v>46201</v>
      </c>
      <c r="BD129" s="53"/>
      <c r="BE129" s="53"/>
    </row>
    <row r="130" spans="3:57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3"/>
        <v>6</v>
      </c>
      <c r="M130" s="26">
        <f t="shared" si="14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67">
        <f>SUMIFS([1]Up!$J:$J,[1]Up!$D:$D,D130)</f>
        <v>0</v>
      </c>
      <c r="AU130" s="82" t="s">
        <v>2234</v>
      </c>
      <c r="AV130" s="82" t="e">
        <f t="shared" si="15"/>
        <v>#VALUE!</v>
      </c>
      <c r="AW130" s="53" t="str">
        <f t="shared" si="16"/>
        <v>Thừa 18</v>
      </c>
      <c r="AX130" s="53" t="s">
        <v>154</v>
      </c>
      <c r="AY130" s="53"/>
      <c r="AZ130" s="53"/>
      <c r="BA130" s="53" t="s">
        <v>57</v>
      </c>
      <c r="BB130" s="53">
        <v>6</v>
      </c>
      <c r="BC130" s="83"/>
      <c r="BD130" s="53"/>
      <c r="BE130" s="53"/>
    </row>
    <row r="131" spans="3:57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3"/>
        <v>0</v>
      </c>
      <c r="M131" s="26">
        <f t="shared" si="14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67">
        <f>SUMIFS([1]Up!$J:$J,[1]Up!$D:$D,D131)</f>
        <v>0</v>
      </c>
      <c r="AU131" s="82"/>
      <c r="AV131" s="82" t="str">
        <f t="shared" si="15"/>
        <v>PL10</v>
      </c>
      <c r="AW131" s="53" t="str">
        <f t="shared" si="16"/>
        <v/>
      </c>
      <c r="AX131" s="53" t="s">
        <v>148</v>
      </c>
      <c r="AY131" s="84" t="s">
        <v>210</v>
      </c>
      <c r="AZ131" s="53"/>
      <c r="BA131" s="53" t="s">
        <v>211</v>
      </c>
      <c r="BB131" s="53">
        <v>6</v>
      </c>
      <c r="BC131" s="83">
        <v>46201</v>
      </c>
      <c r="BD131" s="53"/>
      <c r="BE131" s="53"/>
    </row>
    <row r="132" spans="3:57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3"/>
        <v>1</v>
      </c>
      <c r="M132" s="26">
        <f t="shared" si="14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67">
        <f>SUMIFS([1]Up!$J:$J,[1]Up!$D:$D,D132)</f>
        <v>0</v>
      </c>
      <c r="AU132" s="82"/>
      <c r="AV132" s="82" t="str">
        <f t="shared" si="15"/>
        <v>PL10</v>
      </c>
      <c r="AW132" s="53" t="str">
        <f t="shared" si="16"/>
        <v/>
      </c>
      <c r="AX132" s="53" t="s">
        <v>148</v>
      </c>
      <c r="AY132" s="84" t="s">
        <v>210</v>
      </c>
      <c r="AZ132" s="53"/>
      <c r="BA132" s="53" t="s">
        <v>211</v>
      </c>
      <c r="BB132" s="53">
        <v>1</v>
      </c>
      <c r="BC132" s="83">
        <v>46201</v>
      </c>
      <c r="BD132" s="53"/>
      <c r="BE132" s="53"/>
    </row>
    <row r="133" spans="3:57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3"/>
        <v>1</v>
      </c>
      <c r="M133" s="26">
        <f t="shared" si="14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67">
        <f>SUMIFS([1]Up!$J:$J,[1]Up!$D:$D,D133)</f>
        <v>0</v>
      </c>
      <c r="AU133" s="82"/>
      <c r="AV133" s="82" t="str">
        <f t="shared" si="15"/>
        <v>PL15</v>
      </c>
      <c r="AW133" s="53" t="str">
        <f t="shared" si="16"/>
        <v/>
      </c>
      <c r="AX133" s="53" t="s">
        <v>148</v>
      </c>
      <c r="AY133" s="84" t="s">
        <v>200</v>
      </c>
      <c r="AZ133" s="53"/>
      <c r="BA133" s="53" t="s">
        <v>201</v>
      </c>
      <c r="BB133" s="53">
        <v>1</v>
      </c>
      <c r="BC133" s="83">
        <v>46201</v>
      </c>
      <c r="BD133" s="53"/>
      <c r="BE133" s="53"/>
    </row>
    <row r="134" spans="3:57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3"/>
        <v>1</v>
      </c>
      <c r="M134" s="26">
        <f t="shared" si="14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67">
        <f>SUMIFS([1]Up!$J:$J,[1]Up!$D:$D,D134)</f>
        <v>0</v>
      </c>
      <c r="AU134" s="82"/>
      <c r="AV134" s="82" t="str">
        <f t="shared" si="15"/>
        <v>PL20</v>
      </c>
      <c r="AW134" s="53" t="str">
        <f t="shared" si="16"/>
        <v/>
      </c>
      <c r="AX134" s="53" t="s">
        <v>148</v>
      </c>
      <c r="AY134" s="84" t="s">
        <v>319</v>
      </c>
      <c r="AZ134" s="53"/>
      <c r="BA134" s="53" t="s">
        <v>320</v>
      </c>
      <c r="BB134" s="53">
        <v>1</v>
      </c>
      <c r="BC134" s="83">
        <v>46202</v>
      </c>
      <c r="BD134" s="53"/>
      <c r="BE134" s="53"/>
    </row>
    <row r="135" spans="3:57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3"/>
        <v>1</v>
      </c>
      <c r="M135" s="26">
        <f t="shared" si="14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67">
        <f>SUMIFS([1]Up!$J:$J,[1]Up!$D:$D,D135)</f>
        <v>0</v>
      </c>
      <c r="AU135" s="82"/>
      <c r="AV135" s="82" t="str">
        <f t="shared" si="15"/>
        <v>PL15</v>
      </c>
      <c r="AW135" s="53" t="str">
        <f t="shared" si="16"/>
        <v/>
      </c>
      <c r="AX135" s="53" t="s">
        <v>148</v>
      </c>
      <c r="AY135" s="84" t="s">
        <v>200</v>
      </c>
      <c r="AZ135" s="53"/>
      <c r="BA135" s="53" t="s">
        <v>201</v>
      </c>
      <c r="BB135" s="53">
        <v>1</v>
      </c>
      <c r="BC135" s="83">
        <v>46201</v>
      </c>
      <c r="BD135" s="53"/>
      <c r="BE135" s="53"/>
    </row>
    <row r="136" spans="3:57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3"/>
        <v>1</v>
      </c>
      <c r="M136" s="26">
        <f t="shared" si="14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26"/>
      <c r="AS136" s="26"/>
      <c r="AT136" s="67">
        <f>SUMIFS([1]Up!$J:$J,[1]Up!$D:$D,D136)</f>
        <v>0</v>
      </c>
      <c r="AU136" s="82" t="s">
        <v>2071</v>
      </c>
      <c r="AV136" s="82" t="e">
        <f t="shared" si="15"/>
        <v>#VALUE!</v>
      </c>
      <c r="AW136" s="53" t="str">
        <f t="shared" si="16"/>
        <v>Thừa 2</v>
      </c>
      <c r="AX136" s="53" t="s">
        <v>154</v>
      </c>
      <c r="AY136" s="53"/>
      <c r="AZ136" s="53"/>
      <c r="BA136" s="53" t="s">
        <v>57</v>
      </c>
      <c r="BB136" s="53">
        <v>1</v>
      </c>
      <c r="BC136" s="83"/>
      <c r="BD136" s="53"/>
      <c r="BE136" s="53"/>
    </row>
    <row r="137" spans="3:57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3"/>
        <v>1</v>
      </c>
      <c r="M137" s="26">
        <f t="shared" si="14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67">
        <f>SUMIFS([1]Up!$J:$J,[1]Up!$D:$D,D137)</f>
        <v>0</v>
      </c>
      <c r="AU137" s="82"/>
      <c r="AV137" s="82" t="str">
        <f t="shared" si="15"/>
        <v>PL15</v>
      </c>
      <c r="AW137" s="53" t="str">
        <f t="shared" si="16"/>
        <v/>
      </c>
      <c r="AX137" s="53" t="s">
        <v>148</v>
      </c>
      <c r="AY137" s="84" t="s">
        <v>200</v>
      </c>
      <c r="AZ137" s="53"/>
      <c r="BA137" s="53" t="s">
        <v>201</v>
      </c>
      <c r="BB137" s="53">
        <v>1</v>
      </c>
      <c r="BC137" s="83">
        <v>46201</v>
      </c>
      <c r="BD137" s="53"/>
      <c r="BE137" s="53"/>
    </row>
    <row r="138" spans="3:57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3"/>
        <v>1</v>
      </c>
      <c r="M138" s="26">
        <f t="shared" si="14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67">
        <f>SUMIFS([1]Up!$J:$J,[1]Up!$D:$D,D138)</f>
        <v>0</v>
      </c>
      <c r="AU138" s="82"/>
      <c r="AV138" s="82" t="str">
        <f t="shared" si="15"/>
        <v>PL20</v>
      </c>
      <c r="AW138" s="53" t="str">
        <f t="shared" si="16"/>
        <v/>
      </c>
      <c r="AX138" s="53" t="s">
        <v>148</v>
      </c>
      <c r="AY138" s="84" t="s">
        <v>319</v>
      </c>
      <c r="AZ138" s="53"/>
      <c r="BA138" s="53" t="s">
        <v>320</v>
      </c>
      <c r="BB138" s="53">
        <v>1</v>
      </c>
      <c r="BC138" s="83">
        <v>46202</v>
      </c>
      <c r="BD138" s="53"/>
      <c r="BE138" s="53"/>
    </row>
    <row r="139" spans="3:57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3"/>
        <v>0</v>
      </c>
      <c r="M139" s="26">
        <f t="shared" si="14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67">
        <f>SUMIFS([1]Up!$J:$J,[1]Up!$D:$D,D139)</f>
        <v>0</v>
      </c>
      <c r="AU139" s="82"/>
      <c r="AV139" s="82" t="str">
        <f t="shared" si="15"/>
        <v>PL10</v>
      </c>
      <c r="AW139" s="53" t="str">
        <f t="shared" si="16"/>
        <v/>
      </c>
      <c r="AX139" s="53" t="s">
        <v>148</v>
      </c>
      <c r="AY139" s="84" t="s">
        <v>210</v>
      </c>
      <c r="AZ139" s="53"/>
      <c r="BA139" s="53" t="s">
        <v>211</v>
      </c>
      <c r="BB139" s="53">
        <v>1</v>
      </c>
      <c r="BC139" s="83">
        <v>46201</v>
      </c>
      <c r="BD139" s="53"/>
      <c r="BE139" s="53"/>
    </row>
    <row r="140" spans="3:57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3"/>
        <v>1</v>
      </c>
      <c r="M140" s="26">
        <f t="shared" si="14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67">
        <f>SUMIFS([1]Up!$J:$J,[1]Up!$D:$D,D140)</f>
        <v>0</v>
      </c>
      <c r="AU140" s="82"/>
      <c r="AV140" s="82" t="str">
        <f t="shared" si="15"/>
        <v>PL15</v>
      </c>
      <c r="AW140" s="53" t="str">
        <f t="shared" si="16"/>
        <v/>
      </c>
      <c r="AX140" s="53" t="s">
        <v>148</v>
      </c>
      <c r="AY140" s="84" t="s">
        <v>200</v>
      </c>
      <c r="AZ140" s="53"/>
      <c r="BA140" s="53" t="s">
        <v>201</v>
      </c>
      <c r="BB140" s="53">
        <v>1</v>
      </c>
      <c r="BC140" s="83">
        <v>46201</v>
      </c>
      <c r="BD140" s="53"/>
      <c r="BE140" s="53"/>
    </row>
    <row r="141" spans="3:57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3"/>
        <v>1</v>
      </c>
      <c r="M141" s="26">
        <f t="shared" si="14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26"/>
      <c r="AS141" s="26"/>
      <c r="AT141" s="67">
        <f>SUMIFS([1]Up!$J:$J,[1]Up!$D:$D,D141)</f>
        <v>0</v>
      </c>
      <c r="AU141" s="82" t="s">
        <v>2244</v>
      </c>
      <c r="AV141" s="82" t="e">
        <f t="shared" si="15"/>
        <v>#VALUE!</v>
      </c>
      <c r="AW141" s="53" t="str">
        <f t="shared" si="16"/>
        <v>Thừa 2</v>
      </c>
      <c r="AX141" s="53" t="s">
        <v>154</v>
      </c>
      <c r="AY141" s="53"/>
      <c r="AZ141" s="53"/>
      <c r="BA141" s="53" t="s">
        <v>57</v>
      </c>
      <c r="BB141" s="53">
        <v>1</v>
      </c>
      <c r="BC141" s="83"/>
      <c r="BD141" s="53"/>
      <c r="BE141" s="53"/>
    </row>
    <row r="142" spans="3:57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3"/>
        <v>1</v>
      </c>
      <c r="M142" s="26">
        <f t="shared" si="14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67">
        <f>SUMIFS([1]Up!$J:$J,[1]Up!$D:$D,D142)</f>
        <v>0</v>
      </c>
      <c r="AU142" s="82"/>
      <c r="AV142" s="82" t="str">
        <f t="shared" si="15"/>
        <v>PL15</v>
      </c>
      <c r="AW142" s="53" t="str">
        <f t="shared" si="16"/>
        <v/>
      </c>
      <c r="AX142" s="53" t="s">
        <v>148</v>
      </c>
      <c r="AY142" s="84" t="s">
        <v>200</v>
      </c>
      <c r="AZ142" s="53"/>
      <c r="BA142" s="53" t="s">
        <v>201</v>
      </c>
      <c r="BB142" s="53">
        <v>1</v>
      </c>
      <c r="BC142" s="83">
        <v>46201</v>
      </c>
      <c r="BD142" s="53"/>
      <c r="BE142" s="53"/>
    </row>
    <row r="143" spans="3:57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3"/>
        <v>1</v>
      </c>
      <c r="M143" s="26">
        <f t="shared" si="14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67">
        <f>SUMIFS([1]Up!$J:$J,[1]Up!$D:$D,D143)</f>
        <v>0</v>
      </c>
      <c r="AU143" s="82"/>
      <c r="AV143" s="82" t="str">
        <f t="shared" si="15"/>
        <v>PL20</v>
      </c>
      <c r="AW143" s="53" t="str">
        <f t="shared" si="16"/>
        <v/>
      </c>
      <c r="AX143" s="53" t="s">
        <v>148</v>
      </c>
      <c r="AY143" s="84" t="s">
        <v>319</v>
      </c>
      <c r="AZ143" s="53"/>
      <c r="BA143" s="53" t="s">
        <v>320</v>
      </c>
      <c r="BB143" s="53">
        <v>1</v>
      </c>
      <c r="BC143" s="83">
        <v>46202</v>
      </c>
      <c r="BD143" s="53"/>
      <c r="BE143" s="53"/>
    </row>
    <row r="144" spans="3:57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3"/>
        <v>1</v>
      </c>
      <c r="M144" s="26">
        <f t="shared" si="14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67">
        <f>SUMIFS([1]Up!$J:$J,[1]Up!$D:$D,D144)</f>
        <v>0</v>
      </c>
      <c r="AU144" s="82"/>
      <c r="AV144" s="82" t="str">
        <f t="shared" si="15"/>
        <v>PL10</v>
      </c>
      <c r="AW144" s="53" t="str">
        <f t="shared" si="16"/>
        <v/>
      </c>
      <c r="AX144" s="53" t="s">
        <v>148</v>
      </c>
      <c r="AY144" s="84" t="s">
        <v>210</v>
      </c>
      <c r="AZ144" s="53"/>
      <c r="BA144" s="53" t="s">
        <v>211</v>
      </c>
      <c r="BB144" s="53">
        <v>1</v>
      </c>
      <c r="BC144" s="83">
        <v>46201</v>
      </c>
      <c r="BD144" s="53"/>
      <c r="BE144" s="53"/>
    </row>
    <row r="145" spans="3:57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3"/>
        <v>1</v>
      </c>
      <c r="M145" s="26">
        <f t="shared" si="14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67">
        <f>SUMIFS([1]Up!$J:$J,[1]Up!$D:$D,D145)</f>
        <v>0</v>
      </c>
      <c r="AU145" s="82"/>
      <c r="AV145" s="82" t="str">
        <f t="shared" si="15"/>
        <v>PL15</v>
      </c>
      <c r="AW145" s="53" t="str">
        <f t="shared" si="16"/>
        <v/>
      </c>
      <c r="AX145" s="53" t="s">
        <v>148</v>
      </c>
      <c r="AY145" s="84" t="s">
        <v>200</v>
      </c>
      <c r="AZ145" s="53"/>
      <c r="BA145" s="53" t="s">
        <v>201</v>
      </c>
      <c r="BB145" s="53">
        <v>1</v>
      </c>
      <c r="BC145" s="83">
        <v>46201</v>
      </c>
      <c r="BD145" s="53"/>
      <c r="BE145" s="53"/>
    </row>
    <row r="146" spans="3:57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3"/>
        <v>1</v>
      </c>
      <c r="M146" s="26">
        <f t="shared" si="14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26"/>
      <c r="AS146" s="26"/>
      <c r="AT146" s="67">
        <f>SUMIFS([1]Up!$J:$J,[1]Up!$D:$D,D146)</f>
        <v>0</v>
      </c>
      <c r="AU146" s="82" t="s">
        <v>2077</v>
      </c>
      <c r="AV146" s="82" t="e">
        <f t="shared" si="15"/>
        <v>#VALUE!</v>
      </c>
      <c r="AW146" s="53" t="str">
        <f t="shared" si="16"/>
        <v>Thừa 2</v>
      </c>
      <c r="AX146" s="53" t="s">
        <v>154</v>
      </c>
      <c r="AY146" s="53"/>
      <c r="AZ146" s="53"/>
      <c r="BA146" s="53" t="s">
        <v>57</v>
      </c>
      <c r="BB146" s="53">
        <v>1</v>
      </c>
      <c r="BC146" s="83"/>
      <c r="BD146" s="53"/>
      <c r="BE146" s="53"/>
    </row>
    <row r="147" spans="3:57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3"/>
        <v>1</v>
      </c>
      <c r="M147" s="26">
        <f t="shared" si="14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67">
        <f>SUMIFS([1]Up!$J:$J,[1]Up!$D:$D,D147)</f>
        <v>0</v>
      </c>
      <c r="AU147" s="82"/>
      <c r="AV147" s="82" t="str">
        <f t="shared" si="15"/>
        <v>PL15</v>
      </c>
      <c r="AW147" s="53" t="str">
        <f t="shared" si="16"/>
        <v/>
      </c>
      <c r="AX147" s="53" t="s">
        <v>148</v>
      </c>
      <c r="AY147" s="84" t="s">
        <v>200</v>
      </c>
      <c r="AZ147" s="53"/>
      <c r="BA147" s="53" t="s">
        <v>201</v>
      </c>
      <c r="BB147" s="53">
        <v>1</v>
      </c>
      <c r="BC147" s="83">
        <v>46201</v>
      </c>
      <c r="BD147" s="53"/>
      <c r="BE147" s="53"/>
    </row>
    <row r="148" spans="3:57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3"/>
        <v>1</v>
      </c>
      <c r="M148" s="26">
        <f t="shared" si="14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67">
        <f>SUMIFS([1]Up!$J:$J,[1]Up!$D:$D,D148)</f>
        <v>0</v>
      </c>
      <c r="AU148" s="82"/>
      <c r="AV148" s="82" t="str">
        <f t="shared" si="15"/>
        <v>PL20</v>
      </c>
      <c r="AW148" s="53" t="str">
        <f t="shared" si="16"/>
        <v/>
      </c>
      <c r="AX148" s="53" t="s">
        <v>148</v>
      </c>
      <c r="AY148" s="84" t="s">
        <v>319</v>
      </c>
      <c r="AZ148" s="53"/>
      <c r="BA148" s="53" t="s">
        <v>320</v>
      </c>
      <c r="BB148" s="53">
        <v>1</v>
      </c>
      <c r="BC148" s="83">
        <v>46202</v>
      </c>
      <c r="BD148" s="53"/>
      <c r="BE148" s="53"/>
    </row>
    <row r="149" spans="3:57" ht="14.25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3"/>
        <v>1</v>
      </c>
      <c r="M149" s="26">
        <f t="shared" si="14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>
        <v>1</v>
      </c>
      <c r="AS149" s="26"/>
      <c r="AT149" s="67">
        <f>SUMIFS([1]Up!$J:$J,[1]Up!$D:$D,D149)</f>
        <v>1</v>
      </c>
      <c r="AU149" s="82"/>
      <c r="AV149" s="82" t="str">
        <f t="shared" si="15"/>
        <v>PL10</v>
      </c>
      <c r="AW149" s="53" t="str">
        <f t="shared" si="16"/>
        <v/>
      </c>
      <c r="AX149" s="53" t="s">
        <v>148</v>
      </c>
      <c r="AY149" s="53"/>
      <c r="AZ149" s="53"/>
      <c r="BA149" s="53"/>
      <c r="BB149" s="53"/>
      <c r="BC149" s="83"/>
      <c r="BD149" s="53"/>
      <c r="BE149" s="53"/>
    </row>
    <row r="150" spans="3:57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3"/>
        <v>1</v>
      </c>
      <c r="M150" s="26">
        <f t="shared" si="14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67">
        <f>SUMIFS([1]Up!$J:$J,[1]Up!$D:$D,D150)</f>
        <v>0</v>
      </c>
      <c r="AU150" s="82"/>
      <c r="AV150" s="82" t="str">
        <f t="shared" si="15"/>
        <v>PL15</v>
      </c>
      <c r="AW150" s="53" t="str">
        <f t="shared" si="16"/>
        <v/>
      </c>
      <c r="AX150" s="53" t="s">
        <v>148</v>
      </c>
      <c r="AY150" s="84" t="s">
        <v>200</v>
      </c>
      <c r="AZ150" s="53"/>
      <c r="BA150" s="53" t="s">
        <v>201</v>
      </c>
      <c r="BB150" s="53">
        <v>1</v>
      </c>
      <c r="BC150" s="83">
        <v>46201</v>
      </c>
      <c r="BD150" s="53"/>
      <c r="BE150" s="53"/>
    </row>
    <row r="151" spans="3:57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3"/>
        <v>1</v>
      </c>
      <c r="M151" s="26">
        <f t="shared" si="14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26"/>
      <c r="AS151" s="26"/>
      <c r="AT151" s="67">
        <f>SUMIFS([1]Up!$J:$J,[1]Up!$D:$D,D151)</f>
        <v>0</v>
      </c>
      <c r="AU151" s="82" t="s">
        <v>2382</v>
      </c>
      <c r="AV151" s="82" t="e">
        <f t="shared" si="15"/>
        <v>#VALUE!</v>
      </c>
      <c r="AW151" s="53" t="str">
        <f t="shared" si="16"/>
        <v>Thừa 2</v>
      </c>
      <c r="AX151" s="53" t="s">
        <v>154</v>
      </c>
      <c r="AY151" s="53"/>
      <c r="AZ151" s="53"/>
      <c r="BA151" s="53" t="s">
        <v>57</v>
      </c>
      <c r="BB151" s="53">
        <v>1</v>
      </c>
      <c r="BC151" s="83"/>
      <c r="BD151" s="53"/>
      <c r="BE151" s="53"/>
    </row>
    <row r="152" spans="3:57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3"/>
        <v>1</v>
      </c>
      <c r="M152" s="26">
        <f t="shared" si="14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67">
        <f>SUMIFS([1]Up!$J:$J,[1]Up!$D:$D,D152)</f>
        <v>0</v>
      </c>
      <c r="AU152" s="82"/>
      <c r="AV152" s="82" t="str">
        <f t="shared" si="15"/>
        <v>PL15</v>
      </c>
      <c r="AW152" s="53" t="str">
        <f t="shared" si="16"/>
        <v/>
      </c>
      <c r="AX152" s="53" t="s">
        <v>148</v>
      </c>
      <c r="AY152" s="84" t="s">
        <v>200</v>
      </c>
      <c r="AZ152" s="53"/>
      <c r="BA152" s="53" t="s">
        <v>201</v>
      </c>
      <c r="BB152" s="53">
        <v>1</v>
      </c>
      <c r="BC152" s="83">
        <v>46201</v>
      </c>
      <c r="BD152" s="53"/>
      <c r="BE152" s="53"/>
    </row>
    <row r="153" spans="3:57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3"/>
        <v>1</v>
      </c>
      <c r="M153" s="26">
        <f t="shared" si="14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67">
        <f>SUMIFS([1]Up!$J:$J,[1]Up!$D:$D,D153)</f>
        <v>0</v>
      </c>
      <c r="AU153" s="82"/>
      <c r="AV153" s="82" t="str">
        <f t="shared" si="15"/>
        <v>PL20</v>
      </c>
      <c r="AW153" s="53" t="str">
        <f t="shared" si="16"/>
        <v/>
      </c>
      <c r="AX153" s="53" t="s">
        <v>148</v>
      </c>
      <c r="AY153" s="84" t="s">
        <v>319</v>
      </c>
      <c r="AZ153" s="53"/>
      <c r="BA153" s="53" t="s">
        <v>320</v>
      </c>
      <c r="BB153" s="53">
        <v>1</v>
      </c>
      <c r="BC153" s="83">
        <v>46202</v>
      </c>
      <c r="BD153" s="53"/>
      <c r="BE153" s="53"/>
    </row>
    <row r="154" spans="3:57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3"/>
        <v>1</v>
      </c>
      <c r="M154" s="26">
        <f t="shared" si="14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67">
        <f>SUMIFS([1]Up!$J:$J,[1]Up!$D:$D,D154)</f>
        <v>0</v>
      </c>
      <c r="AU154" s="82"/>
      <c r="AV154" s="82" t="str">
        <f t="shared" si="15"/>
        <v>PL10</v>
      </c>
      <c r="AW154" s="53" t="str">
        <f t="shared" si="16"/>
        <v/>
      </c>
      <c r="AX154" s="53" t="s">
        <v>148</v>
      </c>
      <c r="AY154" s="84" t="s">
        <v>210</v>
      </c>
      <c r="AZ154" s="53"/>
      <c r="BA154" s="53" t="s">
        <v>211</v>
      </c>
      <c r="BB154" s="53">
        <v>1</v>
      </c>
      <c r="BC154" s="83">
        <v>46201</v>
      </c>
      <c r="BD154" s="53"/>
      <c r="BE154" s="53"/>
    </row>
    <row r="155" spans="3:57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3"/>
        <v>1</v>
      </c>
      <c r="M155" s="26">
        <f t="shared" si="14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67">
        <f>SUMIFS([1]Up!$J:$J,[1]Up!$D:$D,D155)</f>
        <v>0</v>
      </c>
      <c r="AU155" s="82"/>
      <c r="AV155" s="82" t="str">
        <f t="shared" si="15"/>
        <v>PL15</v>
      </c>
      <c r="AW155" s="53" t="str">
        <f t="shared" si="16"/>
        <v/>
      </c>
      <c r="AX155" s="53" t="s">
        <v>148</v>
      </c>
      <c r="AY155" s="84" t="s">
        <v>200</v>
      </c>
      <c r="AZ155" s="53"/>
      <c r="BA155" s="53" t="s">
        <v>201</v>
      </c>
      <c r="BB155" s="53">
        <v>1</v>
      </c>
      <c r="BC155" s="83">
        <v>46201</v>
      </c>
      <c r="BD155" s="53"/>
      <c r="BE155" s="53"/>
    </row>
    <row r="156" spans="3:57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3"/>
        <v>1</v>
      </c>
      <c r="M156" s="26">
        <f t="shared" si="14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26"/>
      <c r="AS156" s="26"/>
      <c r="AT156" s="67">
        <f>SUMIFS([1]Up!$J:$J,[1]Up!$D:$D,D156)</f>
        <v>0</v>
      </c>
      <c r="AU156" s="82" t="s">
        <v>2085</v>
      </c>
      <c r="AV156" s="82" t="e">
        <f t="shared" si="15"/>
        <v>#VALUE!</v>
      </c>
      <c r="AW156" s="53" t="str">
        <f t="shared" si="16"/>
        <v>Thừa 2</v>
      </c>
      <c r="AX156" s="53" t="s">
        <v>154</v>
      </c>
      <c r="AY156" s="53"/>
      <c r="AZ156" s="53"/>
      <c r="BA156" s="53" t="s">
        <v>57</v>
      </c>
      <c r="BB156" s="53">
        <v>1</v>
      </c>
      <c r="BC156" s="83"/>
      <c r="BD156" s="53"/>
      <c r="BE156" s="53"/>
    </row>
    <row r="157" spans="3:57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3"/>
        <v>1</v>
      </c>
      <c r="M157" s="26">
        <f t="shared" si="14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67">
        <f>SUMIFS([1]Up!$J:$J,[1]Up!$D:$D,D157)</f>
        <v>0</v>
      </c>
      <c r="AU157" s="82"/>
      <c r="AV157" s="82" t="str">
        <f t="shared" si="15"/>
        <v>PL15</v>
      </c>
      <c r="AW157" s="53" t="str">
        <f t="shared" si="16"/>
        <v/>
      </c>
      <c r="AX157" s="53" t="s">
        <v>148</v>
      </c>
      <c r="AY157" s="84" t="s">
        <v>200</v>
      </c>
      <c r="AZ157" s="53"/>
      <c r="BA157" s="53" t="s">
        <v>201</v>
      </c>
      <c r="BB157" s="53">
        <v>1</v>
      </c>
      <c r="BC157" s="83">
        <v>46201</v>
      </c>
      <c r="BD157" s="53"/>
      <c r="BE157" s="53"/>
    </row>
    <row r="158" spans="3:57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3"/>
        <v>1</v>
      </c>
      <c r="M158" s="26">
        <f t="shared" si="14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67">
        <f>SUMIFS([1]Up!$J:$J,[1]Up!$D:$D,D158)</f>
        <v>0</v>
      </c>
      <c r="AU158" s="82"/>
      <c r="AV158" s="82" t="str">
        <f t="shared" si="15"/>
        <v>PL20</v>
      </c>
      <c r="AW158" s="53" t="str">
        <f t="shared" si="16"/>
        <v/>
      </c>
      <c r="AX158" s="53" t="s">
        <v>148</v>
      </c>
      <c r="AY158" s="84" t="s">
        <v>319</v>
      </c>
      <c r="AZ158" s="53"/>
      <c r="BA158" s="53" t="s">
        <v>320</v>
      </c>
      <c r="BB158" s="53">
        <v>1</v>
      </c>
      <c r="BC158" s="83">
        <v>46202</v>
      </c>
      <c r="BD158" s="53"/>
      <c r="BE158" s="53"/>
    </row>
    <row r="159" spans="3:57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3"/>
        <v>1</v>
      </c>
      <c r="M159" s="26">
        <f t="shared" si="14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67">
        <f>SUMIFS([1]Up!$J:$J,[1]Up!$D:$D,D159)</f>
        <v>0</v>
      </c>
      <c r="AU159" s="82"/>
      <c r="AV159" s="82" t="str">
        <f t="shared" si="15"/>
        <v>PL10</v>
      </c>
      <c r="AW159" s="53" t="str">
        <f t="shared" si="16"/>
        <v/>
      </c>
      <c r="AX159" s="53" t="s">
        <v>148</v>
      </c>
      <c r="AY159" s="84" t="s">
        <v>210</v>
      </c>
      <c r="AZ159" s="53"/>
      <c r="BA159" s="53" t="s">
        <v>211</v>
      </c>
      <c r="BB159" s="53">
        <v>1</v>
      </c>
      <c r="BC159" s="83">
        <v>46201</v>
      </c>
      <c r="BD159" s="53"/>
      <c r="BE159" s="53"/>
    </row>
    <row r="160" spans="3:57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3"/>
        <v>1</v>
      </c>
      <c r="M160" s="26">
        <f t="shared" si="14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67">
        <f>SUMIFS([1]Up!$J:$J,[1]Up!$D:$D,D160)</f>
        <v>0</v>
      </c>
      <c r="AU160" s="82"/>
      <c r="AV160" s="82" t="str">
        <f t="shared" si="15"/>
        <v>PL15</v>
      </c>
      <c r="AW160" s="53" t="str">
        <f t="shared" si="16"/>
        <v/>
      </c>
      <c r="AX160" s="53" t="s">
        <v>148</v>
      </c>
      <c r="AY160" s="84" t="s">
        <v>200</v>
      </c>
      <c r="AZ160" s="53"/>
      <c r="BA160" s="53" t="s">
        <v>201</v>
      </c>
      <c r="BB160" s="53">
        <v>1</v>
      </c>
      <c r="BC160" s="83">
        <v>46201</v>
      </c>
      <c r="BD160" s="53"/>
      <c r="BE160" s="53"/>
    </row>
    <row r="161" spans="3:57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3"/>
        <v>1</v>
      </c>
      <c r="M161" s="26">
        <f t="shared" si="14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26"/>
      <c r="AS161" s="26"/>
      <c r="AT161" s="67">
        <f>SUMIFS([1]Up!$J:$J,[1]Up!$D:$D,D161)</f>
        <v>0</v>
      </c>
      <c r="AU161" s="82" t="s">
        <v>2071</v>
      </c>
      <c r="AV161" s="82" t="e">
        <f t="shared" si="15"/>
        <v>#VALUE!</v>
      </c>
      <c r="AW161" s="53" t="str">
        <f t="shared" si="16"/>
        <v>Thừa 2</v>
      </c>
      <c r="AX161" s="53" t="s">
        <v>154</v>
      </c>
      <c r="AY161" s="53"/>
      <c r="AZ161" s="53"/>
      <c r="BA161" s="53" t="s">
        <v>57</v>
      </c>
      <c r="BB161" s="53">
        <v>1</v>
      </c>
      <c r="BC161" s="83"/>
      <c r="BD161" s="53"/>
      <c r="BE161" s="53"/>
    </row>
    <row r="162" spans="3:57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3"/>
        <v>1</v>
      </c>
      <c r="M162" s="26">
        <f t="shared" si="14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67">
        <f>SUMIFS([1]Up!$J:$J,[1]Up!$D:$D,D162)</f>
        <v>0</v>
      </c>
      <c r="AU162" s="82"/>
      <c r="AV162" s="82" t="str">
        <f t="shared" si="15"/>
        <v>PL15</v>
      </c>
      <c r="AW162" s="53" t="str">
        <f t="shared" si="16"/>
        <v/>
      </c>
      <c r="AX162" s="53" t="s">
        <v>148</v>
      </c>
      <c r="AY162" s="84" t="s">
        <v>200</v>
      </c>
      <c r="AZ162" s="53"/>
      <c r="BA162" s="53" t="s">
        <v>201</v>
      </c>
      <c r="BB162" s="53">
        <v>1</v>
      </c>
      <c r="BC162" s="83">
        <v>46201</v>
      </c>
      <c r="BD162" s="53"/>
      <c r="BE162" s="53"/>
    </row>
    <row r="163" spans="3:57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3"/>
        <v>1</v>
      </c>
      <c r="M163" s="26">
        <f t="shared" si="14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67">
        <f>SUMIFS([1]Up!$J:$J,[1]Up!$D:$D,D163)</f>
        <v>0</v>
      </c>
      <c r="AU163" s="82"/>
      <c r="AV163" s="82" t="str">
        <f t="shared" si="15"/>
        <v>PL20</v>
      </c>
      <c r="AW163" s="53" t="str">
        <f t="shared" si="16"/>
        <v/>
      </c>
      <c r="AX163" s="53" t="s">
        <v>148</v>
      </c>
      <c r="AY163" s="84" t="s">
        <v>319</v>
      </c>
      <c r="AZ163" s="53"/>
      <c r="BA163" s="53" t="s">
        <v>320</v>
      </c>
      <c r="BB163" s="53">
        <v>1</v>
      </c>
      <c r="BC163" s="83">
        <v>46202</v>
      </c>
      <c r="BD163" s="53"/>
      <c r="BE163" s="53"/>
    </row>
    <row r="164" spans="3:57" ht="14.25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3"/>
        <v>1</v>
      </c>
      <c r="M164" s="26">
        <f t="shared" si="14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>
        <v>1</v>
      </c>
      <c r="AS164" s="26"/>
      <c r="AT164" s="67">
        <f>SUMIFS([1]Up!$J:$J,[1]Up!$D:$D,D164)</f>
        <v>1</v>
      </c>
      <c r="AU164" s="82"/>
      <c r="AV164" s="82" t="str">
        <f t="shared" si="15"/>
        <v>PL10</v>
      </c>
      <c r="AW164" s="53" t="str">
        <f t="shared" si="16"/>
        <v/>
      </c>
      <c r="AX164" s="53" t="s">
        <v>148</v>
      </c>
      <c r="AY164" s="53"/>
      <c r="AZ164" s="53"/>
      <c r="BA164" s="53"/>
      <c r="BB164" s="53"/>
      <c r="BC164" s="83"/>
      <c r="BD164" s="53"/>
      <c r="BE164" s="53"/>
    </row>
    <row r="165" spans="3:57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3"/>
        <v>1</v>
      </c>
      <c r="M165" s="26">
        <f t="shared" si="14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67">
        <f>SUMIFS([1]Up!$J:$J,[1]Up!$D:$D,D165)</f>
        <v>0</v>
      </c>
      <c r="AU165" s="82"/>
      <c r="AV165" s="82" t="str">
        <f t="shared" si="15"/>
        <v>PL15</v>
      </c>
      <c r="AW165" s="53" t="str">
        <f t="shared" si="16"/>
        <v/>
      </c>
      <c r="AX165" s="53" t="s">
        <v>148</v>
      </c>
      <c r="AY165" s="84" t="s">
        <v>200</v>
      </c>
      <c r="AZ165" s="53"/>
      <c r="BA165" s="53" t="s">
        <v>201</v>
      </c>
      <c r="BB165" s="53">
        <v>1</v>
      </c>
      <c r="BC165" s="83">
        <v>46201</v>
      </c>
      <c r="BD165" s="53"/>
      <c r="BE165" s="53"/>
    </row>
    <row r="166" spans="3:57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3"/>
        <v>1</v>
      </c>
      <c r="M166" s="26">
        <f t="shared" si="14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26"/>
      <c r="AS166" s="26"/>
      <c r="AT166" s="67">
        <f>SUMIFS([1]Up!$J:$J,[1]Up!$D:$D,D166)</f>
        <v>0</v>
      </c>
      <c r="AU166" s="82" t="s">
        <v>2077</v>
      </c>
      <c r="AV166" s="82" t="e">
        <f t="shared" si="15"/>
        <v>#VALUE!</v>
      </c>
      <c r="AW166" s="53" t="str">
        <f t="shared" si="16"/>
        <v>Thừa 2</v>
      </c>
      <c r="AX166" s="53" t="s">
        <v>154</v>
      </c>
      <c r="AY166" s="53"/>
      <c r="AZ166" s="53"/>
      <c r="BA166" s="53" t="s">
        <v>57</v>
      </c>
      <c r="BB166" s="53">
        <v>1</v>
      </c>
      <c r="BC166" s="83"/>
      <c r="BD166" s="53"/>
      <c r="BE166" s="53"/>
    </row>
    <row r="167" spans="3:57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3"/>
        <v>1</v>
      </c>
      <c r="M167" s="26">
        <f t="shared" si="14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67">
        <f>SUMIFS([1]Up!$J:$J,[1]Up!$D:$D,D167)</f>
        <v>0</v>
      </c>
      <c r="AU167" s="82"/>
      <c r="AV167" s="82" t="str">
        <f t="shared" si="15"/>
        <v>PL15</v>
      </c>
      <c r="AW167" s="53" t="str">
        <f t="shared" si="16"/>
        <v/>
      </c>
      <c r="AX167" s="53" t="s">
        <v>148</v>
      </c>
      <c r="AY167" s="84" t="s">
        <v>200</v>
      </c>
      <c r="AZ167" s="53"/>
      <c r="BA167" s="53" t="s">
        <v>201</v>
      </c>
      <c r="BB167" s="53">
        <v>1</v>
      </c>
      <c r="BC167" s="83">
        <v>46201</v>
      </c>
      <c r="BD167" s="53"/>
      <c r="BE167" s="53"/>
    </row>
    <row r="168" spans="3:57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3"/>
        <v>1</v>
      </c>
      <c r="M168" s="26">
        <f t="shared" si="14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67">
        <f>SUMIFS([1]Up!$J:$J,[1]Up!$D:$D,D168)</f>
        <v>0</v>
      </c>
      <c r="AU168" s="82"/>
      <c r="AV168" s="82" t="str">
        <f t="shared" si="15"/>
        <v>PL20</v>
      </c>
      <c r="AW168" s="53" t="str">
        <f t="shared" si="16"/>
        <v/>
      </c>
      <c r="AX168" s="53" t="s">
        <v>148</v>
      </c>
      <c r="AY168" s="84" t="s">
        <v>319</v>
      </c>
      <c r="AZ168" s="53"/>
      <c r="BA168" s="53" t="s">
        <v>320</v>
      </c>
      <c r="BB168" s="53">
        <v>1</v>
      </c>
      <c r="BC168" s="83">
        <v>46202</v>
      </c>
      <c r="BD168" s="53"/>
      <c r="BE168" s="53"/>
    </row>
    <row r="169" spans="3:57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3"/>
        <v>0</v>
      </c>
      <c r="M169" s="26">
        <f t="shared" si="14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67">
        <f>SUMIFS([1]Up!$J:$J,[1]Up!$D:$D,D169)</f>
        <v>0</v>
      </c>
      <c r="AU169" s="82"/>
      <c r="AV169" s="82" t="str">
        <f t="shared" si="15"/>
        <v>PL10</v>
      </c>
      <c r="AW169" s="53" t="str">
        <f t="shared" si="16"/>
        <v/>
      </c>
      <c r="AX169" s="53" t="s">
        <v>148</v>
      </c>
      <c r="AY169" s="84" t="s">
        <v>210</v>
      </c>
      <c r="AZ169" s="53"/>
      <c r="BA169" s="53" t="s">
        <v>211</v>
      </c>
      <c r="BB169" s="53">
        <v>1</v>
      </c>
      <c r="BC169" s="83">
        <v>46201</v>
      </c>
      <c r="BD169" s="53"/>
      <c r="BE169" s="53"/>
    </row>
    <row r="170" spans="3:57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3"/>
        <v>1</v>
      </c>
      <c r="M170" s="26">
        <f t="shared" si="14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67">
        <f>SUMIFS([1]Up!$J:$J,[1]Up!$D:$D,D170)</f>
        <v>0</v>
      </c>
      <c r="AU170" s="82"/>
      <c r="AV170" s="82" t="str">
        <f t="shared" si="15"/>
        <v>PL15</v>
      </c>
      <c r="AW170" s="53" t="str">
        <f t="shared" si="16"/>
        <v/>
      </c>
      <c r="AX170" s="53" t="s">
        <v>148</v>
      </c>
      <c r="AY170" s="84" t="s">
        <v>200</v>
      </c>
      <c r="AZ170" s="53"/>
      <c r="BA170" s="53" t="s">
        <v>201</v>
      </c>
      <c r="BB170" s="53">
        <v>1</v>
      </c>
      <c r="BC170" s="83">
        <v>46201</v>
      </c>
      <c r="BD170" s="53"/>
      <c r="BE170" s="53"/>
    </row>
    <row r="171" spans="3:57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3"/>
        <v>1</v>
      </c>
      <c r="M171" s="26">
        <f t="shared" si="14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26"/>
      <c r="AS171" s="26"/>
      <c r="AT171" s="67">
        <f>SUMIFS([1]Up!$J:$J,[1]Up!$D:$D,D171)</f>
        <v>0</v>
      </c>
      <c r="AU171" s="82" t="s">
        <v>2085</v>
      </c>
      <c r="AV171" s="82" t="e">
        <f t="shared" si="15"/>
        <v>#VALUE!</v>
      </c>
      <c r="AW171" s="53" t="str">
        <f t="shared" si="16"/>
        <v>Thừa 2</v>
      </c>
      <c r="AX171" s="53" t="s">
        <v>154</v>
      </c>
      <c r="AY171" s="53"/>
      <c r="AZ171" s="53"/>
      <c r="BA171" s="53" t="s">
        <v>57</v>
      </c>
      <c r="BB171" s="53">
        <v>1</v>
      </c>
      <c r="BC171" s="83"/>
      <c r="BD171" s="53"/>
      <c r="BE171" s="53"/>
    </row>
    <row r="172" spans="3:57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3"/>
        <v>1</v>
      </c>
      <c r="M172" s="26">
        <f t="shared" si="14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67">
        <f>SUMIFS([1]Up!$J:$J,[1]Up!$D:$D,D172)</f>
        <v>0</v>
      </c>
      <c r="AU172" s="82"/>
      <c r="AV172" s="82" t="str">
        <f t="shared" si="15"/>
        <v>PL20</v>
      </c>
      <c r="AW172" s="53" t="str">
        <f t="shared" si="16"/>
        <v/>
      </c>
      <c r="AX172" s="53" t="s">
        <v>148</v>
      </c>
      <c r="AY172" s="84" t="s">
        <v>319</v>
      </c>
      <c r="AZ172" s="53"/>
      <c r="BA172" s="53" t="s">
        <v>320</v>
      </c>
      <c r="BB172" s="53">
        <v>1</v>
      </c>
      <c r="BC172" s="83">
        <v>46202</v>
      </c>
      <c r="BD172" s="53"/>
      <c r="BE172" s="53"/>
    </row>
    <row r="173" spans="3:57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3"/>
        <v>1</v>
      </c>
      <c r="M173" s="26">
        <f t="shared" si="14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67">
        <f>SUMIFS([1]Up!$J:$J,[1]Up!$D:$D,D173)</f>
        <v>0</v>
      </c>
      <c r="AU173" s="82"/>
      <c r="AV173" s="82" t="str">
        <f t="shared" si="15"/>
        <v>PL10</v>
      </c>
      <c r="AW173" s="53" t="str">
        <f t="shared" si="16"/>
        <v/>
      </c>
      <c r="AX173" s="53" t="s">
        <v>148</v>
      </c>
      <c r="AY173" s="84" t="s">
        <v>210</v>
      </c>
      <c r="AZ173" s="53"/>
      <c r="BA173" s="53" t="s">
        <v>211</v>
      </c>
      <c r="BB173" s="53">
        <v>1</v>
      </c>
      <c r="BC173" s="83">
        <v>46201</v>
      </c>
      <c r="BD173" s="53"/>
      <c r="BE173" s="53"/>
    </row>
    <row r="174" spans="3:57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3"/>
        <v>1</v>
      </c>
      <c r="M174" s="26">
        <f t="shared" si="14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67">
        <f>SUMIFS([1]Up!$J:$J,[1]Up!$D:$D,D174)</f>
        <v>0</v>
      </c>
      <c r="AU174" s="82"/>
      <c r="AV174" s="82" t="str">
        <f t="shared" si="15"/>
        <v>PL15</v>
      </c>
      <c r="AW174" s="53" t="str">
        <f t="shared" si="16"/>
        <v/>
      </c>
      <c r="AX174" s="53" t="s">
        <v>148</v>
      </c>
      <c r="AY174" s="84" t="s">
        <v>200</v>
      </c>
      <c r="AZ174" s="53"/>
      <c r="BA174" s="53" t="s">
        <v>201</v>
      </c>
      <c r="BB174" s="53">
        <v>1</v>
      </c>
      <c r="BC174" s="83">
        <v>46201</v>
      </c>
      <c r="BD174" s="53"/>
      <c r="BE174" s="53"/>
    </row>
    <row r="175" spans="3:57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3"/>
        <v>1</v>
      </c>
      <c r="M175" s="26">
        <f t="shared" si="14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67">
        <f>SUMIFS([1]Up!$J:$J,[1]Up!$D:$D,D175)</f>
        <v>0</v>
      </c>
      <c r="AU175" s="82"/>
      <c r="AV175" s="82" t="str">
        <f t="shared" si="15"/>
        <v>PL15</v>
      </c>
      <c r="AW175" s="53" t="str">
        <f t="shared" si="16"/>
        <v/>
      </c>
      <c r="AX175" s="53" t="s">
        <v>148</v>
      </c>
      <c r="AY175" s="84" t="s">
        <v>200</v>
      </c>
      <c r="AZ175" s="53"/>
      <c r="BA175" s="53" t="s">
        <v>201</v>
      </c>
      <c r="BB175" s="53">
        <v>1</v>
      </c>
      <c r="BC175" s="83">
        <v>46201</v>
      </c>
      <c r="BD175" s="53"/>
      <c r="BE175" s="53"/>
    </row>
    <row r="176" spans="3:57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3"/>
        <v>1</v>
      </c>
      <c r="M176" s="26">
        <f t="shared" si="14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26"/>
      <c r="AS176" s="26"/>
      <c r="AT176" s="67">
        <f>SUMIFS([1]Up!$J:$J,[1]Up!$D:$D,D176)</f>
        <v>0</v>
      </c>
      <c r="AU176" s="82" t="s">
        <v>2241</v>
      </c>
      <c r="AV176" s="82" t="e">
        <f t="shared" si="15"/>
        <v>#VALUE!</v>
      </c>
      <c r="AW176" s="53" t="str">
        <f t="shared" si="16"/>
        <v>Thừa 1</v>
      </c>
      <c r="AX176" s="53" t="s">
        <v>154</v>
      </c>
      <c r="AY176" s="53"/>
      <c r="AZ176" s="53"/>
      <c r="BA176" s="53" t="s">
        <v>57</v>
      </c>
      <c r="BB176" s="53">
        <v>1</v>
      </c>
      <c r="BC176" s="83"/>
      <c r="BD176" s="53"/>
      <c r="BE176" s="53"/>
    </row>
    <row r="177" spans="3:57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3"/>
        <v>1</v>
      </c>
      <c r="M177" s="26">
        <f t="shared" si="14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67">
        <f>SUMIFS([1]Up!$J:$J,[1]Up!$D:$D,D177)</f>
        <v>0</v>
      </c>
      <c r="AU177" s="82"/>
      <c r="AV177" s="82" t="str">
        <f t="shared" si="15"/>
        <v>PL20</v>
      </c>
      <c r="AW177" s="53" t="str">
        <f t="shared" si="16"/>
        <v/>
      </c>
      <c r="AX177" s="53" t="s">
        <v>148</v>
      </c>
      <c r="AY177" s="84" t="s">
        <v>319</v>
      </c>
      <c r="AZ177" s="53"/>
      <c r="BA177" s="53" t="s">
        <v>320</v>
      </c>
      <c r="BB177" s="53">
        <v>1</v>
      </c>
      <c r="BC177" s="83">
        <v>46202</v>
      </c>
      <c r="BD177" s="53"/>
      <c r="BE177" s="53"/>
    </row>
    <row r="178" spans="3:57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3"/>
        <v>1</v>
      </c>
      <c r="M178" s="26">
        <f t="shared" si="14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67">
        <f>SUMIFS([1]Up!$J:$J,[1]Up!$D:$D,D178)</f>
        <v>0</v>
      </c>
      <c r="AU178" s="82"/>
      <c r="AV178" s="82" t="str">
        <f t="shared" si="15"/>
        <v>PL15</v>
      </c>
      <c r="AW178" s="53" t="str">
        <f t="shared" si="16"/>
        <v/>
      </c>
      <c r="AX178" s="53" t="s">
        <v>148</v>
      </c>
      <c r="AY178" s="84" t="s">
        <v>200</v>
      </c>
      <c r="AZ178" s="53"/>
      <c r="BA178" s="53" t="s">
        <v>201</v>
      </c>
      <c r="BB178" s="53">
        <v>1</v>
      </c>
      <c r="BC178" s="83">
        <v>46201</v>
      </c>
      <c r="BD178" s="53"/>
      <c r="BE178" s="53"/>
    </row>
    <row r="179" spans="3:57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3"/>
        <v>1</v>
      </c>
      <c r="M179" s="26">
        <f t="shared" si="14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67">
        <f>SUMIFS([1]Up!$J:$J,[1]Up!$D:$D,D179)</f>
        <v>0</v>
      </c>
      <c r="AU179" s="82"/>
      <c r="AV179" s="82" t="str">
        <f t="shared" si="15"/>
        <v>PL10</v>
      </c>
      <c r="AW179" s="53" t="str">
        <f t="shared" si="16"/>
        <v/>
      </c>
      <c r="AX179" s="53" t="s">
        <v>148</v>
      </c>
      <c r="AY179" s="84" t="s">
        <v>210</v>
      </c>
      <c r="AZ179" s="53"/>
      <c r="BA179" s="53" t="s">
        <v>211</v>
      </c>
      <c r="BB179" s="53">
        <v>1</v>
      </c>
      <c r="BC179" s="83">
        <v>46201</v>
      </c>
      <c r="BD179" s="53"/>
      <c r="BE179" s="53"/>
    </row>
    <row r="180" spans="3:57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3"/>
        <v>1</v>
      </c>
      <c r="M180" s="26">
        <f t="shared" si="14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67">
        <f>SUMIFS([1]Up!$J:$J,[1]Up!$D:$D,D180)</f>
        <v>0</v>
      </c>
      <c r="AU180" s="82"/>
      <c r="AV180" s="82" t="str">
        <f t="shared" si="15"/>
        <v>PL15</v>
      </c>
      <c r="AW180" s="53" t="str">
        <f t="shared" si="16"/>
        <v/>
      </c>
      <c r="AX180" s="53" t="s">
        <v>148</v>
      </c>
      <c r="AY180" s="84" t="s">
        <v>200</v>
      </c>
      <c r="AZ180" s="53"/>
      <c r="BA180" s="53" t="s">
        <v>201</v>
      </c>
      <c r="BB180" s="53">
        <v>1</v>
      </c>
      <c r="BC180" s="83">
        <v>46201</v>
      </c>
      <c r="BD180" s="53"/>
      <c r="BE180" s="53"/>
    </row>
    <row r="181" spans="3:57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3"/>
        <v>1</v>
      </c>
      <c r="M181" s="26">
        <f t="shared" si="14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26"/>
      <c r="AS181" s="26"/>
      <c r="AT181" s="67">
        <f>SUMIFS([1]Up!$J:$J,[1]Up!$D:$D,D181)</f>
        <v>0</v>
      </c>
      <c r="AU181" s="82" t="s">
        <v>2243</v>
      </c>
      <c r="AV181" s="82" t="e">
        <f t="shared" si="15"/>
        <v>#VALUE!</v>
      </c>
      <c r="AW181" s="53" t="str">
        <f t="shared" si="16"/>
        <v>Thừa 2</v>
      </c>
      <c r="AX181" s="53" t="s">
        <v>154</v>
      </c>
      <c r="AY181" s="53"/>
      <c r="AZ181" s="53"/>
      <c r="BA181" s="53" t="s">
        <v>57</v>
      </c>
      <c r="BB181" s="53">
        <v>1</v>
      </c>
      <c r="BC181" s="83"/>
      <c r="BD181" s="53"/>
      <c r="BE181" s="53"/>
    </row>
    <row r="182" spans="3:57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3"/>
        <v>1</v>
      </c>
      <c r="M182" s="26">
        <f t="shared" si="14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67">
        <f>SUMIFS([1]Up!$J:$J,[1]Up!$D:$D,D182)</f>
        <v>0</v>
      </c>
      <c r="AU182" s="82"/>
      <c r="AV182" s="82" t="str">
        <f t="shared" si="15"/>
        <v>PL20</v>
      </c>
      <c r="AW182" s="53" t="str">
        <f t="shared" si="16"/>
        <v/>
      </c>
      <c r="AX182" s="53" t="s">
        <v>148</v>
      </c>
      <c r="AY182" s="84" t="s">
        <v>319</v>
      </c>
      <c r="AZ182" s="53"/>
      <c r="BA182" s="53" t="s">
        <v>320</v>
      </c>
      <c r="BB182" s="53">
        <v>1</v>
      </c>
      <c r="BC182" s="83">
        <v>46202</v>
      </c>
      <c r="BD182" s="53"/>
      <c r="BE182" s="53"/>
    </row>
    <row r="183" spans="3:57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3"/>
        <v>1</v>
      </c>
      <c r="M183" s="26">
        <f t="shared" si="14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67">
        <f>SUMIFS([1]Up!$J:$J,[1]Up!$D:$D,D183)</f>
        <v>0</v>
      </c>
      <c r="AU183" s="82"/>
      <c r="AV183" s="82" t="str">
        <f t="shared" si="15"/>
        <v>PL10</v>
      </c>
      <c r="AW183" s="53" t="str">
        <f t="shared" si="16"/>
        <v/>
      </c>
      <c r="AX183" s="53" t="s">
        <v>148</v>
      </c>
      <c r="AY183" s="84" t="s">
        <v>210</v>
      </c>
      <c r="AZ183" s="53"/>
      <c r="BA183" s="53" t="s">
        <v>211</v>
      </c>
      <c r="BB183" s="53">
        <v>1</v>
      </c>
      <c r="BC183" s="83">
        <v>46201</v>
      </c>
      <c r="BD183" s="53"/>
      <c r="BE183" s="53"/>
    </row>
    <row r="184" spans="3:57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3"/>
        <v>1</v>
      </c>
      <c r="M184" s="26">
        <f t="shared" si="14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67">
        <f>SUMIFS([1]Up!$J:$J,[1]Up!$D:$D,D184)</f>
        <v>0</v>
      </c>
      <c r="AU184" s="82"/>
      <c r="AV184" s="82" t="str">
        <f t="shared" si="15"/>
        <v>PL15</v>
      </c>
      <c r="AW184" s="53" t="str">
        <f t="shared" si="16"/>
        <v/>
      </c>
      <c r="AX184" s="53" t="s">
        <v>148</v>
      </c>
      <c r="AY184" s="84" t="s">
        <v>200</v>
      </c>
      <c r="AZ184" s="53"/>
      <c r="BA184" s="53" t="s">
        <v>201</v>
      </c>
      <c r="BB184" s="53">
        <v>1</v>
      </c>
      <c r="BC184" s="83">
        <v>46201</v>
      </c>
      <c r="BD184" s="53"/>
      <c r="BE184" s="53"/>
    </row>
    <row r="185" spans="3:57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3"/>
        <v>1</v>
      </c>
      <c r="M185" s="26">
        <f t="shared" si="14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67">
        <f>SUMIFS([1]Up!$J:$J,[1]Up!$D:$D,D185)</f>
        <v>0</v>
      </c>
      <c r="AU185" s="82"/>
      <c r="AV185" s="82" t="str">
        <f t="shared" si="15"/>
        <v>PL15</v>
      </c>
      <c r="AW185" s="53" t="str">
        <f t="shared" si="16"/>
        <v/>
      </c>
      <c r="AX185" s="53" t="s">
        <v>148</v>
      </c>
      <c r="AY185" s="84" t="s">
        <v>200</v>
      </c>
      <c r="AZ185" s="53"/>
      <c r="BA185" s="53" t="s">
        <v>201</v>
      </c>
      <c r="BB185" s="53">
        <v>1</v>
      </c>
      <c r="BC185" s="83">
        <v>46201</v>
      </c>
      <c r="BD185" s="53"/>
      <c r="BE185" s="53"/>
    </row>
    <row r="186" spans="3:57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3"/>
        <v>1</v>
      </c>
      <c r="M186" s="26">
        <f t="shared" si="14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26"/>
      <c r="AS186" s="26"/>
      <c r="AT186" s="67">
        <f>SUMIFS([1]Up!$J:$J,[1]Up!$D:$D,D186)</f>
        <v>0</v>
      </c>
      <c r="AU186" s="82" t="s">
        <v>2085</v>
      </c>
      <c r="AV186" s="82" t="e">
        <f t="shared" si="15"/>
        <v>#VALUE!</v>
      </c>
      <c r="AW186" s="53" t="str">
        <f t="shared" si="16"/>
        <v>Thừa 2</v>
      </c>
      <c r="AX186" s="53" t="s">
        <v>154</v>
      </c>
      <c r="AY186" s="53"/>
      <c r="AZ186" s="53"/>
      <c r="BA186" s="53" t="s">
        <v>57</v>
      </c>
      <c r="BB186" s="53">
        <v>1</v>
      </c>
      <c r="BC186" s="83"/>
      <c r="BD186" s="53"/>
      <c r="BE186" s="53"/>
    </row>
    <row r="187" spans="3:57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3"/>
        <v>1</v>
      </c>
      <c r="M187" s="26">
        <f t="shared" si="14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67">
        <f>SUMIFS([1]Up!$J:$J,[1]Up!$D:$D,D187)</f>
        <v>0</v>
      </c>
      <c r="AU187" s="82"/>
      <c r="AV187" s="82" t="str">
        <f t="shared" si="15"/>
        <v>PL20</v>
      </c>
      <c r="AW187" s="53" t="str">
        <f t="shared" si="16"/>
        <v/>
      </c>
      <c r="AX187" s="53" t="s">
        <v>148</v>
      </c>
      <c r="AY187" s="84" t="s">
        <v>319</v>
      </c>
      <c r="AZ187" s="53"/>
      <c r="BA187" s="53" t="s">
        <v>320</v>
      </c>
      <c r="BB187" s="53">
        <v>1</v>
      </c>
      <c r="BC187" s="83">
        <v>46202</v>
      </c>
      <c r="BD187" s="53"/>
      <c r="BE187" s="53"/>
    </row>
    <row r="188" spans="3:57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3"/>
        <v>1</v>
      </c>
      <c r="M188" s="26">
        <f t="shared" si="14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67">
        <f>SUMIFS([1]Up!$J:$J,[1]Up!$D:$D,D188)</f>
        <v>0</v>
      </c>
      <c r="AU188" s="82"/>
      <c r="AV188" s="82" t="str">
        <f t="shared" si="15"/>
        <v>PL15</v>
      </c>
      <c r="AW188" s="53" t="str">
        <f t="shared" si="16"/>
        <v/>
      </c>
      <c r="AX188" s="53" t="s">
        <v>148</v>
      </c>
      <c r="AY188" s="84" t="s">
        <v>200</v>
      </c>
      <c r="AZ188" s="53"/>
      <c r="BA188" s="53" t="s">
        <v>201</v>
      </c>
      <c r="BB188" s="53">
        <v>1</v>
      </c>
      <c r="BC188" s="83">
        <v>46201</v>
      </c>
      <c r="BD188" s="53"/>
      <c r="BE188" s="53"/>
    </row>
    <row r="189" spans="3:57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3"/>
        <v>1</v>
      </c>
      <c r="M189" s="26">
        <f t="shared" si="14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67">
        <f>SUMIFS([1]Up!$J:$J,[1]Up!$D:$D,D189)</f>
        <v>0</v>
      </c>
      <c r="AU189" s="82"/>
      <c r="AV189" s="82" t="str">
        <f t="shared" si="15"/>
        <v>PL10</v>
      </c>
      <c r="AW189" s="53" t="str">
        <f t="shared" si="16"/>
        <v/>
      </c>
      <c r="AX189" s="53" t="s">
        <v>148</v>
      </c>
      <c r="AY189" s="84" t="s">
        <v>210</v>
      </c>
      <c r="AZ189" s="53"/>
      <c r="BA189" s="53" t="s">
        <v>211</v>
      </c>
      <c r="BB189" s="53">
        <v>1</v>
      </c>
      <c r="BC189" s="83">
        <v>46201</v>
      </c>
      <c r="BD189" s="53"/>
      <c r="BE189" s="53"/>
    </row>
    <row r="190" spans="3:57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3"/>
        <v>1</v>
      </c>
      <c r="M190" s="26">
        <f t="shared" si="14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67">
        <f>SUMIFS([1]Up!$J:$J,[1]Up!$D:$D,D190)</f>
        <v>0</v>
      </c>
      <c r="AU190" s="82"/>
      <c r="AV190" s="82" t="str">
        <f t="shared" si="15"/>
        <v>PL15</v>
      </c>
      <c r="AW190" s="53" t="str">
        <f t="shared" si="16"/>
        <v/>
      </c>
      <c r="AX190" s="53" t="s">
        <v>148</v>
      </c>
      <c r="AY190" s="84" t="s">
        <v>200</v>
      </c>
      <c r="AZ190" s="53"/>
      <c r="BA190" s="53" t="s">
        <v>201</v>
      </c>
      <c r="BB190" s="53">
        <v>1</v>
      </c>
      <c r="BC190" s="83">
        <v>46201</v>
      </c>
      <c r="BD190" s="53"/>
      <c r="BE190" s="53"/>
    </row>
    <row r="191" spans="3:57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3"/>
        <v>1</v>
      </c>
      <c r="M191" s="26">
        <f t="shared" si="14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26"/>
      <c r="AS191" s="26"/>
      <c r="AT191" s="67">
        <f>SUMIFS([1]Up!$J:$J,[1]Up!$D:$D,D191)</f>
        <v>0</v>
      </c>
      <c r="AU191" s="82" t="s">
        <v>2077</v>
      </c>
      <c r="AV191" s="82" t="e">
        <f t="shared" si="15"/>
        <v>#VALUE!</v>
      </c>
      <c r="AW191" s="53" t="str">
        <f t="shared" si="16"/>
        <v>Thừa 2</v>
      </c>
      <c r="AX191" s="53" t="s">
        <v>154</v>
      </c>
      <c r="AY191" s="53"/>
      <c r="AZ191" s="53"/>
      <c r="BA191" s="53" t="s">
        <v>57</v>
      </c>
      <c r="BB191" s="53">
        <v>1</v>
      </c>
      <c r="BC191" s="83"/>
      <c r="BD191" s="53"/>
      <c r="BE191" s="53"/>
    </row>
    <row r="192" spans="3:57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3"/>
        <v>0</v>
      </c>
      <c r="M192" s="26">
        <f t="shared" si="14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67">
        <f>SUMIFS([1]Up!$J:$J,[1]Up!$D:$D,D192)</f>
        <v>0</v>
      </c>
      <c r="AU192" s="82"/>
      <c r="AV192" s="82" t="str">
        <f t="shared" si="15"/>
        <v>PL10</v>
      </c>
      <c r="AW192" s="53" t="str">
        <f t="shared" si="16"/>
        <v/>
      </c>
      <c r="AX192" s="53" t="s">
        <v>148</v>
      </c>
      <c r="AY192" s="53"/>
      <c r="AZ192" s="53"/>
      <c r="BA192" s="53"/>
      <c r="BB192" s="53"/>
      <c r="BC192" s="83"/>
      <c r="BD192" s="53"/>
      <c r="BE192" s="53"/>
    </row>
    <row r="193" spans="3:57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3"/>
        <v>0</v>
      </c>
      <c r="M193" s="26">
        <f t="shared" si="14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67">
        <f>SUMIFS([1]Up!$J:$J,[1]Up!$D:$D,D193)</f>
        <v>0</v>
      </c>
      <c r="AU193" s="82"/>
      <c r="AV193" s="82" t="e">
        <f t="shared" si="15"/>
        <v>#VALUE!</v>
      </c>
      <c r="AW193" s="53" t="str">
        <f t="shared" si="16"/>
        <v/>
      </c>
      <c r="AX193" s="53" t="s">
        <v>154</v>
      </c>
      <c r="AY193" s="53"/>
      <c r="AZ193" s="53"/>
      <c r="BA193" s="53"/>
      <c r="BB193" s="53"/>
      <c r="BC193" s="83"/>
      <c r="BD193" s="53"/>
      <c r="BE193" s="53"/>
    </row>
    <row r="194" spans="3:57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3"/>
        <v>0</v>
      </c>
      <c r="M194" s="26">
        <f t="shared" si="14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67">
        <f>SUMIFS([1]Up!$J:$J,[1]Up!$D:$D,D194)</f>
        <v>0</v>
      </c>
      <c r="AU194" s="82"/>
      <c r="AV194" s="82" t="str">
        <f t="shared" si="15"/>
        <v>PL15</v>
      </c>
      <c r="AW194" s="53" t="str">
        <f t="shared" si="16"/>
        <v/>
      </c>
      <c r="AX194" s="53" t="s">
        <v>148</v>
      </c>
      <c r="AY194" s="53"/>
      <c r="AZ194" s="53"/>
      <c r="BA194" s="53"/>
      <c r="BB194" s="53"/>
      <c r="BC194" s="83"/>
      <c r="BD194" s="53"/>
      <c r="BE194" s="53"/>
    </row>
    <row r="195" spans="3:57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3"/>
        <v>0</v>
      </c>
      <c r="M195" s="26">
        <f t="shared" si="14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67">
        <f>SUMIFS([1]Up!$J:$J,[1]Up!$D:$D,D195)</f>
        <v>0</v>
      </c>
      <c r="AU195" s="82"/>
      <c r="AV195" s="82" t="str">
        <f t="shared" si="15"/>
        <v>PL15</v>
      </c>
      <c r="AW195" s="53" t="str">
        <f t="shared" si="16"/>
        <v/>
      </c>
      <c r="AX195" s="53" t="s">
        <v>148</v>
      </c>
      <c r="AY195" s="53"/>
      <c r="AZ195" s="53"/>
      <c r="BA195" s="53"/>
      <c r="BB195" s="53"/>
      <c r="BC195" s="83"/>
      <c r="BD195" s="53"/>
      <c r="BE195" s="53"/>
    </row>
    <row r="196" spans="3:57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3"/>
        <v>0</v>
      </c>
      <c r="M196" s="26">
        <f t="shared" si="14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67">
        <f>SUMIFS([1]Up!$J:$J,[1]Up!$D:$D,D196)</f>
        <v>0</v>
      </c>
      <c r="AU196" s="82"/>
      <c r="AV196" s="82" t="str">
        <f t="shared" si="15"/>
        <v>PL15</v>
      </c>
      <c r="AW196" s="53" t="str">
        <f t="shared" si="16"/>
        <v/>
      </c>
      <c r="AX196" s="53" t="s">
        <v>148</v>
      </c>
      <c r="AY196" s="53"/>
      <c r="AZ196" s="53"/>
      <c r="BA196" s="53"/>
      <c r="BB196" s="53"/>
      <c r="BC196" s="83"/>
      <c r="BD196" s="53"/>
      <c r="BE196" s="53"/>
    </row>
    <row r="197" spans="3:57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3"/>
        <v>0</v>
      </c>
      <c r="M197" s="26">
        <f t="shared" si="14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67">
        <f>SUMIFS([1]Up!$J:$J,[1]Up!$D:$D,D197)</f>
        <v>0</v>
      </c>
      <c r="AU197" s="82"/>
      <c r="AV197" s="82" t="e">
        <f t="shared" si="15"/>
        <v>#VALUE!</v>
      </c>
      <c r="AW197" s="53" t="str">
        <f t="shared" si="16"/>
        <v/>
      </c>
      <c r="AX197" s="53" t="s">
        <v>148</v>
      </c>
      <c r="AY197" s="53"/>
      <c r="AZ197" s="53"/>
      <c r="BA197" s="53"/>
      <c r="BB197" s="53"/>
      <c r="BC197" s="83"/>
      <c r="BD197" s="53"/>
      <c r="BE197" s="53"/>
    </row>
    <row r="198" spans="3:57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3"/>
        <v>0</v>
      </c>
      <c r="M198" s="26">
        <f t="shared" si="14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67">
        <f>SUMIFS([1]Up!$J:$J,[1]Up!$D:$D,D198)</f>
        <v>0</v>
      </c>
      <c r="AU198" s="82"/>
      <c r="AV198" s="82" t="str">
        <f t="shared" si="15"/>
        <v>PL10</v>
      </c>
      <c r="AW198" s="53" t="str">
        <f t="shared" si="16"/>
        <v/>
      </c>
      <c r="AX198" s="53" t="s">
        <v>148</v>
      </c>
      <c r="AY198" s="53"/>
      <c r="AZ198" s="53"/>
      <c r="BA198" s="53"/>
      <c r="BB198" s="53"/>
      <c r="BC198" s="83"/>
      <c r="BD198" s="53"/>
      <c r="BE198" s="53"/>
    </row>
    <row r="199" spans="3:57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3"/>
        <v>0</v>
      </c>
      <c r="M199" s="26">
        <f t="shared" si="14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67">
        <f>SUMIFS([1]Up!$J:$J,[1]Up!$D:$D,D199)</f>
        <v>0</v>
      </c>
      <c r="AU199" s="82"/>
      <c r="AV199" s="82" t="str">
        <f t="shared" si="15"/>
        <v>PL10</v>
      </c>
      <c r="AW199" s="53" t="str">
        <f t="shared" si="16"/>
        <v/>
      </c>
      <c r="AX199" s="53" t="s">
        <v>148</v>
      </c>
      <c r="AY199" s="53"/>
      <c r="AZ199" s="53"/>
      <c r="BA199" s="53"/>
      <c r="BB199" s="53"/>
      <c r="BC199" s="83"/>
      <c r="BD199" s="53"/>
      <c r="BE199" s="53"/>
    </row>
    <row r="200" spans="3:57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3"/>
        <v>0</v>
      </c>
      <c r="M200" s="26">
        <f t="shared" si="14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67">
        <f>SUMIFS([1]Up!$J:$J,[1]Up!$D:$D,D200)</f>
        <v>0</v>
      </c>
      <c r="AU200" s="82"/>
      <c r="AV200" s="82" t="str">
        <f t="shared" si="15"/>
        <v>PL12</v>
      </c>
      <c r="AW200" s="53" t="str">
        <f t="shared" si="16"/>
        <v/>
      </c>
      <c r="AX200" s="53" t="s">
        <v>148</v>
      </c>
      <c r="AY200" s="53"/>
      <c r="AZ200" s="53"/>
      <c r="BA200" s="53"/>
      <c r="BB200" s="53"/>
      <c r="BC200" s="83"/>
      <c r="BD200" s="53"/>
      <c r="BE200" s="53"/>
    </row>
    <row r="201" spans="3:57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3"/>
        <v>0</v>
      </c>
      <c r="M201" s="26">
        <f t="shared" si="14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67">
        <f>SUMIFS([1]Up!$J:$J,[1]Up!$D:$D,D201)</f>
        <v>0</v>
      </c>
      <c r="AU201" s="82"/>
      <c r="AV201" s="82" t="str">
        <f t="shared" si="15"/>
        <v>PL12</v>
      </c>
      <c r="AW201" s="53" t="str">
        <f t="shared" si="16"/>
        <v/>
      </c>
      <c r="AX201" s="53" t="s">
        <v>148</v>
      </c>
      <c r="AY201" s="53"/>
      <c r="AZ201" s="53"/>
      <c r="BA201" s="53"/>
      <c r="BB201" s="53"/>
      <c r="BC201" s="83"/>
      <c r="BD201" s="53"/>
      <c r="BE201" s="53"/>
    </row>
    <row r="202" spans="3:57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3"/>
        <v>1</v>
      </c>
      <c r="M202" s="26">
        <f t="shared" si="14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26"/>
      <c r="AS202" s="26"/>
      <c r="AT202" s="67">
        <f>SUMIFS([1]Up!$J:$J,[1]Up!$D:$D,D202)</f>
        <v>0</v>
      </c>
      <c r="AU202" s="82"/>
      <c r="AV202" s="82" t="str">
        <f t="shared" si="15"/>
        <v>PL20</v>
      </c>
      <c r="AW202" s="53" t="str">
        <f t="shared" si="16"/>
        <v/>
      </c>
      <c r="AX202" s="53" t="s">
        <v>148</v>
      </c>
      <c r="AY202" s="53"/>
      <c r="AZ202" s="53"/>
      <c r="BA202" s="53"/>
      <c r="BB202" s="53"/>
      <c r="BC202" s="83"/>
      <c r="BD202" s="53"/>
      <c r="BE202" s="53"/>
    </row>
    <row r="203" spans="3:57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3"/>
        <v>0</v>
      </c>
      <c r="M203" s="26">
        <f t="shared" si="14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67">
        <f>SUMIFS([1]Up!$J:$J,[1]Up!$D:$D,D203)</f>
        <v>0</v>
      </c>
      <c r="AU203" s="82"/>
      <c r="AV203" s="82" t="str">
        <f t="shared" si="15"/>
        <v>PL20</v>
      </c>
      <c r="AW203" s="53" t="str">
        <f t="shared" si="16"/>
        <v/>
      </c>
      <c r="AX203" s="53" t="s">
        <v>148</v>
      </c>
      <c r="AY203" s="53"/>
      <c r="AZ203" s="53"/>
      <c r="BA203" s="53"/>
      <c r="BB203" s="53"/>
      <c r="BC203" s="83"/>
      <c r="BD203" s="53"/>
      <c r="BE203" s="53"/>
    </row>
    <row r="204" spans="3:57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3"/>
        <v>0</v>
      </c>
      <c r="M204" s="26">
        <f t="shared" si="14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67">
        <f>SUMIFS([1]Up!$J:$J,[1]Up!$D:$D,D204)</f>
        <v>0</v>
      </c>
      <c r="AU204" s="82"/>
      <c r="AV204" s="82" t="str">
        <f t="shared" si="15"/>
        <v>PL15</v>
      </c>
      <c r="AW204" s="53" t="str">
        <f t="shared" si="16"/>
        <v/>
      </c>
      <c r="AX204" s="53" t="s">
        <v>148</v>
      </c>
      <c r="AY204" s="53"/>
      <c r="AZ204" s="53"/>
      <c r="BA204" s="53"/>
      <c r="BB204" s="53"/>
      <c r="BC204" s="83"/>
      <c r="BD204" s="53"/>
      <c r="BE204" s="53"/>
    </row>
    <row r="205" spans="3:57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3"/>
        <v>0</v>
      </c>
      <c r="M205" s="26">
        <f t="shared" si="14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67">
        <f>SUMIFS([1]Up!$J:$J,[1]Up!$D:$D,D205)</f>
        <v>0</v>
      </c>
      <c r="AU205" s="82"/>
      <c r="AV205" s="82" t="str">
        <f t="shared" si="15"/>
        <v>PL10</v>
      </c>
      <c r="AW205" s="53" t="str">
        <f t="shared" si="16"/>
        <v/>
      </c>
      <c r="AX205" s="53" t="s">
        <v>148</v>
      </c>
      <c r="AY205" s="53"/>
      <c r="AZ205" s="53"/>
      <c r="BA205" s="53"/>
      <c r="BB205" s="53"/>
      <c r="BC205" s="83"/>
      <c r="BD205" s="53"/>
      <c r="BE205" s="53"/>
    </row>
    <row r="206" spans="3:57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3"/>
        <v>0</v>
      </c>
      <c r="M206" s="26">
        <f t="shared" si="14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67">
        <f>SUMIFS([1]Up!$J:$J,[1]Up!$D:$D,D206)</f>
        <v>0</v>
      </c>
      <c r="AU206" s="82"/>
      <c r="AV206" s="82" t="str">
        <f t="shared" si="15"/>
        <v>PL10</v>
      </c>
      <c r="AW206" s="53" t="str">
        <f t="shared" si="16"/>
        <v/>
      </c>
      <c r="AX206" s="53" t="s">
        <v>148</v>
      </c>
      <c r="AY206" s="53"/>
      <c r="AZ206" s="53"/>
      <c r="BA206" s="53"/>
      <c r="BB206" s="53"/>
      <c r="BC206" s="83"/>
      <c r="BD206" s="53"/>
      <c r="BE206" s="53"/>
    </row>
    <row r="207" spans="3:57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3"/>
        <v>0</v>
      </c>
      <c r="M207" s="26">
        <f t="shared" si="14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67">
        <f>SUMIFS([1]Up!$J:$J,[1]Up!$D:$D,D207)</f>
        <v>0</v>
      </c>
      <c r="AU207" s="82"/>
      <c r="AV207" s="82" t="str">
        <f t="shared" si="15"/>
        <v>PL10</v>
      </c>
      <c r="AW207" s="53" t="str">
        <f t="shared" si="16"/>
        <v/>
      </c>
      <c r="AX207" s="53" t="s">
        <v>148</v>
      </c>
      <c r="AY207" s="53"/>
      <c r="AZ207" s="53"/>
      <c r="BA207" s="53"/>
      <c r="BB207" s="53"/>
      <c r="BC207" s="83"/>
      <c r="BD207" s="53"/>
      <c r="BE207" s="53"/>
    </row>
    <row r="208" spans="3:57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3"/>
        <v>0</v>
      </c>
      <c r="M208" s="26">
        <f t="shared" si="14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67">
        <f>SUMIFS([1]Up!$J:$J,[1]Up!$D:$D,D208)</f>
        <v>0</v>
      </c>
      <c r="AU208" s="82"/>
      <c r="AV208" s="82" t="e">
        <f t="shared" si="15"/>
        <v>#VALUE!</v>
      </c>
      <c r="AW208" s="53" t="str">
        <f t="shared" si="16"/>
        <v/>
      </c>
      <c r="AX208" s="53" t="s">
        <v>148</v>
      </c>
      <c r="AY208" s="53"/>
      <c r="AZ208" s="53"/>
      <c r="BA208" s="53"/>
      <c r="BB208" s="53"/>
      <c r="BC208" s="83"/>
      <c r="BD208" s="53"/>
      <c r="BE208" s="53"/>
    </row>
    <row r="209" spans="3:57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3"/>
        <v>0</v>
      </c>
      <c r="M209" s="26">
        <f t="shared" si="14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67">
        <f>SUMIFS([1]Up!$J:$J,[1]Up!$D:$D,D209)</f>
        <v>0</v>
      </c>
      <c r="AU209" s="82"/>
      <c r="AV209" s="82" t="str">
        <f t="shared" si="15"/>
        <v>PL12</v>
      </c>
      <c r="AW209" s="53" t="str">
        <f t="shared" si="16"/>
        <v/>
      </c>
      <c r="AX209" s="53" t="s">
        <v>148</v>
      </c>
      <c r="AY209" s="53"/>
      <c r="AZ209" s="53"/>
      <c r="BA209" s="53"/>
      <c r="BB209" s="53"/>
      <c r="BC209" s="83"/>
      <c r="BD209" s="53"/>
      <c r="BE209" s="53"/>
    </row>
    <row r="210" spans="3:57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3"/>
        <v>0</v>
      </c>
      <c r="M210" s="26">
        <f t="shared" si="14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67">
        <f>SUMIFS([1]Up!$J:$J,[1]Up!$D:$D,D210)</f>
        <v>0</v>
      </c>
      <c r="AU210" s="82"/>
      <c r="AV210" s="82" t="str">
        <f t="shared" si="15"/>
        <v>PL20</v>
      </c>
      <c r="AW210" s="53" t="str">
        <f t="shared" si="16"/>
        <v/>
      </c>
      <c r="AX210" s="53" t="s">
        <v>148</v>
      </c>
      <c r="AY210" s="53"/>
      <c r="AZ210" s="53"/>
      <c r="BA210" s="53"/>
      <c r="BB210" s="53"/>
      <c r="BC210" s="83"/>
      <c r="BD210" s="53"/>
      <c r="BE210" s="53"/>
    </row>
    <row r="211" spans="3:57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3"/>
        <v>0</v>
      </c>
      <c r="M211" s="26">
        <f t="shared" si="14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67">
        <f>SUMIFS([1]Up!$J:$J,[1]Up!$D:$D,D211)</f>
        <v>0</v>
      </c>
      <c r="AU211" s="82"/>
      <c r="AV211" s="82" t="str">
        <f t="shared" si="15"/>
        <v>PL20</v>
      </c>
      <c r="AW211" s="53" t="str">
        <f t="shared" si="16"/>
        <v/>
      </c>
      <c r="AX211" s="53" t="s">
        <v>148</v>
      </c>
      <c r="AY211" s="53"/>
      <c r="AZ211" s="53"/>
      <c r="BA211" s="53"/>
      <c r="BB211" s="53"/>
      <c r="BC211" s="83"/>
      <c r="BD211" s="53"/>
      <c r="BE211" s="53"/>
    </row>
    <row r="212" spans="3:57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3"/>
        <v>0</v>
      </c>
      <c r="M212" s="26">
        <f t="shared" si="14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67">
        <f>SUMIFS([1]Up!$J:$J,[1]Up!$D:$D,D212)</f>
        <v>0</v>
      </c>
      <c r="AU212" s="82"/>
      <c r="AV212" s="82" t="str">
        <f t="shared" si="15"/>
        <v>PL12</v>
      </c>
      <c r="AW212" s="53" t="str">
        <f t="shared" si="16"/>
        <v/>
      </c>
      <c r="AX212" s="53" t="s">
        <v>148</v>
      </c>
      <c r="AY212" s="53"/>
      <c r="AZ212" s="53"/>
      <c r="BA212" s="53"/>
      <c r="BB212" s="53"/>
      <c r="BC212" s="83"/>
      <c r="BD212" s="53"/>
      <c r="BE212" s="53"/>
    </row>
    <row r="213" spans="3:57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3"/>
        <v>0</v>
      </c>
      <c r="M213" s="26">
        <f t="shared" si="14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67">
        <f>SUMIFS([1]Up!$J:$J,[1]Up!$D:$D,D213)</f>
        <v>0</v>
      </c>
      <c r="AU213" s="82"/>
      <c r="AV213" s="82" t="str">
        <f t="shared" si="15"/>
        <v>PL15</v>
      </c>
      <c r="AW213" s="53" t="str">
        <f t="shared" si="16"/>
        <v/>
      </c>
      <c r="AX213" s="53" t="s">
        <v>148</v>
      </c>
      <c r="AY213" s="53"/>
      <c r="AZ213" s="53"/>
      <c r="BA213" s="53"/>
      <c r="BB213" s="53"/>
      <c r="BC213" s="83"/>
      <c r="BD213" s="53"/>
      <c r="BE213" s="53"/>
    </row>
    <row r="214" spans="3:57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3"/>
        <v>0</v>
      </c>
      <c r="M214" s="26">
        <f t="shared" si="14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67">
        <f>SUMIFS([1]Up!$J:$J,[1]Up!$D:$D,D214)</f>
        <v>0</v>
      </c>
      <c r="AU214" s="82"/>
      <c r="AV214" s="82" t="e">
        <f t="shared" si="15"/>
        <v>#VALUE!</v>
      </c>
      <c r="AW214" s="53" t="str">
        <f t="shared" si="16"/>
        <v/>
      </c>
      <c r="AX214" s="53" t="s">
        <v>148</v>
      </c>
      <c r="AY214" s="53"/>
      <c r="AZ214" s="53"/>
      <c r="BA214" s="53"/>
      <c r="BB214" s="53"/>
      <c r="BC214" s="83"/>
      <c r="BD214" s="53"/>
      <c r="BE214" s="53"/>
    </row>
    <row r="215" spans="3:57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3"/>
        <v>0</v>
      </c>
      <c r="M215" s="26">
        <f t="shared" si="14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67">
        <f>SUMIFS([1]Up!$J:$J,[1]Up!$D:$D,D215)</f>
        <v>0</v>
      </c>
      <c r="AU215" s="82"/>
      <c r="AV215" s="82" t="e">
        <f t="shared" si="15"/>
        <v>#VALUE!</v>
      </c>
      <c r="AW215" s="53" t="str">
        <f t="shared" si="16"/>
        <v/>
      </c>
      <c r="AX215" s="53" t="s">
        <v>148</v>
      </c>
      <c r="AY215" s="53"/>
      <c r="AZ215" s="53"/>
      <c r="BA215" s="53"/>
      <c r="BB215" s="53"/>
      <c r="BC215" s="83"/>
      <c r="BD215" s="53"/>
      <c r="BE215" s="53"/>
    </row>
    <row r="216" spans="3:57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3"/>
        <v>0</v>
      </c>
      <c r="M216" s="26">
        <f t="shared" si="14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67">
        <f>SUMIFS([1]Up!$J:$J,[1]Up!$D:$D,D216)</f>
        <v>0</v>
      </c>
      <c r="AU216" s="82"/>
      <c r="AV216" s="82" t="str">
        <f t="shared" si="15"/>
        <v>PL12</v>
      </c>
      <c r="AW216" s="53" t="str">
        <f t="shared" si="16"/>
        <v/>
      </c>
      <c r="AX216" s="53" t="s">
        <v>148</v>
      </c>
      <c r="AY216" s="53"/>
      <c r="AZ216" s="53"/>
      <c r="BA216" s="53"/>
      <c r="BB216" s="53"/>
      <c r="BC216" s="83"/>
      <c r="BD216" s="53"/>
      <c r="BE216" s="53"/>
    </row>
    <row r="217" spans="3:57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3"/>
        <v>0</v>
      </c>
      <c r="M217" s="26">
        <f t="shared" si="14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67">
        <f>SUMIFS([1]Up!$J:$J,[1]Up!$D:$D,D217)</f>
        <v>0</v>
      </c>
      <c r="AU217" s="82"/>
      <c r="AV217" s="82" t="e">
        <f t="shared" si="15"/>
        <v>#VALUE!</v>
      </c>
      <c r="AW217" s="53" t="str">
        <f t="shared" si="16"/>
        <v/>
      </c>
      <c r="AX217" s="53" t="s">
        <v>148</v>
      </c>
      <c r="AY217" s="53"/>
      <c r="AZ217" s="53"/>
      <c r="BA217" s="53"/>
      <c r="BB217" s="53"/>
      <c r="BC217" s="83"/>
      <c r="BD217" s="53"/>
      <c r="BE217" s="53"/>
    </row>
    <row r="218" spans="3:57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3"/>
        <v>0</v>
      </c>
      <c r="M218" s="26">
        <f t="shared" si="14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67">
        <f>SUMIFS([1]Up!$J:$J,[1]Up!$D:$D,D218)</f>
        <v>0</v>
      </c>
      <c r="AU218" s="82"/>
      <c r="AV218" s="82" t="str">
        <f t="shared" si="15"/>
        <v>PL12</v>
      </c>
      <c r="AW218" s="53" t="str">
        <f t="shared" si="16"/>
        <v/>
      </c>
      <c r="AX218" s="53" t="s">
        <v>148</v>
      </c>
      <c r="AY218" s="53"/>
      <c r="AZ218" s="53"/>
      <c r="BA218" s="53"/>
      <c r="BB218" s="53"/>
      <c r="BC218" s="83"/>
      <c r="BD218" s="53"/>
      <c r="BE218" s="53"/>
    </row>
    <row r="219" spans="3:57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3"/>
        <v>0</v>
      </c>
      <c r="M219" s="26">
        <f t="shared" si="14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67">
        <f>SUMIFS([1]Up!$J:$J,[1]Up!$D:$D,D219)</f>
        <v>0</v>
      </c>
      <c r="AU219" s="82"/>
      <c r="AV219" s="82" t="str">
        <f t="shared" si="15"/>
        <v>PL12</v>
      </c>
      <c r="AW219" s="53" t="str">
        <f t="shared" si="16"/>
        <v/>
      </c>
      <c r="AX219" s="53" t="s">
        <v>148</v>
      </c>
      <c r="AY219" s="53"/>
      <c r="AZ219" s="53"/>
      <c r="BA219" s="53"/>
      <c r="BB219" s="53"/>
      <c r="BC219" s="83"/>
      <c r="BD219" s="53"/>
      <c r="BE219" s="53"/>
    </row>
    <row r="220" spans="3:57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3"/>
        <v>0</v>
      </c>
      <c r="M220" s="26">
        <f t="shared" si="14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67">
        <f>SUMIFS([1]Up!$J:$J,[1]Up!$D:$D,D220)</f>
        <v>0</v>
      </c>
      <c r="AU220" s="82"/>
      <c r="AV220" s="82" t="str">
        <f t="shared" si="15"/>
        <v>PL12</v>
      </c>
      <c r="AW220" s="53" t="str">
        <f t="shared" si="16"/>
        <v/>
      </c>
      <c r="AX220" s="53" t="s">
        <v>148</v>
      </c>
      <c r="AY220" s="53"/>
      <c r="AZ220" s="53"/>
      <c r="BA220" s="53"/>
      <c r="BB220" s="53"/>
      <c r="BC220" s="83"/>
      <c r="BD220" s="53"/>
      <c r="BE220" s="53"/>
    </row>
    <row r="221" spans="3:57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3"/>
        <v>0</v>
      </c>
      <c r="M221" s="26">
        <f t="shared" si="14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67">
        <f>SUMIFS([1]Up!$J:$J,[1]Up!$D:$D,D221)</f>
        <v>0</v>
      </c>
      <c r="AU221" s="82"/>
      <c r="AV221" s="82" t="str">
        <f t="shared" si="15"/>
        <v>PL12</v>
      </c>
      <c r="AW221" s="53" t="str">
        <f t="shared" si="16"/>
        <v/>
      </c>
      <c r="AX221" s="53" t="s">
        <v>148</v>
      </c>
      <c r="AY221" s="53"/>
      <c r="AZ221" s="53"/>
      <c r="BA221" s="53"/>
      <c r="BB221" s="53"/>
      <c r="BC221" s="83"/>
      <c r="BD221" s="53"/>
      <c r="BE221" s="53"/>
    </row>
    <row r="222" spans="3:57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3"/>
        <v>0</v>
      </c>
      <c r="M222" s="26">
        <f t="shared" si="14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67">
        <f>SUMIFS([1]Up!$J:$J,[1]Up!$D:$D,D222)</f>
        <v>0</v>
      </c>
      <c r="AU222" s="82"/>
      <c r="AV222" s="82" t="str">
        <f t="shared" si="15"/>
        <v>PL20</v>
      </c>
      <c r="AW222" s="53" t="str">
        <f t="shared" si="16"/>
        <v/>
      </c>
      <c r="AX222" s="53" t="s">
        <v>148</v>
      </c>
      <c r="AY222" s="53"/>
      <c r="AZ222" s="53"/>
      <c r="BA222" s="53"/>
      <c r="BB222" s="53"/>
      <c r="BC222" s="83"/>
      <c r="BD222" s="53"/>
      <c r="BE222" s="53"/>
    </row>
    <row r="223" spans="3:57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3"/>
        <v>0</v>
      </c>
      <c r="M223" s="26">
        <f t="shared" si="14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67">
        <f>SUMIFS([1]Up!$J:$J,[1]Up!$D:$D,D223)</f>
        <v>0</v>
      </c>
      <c r="AU223" s="82"/>
      <c r="AV223" s="82" t="str">
        <f t="shared" si="15"/>
        <v>PL20</v>
      </c>
      <c r="AW223" s="53" t="str">
        <f t="shared" si="16"/>
        <v/>
      </c>
      <c r="AX223" s="53" t="s">
        <v>148</v>
      </c>
      <c r="AY223" s="53"/>
      <c r="AZ223" s="53"/>
      <c r="BA223" s="53"/>
      <c r="BB223" s="53"/>
      <c r="BC223" s="83"/>
      <c r="BD223" s="53"/>
      <c r="BE223" s="53"/>
    </row>
    <row r="224" spans="3:57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3"/>
        <v>0</v>
      </c>
      <c r="M224" s="26">
        <f t="shared" si="14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67">
        <f>SUMIFS([1]Up!$J:$J,[1]Up!$D:$D,D224)</f>
        <v>0</v>
      </c>
      <c r="AU224" s="82"/>
      <c r="AV224" s="82" t="str">
        <f t="shared" si="15"/>
        <v>PL12</v>
      </c>
      <c r="AW224" s="53" t="str">
        <f t="shared" si="16"/>
        <v/>
      </c>
      <c r="AX224" s="53" t="s">
        <v>148</v>
      </c>
      <c r="AY224" s="53"/>
      <c r="AZ224" s="53"/>
      <c r="BA224" s="53"/>
      <c r="BB224" s="53"/>
      <c r="BC224" s="83"/>
      <c r="BD224" s="53"/>
      <c r="BE224" s="53"/>
    </row>
    <row r="225" spans="3:57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3"/>
        <v>0</v>
      </c>
      <c r="M225" s="26">
        <f t="shared" si="14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67">
        <f>SUMIFS([1]Up!$J:$J,[1]Up!$D:$D,D225)</f>
        <v>0</v>
      </c>
      <c r="AU225" s="82"/>
      <c r="AV225" s="82" t="str">
        <f t="shared" si="15"/>
        <v>PL12</v>
      </c>
      <c r="AW225" s="53" t="str">
        <f t="shared" si="16"/>
        <v/>
      </c>
      <c r="AX225" s="53" t="s">
        <v>148</v>
      </c>
      <c r="AY225" s="53"/>
      <c r="AZ225" s="53"/>
      <c r="BA225" s="53"/>
      <c r="BB225" s="53"/>
      <c r="BC225" s="83"/>
      <c r="BD225" s="53"/>
      <c r="BE225" s="53"/>
    </row>
    <row r="226" spans="3:57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3"/>
        <v>0</v>
      </c>
      <c r="M226" s="26">
        <f t="shared" si="14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67">
        <f>SUMIFS([1]Up!$J:$J,[1]Up!$D:$D,D226)</f>
        <v>0</v>
      </c>
      <c r="AU226" s="82"/>
      <c r="AV226" s="82" t="str">
        <f t="shared" si="15"/>
        <v>PL12</v>
      </c>
      <c r="AW226" s="53" t="str">
        <f t="shared" si="16"/>
        <v/>
      </c>
      <c r="AX226" s="53" t="s">
        <v>148</v>
      </c>
      <c r="AY226" s="53"/>
      <c r="AZ226" s="53"/>
      <c r="BA226" s="53"/>
      <c r="BB226" s="53"/>
      <c r="BC226" s="83"/>
      <c r="BD226" s="53"/>
      <c r="BE226" s="53"/>
    </row>
    <row r="227" spans="3:57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3"/>
        <v>0</v>
      </c>
      <c r="M227" s="26">
        <f t="shared" si="14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67">
        <f>SUMIFS([1]Up!$J:$J,[1]Up!$D:$D,D227)</f>
        <v>0</v>
      </c>
      <c r="AU227" s="82"/>
      <c r="AV227" s="82" t="str">
        <f t="shared" si="15"/>
        <v>PL12</v>
      </c>
      <c r="AW227" s="53" t="str">
        <f t="shared" si="16"/>
        <v/>
      </c>
      <c r="AX227" s="53" t="s">
        <v>148</v>
      </c>
      <c r="AY227" s="53"/>
      <c r="AZ227" s="53"/>
      <c r="BA227" s="53"/>
      <c r="BB227" s="53"/>
      <c r="BC227" s="83"/>
      <c r="BD227" s="53"/>
      <c r="BE227" s="53"/>
    </row>
    <row r="228" spans="3:57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3"/>
        <v>0</v>
      </c>
      <c r="M228" s="26">
        <f t="shared" si="14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67">
        <f>SUMIFS([1]Up!$J:$J,[1]Up!$D:$D,D228)</f>
        <v>0</v>
      </c>
      <c r="AU228" s="82"/>
      <c r="AV228" s="82" t="str">
        <f t="shared" si="15"/>
        <v>PL12</v>
      </c>
      <c r="AW228" s="53" t="str">
        <f t="shared" si="16"/>
        <v/>
      </c>
      <c r="AX228" s="53" t="s">
        <v>148</v>
      </c>
      <c r="AY228" s="53"/>
      <c r="AZ228" s="53"/>
      <c r="BA228" s="53"/>
      <c r="BB228" s="53"/>
      <c r="BC228" s="83"/>
      <c r="BD228" s="53"/>
      <c r="BE228" s="53"/>
    </row>
    <row r="229" spans="3:57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3"/>
        <v>0</v>
      </c>
      <c r="M229" s="26">
        <f t="shared" si="14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67">
        <f>SUMIFS([1]Up!$J:$J,[1]Up!$D:$D,D229)</f>
        <v>0</v>
      </c>
      <c r="AU229" s="82"/>
      <c r="AV229" s="82" t="str">
        <f t="shared" si="15"/>
        <v>PL12</v>
      </c>
      <c r="AW229" s="53" t="str">
        <f t="shared" si="16"/>
        <v/>
      </c>
      <c r="AX229" s="53" t="s">
        <v>148</v>
      </c>
      <c r="AY229" s="53"/>
      <c r="AZ229" s="53"/>
      <c r="BA229" s="53"/>
      <c r="BB229" s="53"/>
      <c r="BC229" s="83"/>
      <c r="BD229" s="53"/>
      <c r="BE229" s="53"/>
    </row>
    <row r="230" spans="3:57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3"/>
        <v>0</v>
      </c>
      <c r="M230" s="26">
        <f t="shared" si="14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67">
        <f>SUMIFS([1]Up!$J:$J,[1]Up!$D:$D,D230)</f>
        <v>0</v>
      </c>
      <c r="AU230" s="82"/>
      <c r="AV230" s="82" t="str">
        <f t="shared" si="15"/>
        <v>PL12</v>
      </c>
      <c r="AW230" s="53" t="str">
        <f t="shared" si="16"/>
        <v/>
      </c>
      <c r="AX230" s="53" t="s">
        <v>154</v>
      </c>
      <c r="AY230" s="53"/>
      <c r="AZ230" s="53"/>
      <c r="BA230" s="53"/>
      <c r="BB230" s="53"/>
      <c r="BC230" s="83"/>
      <c r="BD230" s="53"/>
      <c r="BE230" s="53"/>
    </row>
    <row r="231" spans="3:57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3"/>
        <v>0</v>
      </c>
      <c r="M231" s="26">
        <f t="shared" si="14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67">
        <f>SUMIFS([1]Up!$J:$J,[1]Up!$D:$D,D231)</f>
        <v>0</v>
      </c>
      <c r="AU231" s="82"/>
      <c r="AV231" s="82" t="str">
        <f t="shared" si="15"/>
        <v>PL12</v>
      </c>
      <c r="AW231" s="53" t="str">
        <f t="shared" si="16"/>
        <v/>
      </c>
      <c r="AX231" s="53" t="s">
        <v>154</v>
      </c>
      <c r="AY231" s="53"/>
      <c r="AZ231" s="53"/>
      <c r="BA231" s="53"/>
      <c r="BB231" s="53"/>
      <c r="BC231" s="83"/>
      <c r="BD231" s="53"/>
      <c r="BE231" s="53"/>
    </row>
    <row r="232" spans="3:57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3"/>
        <v>0</v>
      </c>
      <c r="M232" s="26">
        <f t="shared" si="14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67">
        <f>SUMIFS([1]Up!$J:$J,[1]Up!$D:$D,D232)</f>
        <v>0</v>
      </c>
      <c r="AU232" s="82"/>
      <c r="AV232" s="82" t="str">
        <f t="shared" si="15"/>
        <v>PL30</v>
      </c>
      <c r="AW232" s="53" t="str">
        <f t="shared" si="16"/>
        <v/>
      </c>
      <c r="AX232" s="53" t="s">
        <v>148</v>
      </c>
      <c r="AY232" s="53"/>
      <c r="AZ232" s="53"/>
      <c r="BA232" s="53"/>
      <c r="BB232" s="53"/>
      <c r="BC232" s="83"/>
      <c r="BD232" s="53"/>
      <c r="BE232" s="53"/>
    </row>
    <row r="233" spans="3:57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3"/>
        <v>0</v>
      </c>
      <c r="M233" s="26">
        <f t="shared" si="14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67">
        <f>SUMIFS([1]Up!$J:$J,[1]Up!$D:$D,D233)</f>
        <v>0</v>
      </c>
      <c r="AU233" s="82"/>
      <c r="AV233" s="82" t="str">
        <f t="shared" si="15"/>
        <v>PL20</v>
      </c>
      <c r="AW233" s="53" t="str">
        <f t="shared" si="16"/>
        <v/>
      </c>
      <c r="AX233" s="53" t="s">
        <v>148</v>
      </c>
      <c r="AY233" s="53"/>
      <c r="AZ233" s="53"/>
      <c r="BA233" s="53"/>
      <c r="BB233" s="53"/>
      <c r="BC233" s="83"/>
      <c r="BD233" s="53"/>
      <c r="BE233" s="53"/>
    </row>
    <row r="234" spans="3:57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3"/>
        <v>0</v>
      </c>
      <c r="M234" s="26">
        <f t="shared" si="14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67">
        <f>SUMIFS([1]Up!$J:$J,[1]Up!$D:$D,D234)</f>
        <v>0</v>
      </c>
      <c r="AU234" s="82"/>
      <c r="AV234" s="82" t="str">
        <f t="shared" si="15"/>
        <v>PL3</v>
      </c>
      <c r="AW234" s="53" t="str">
        <f t="shared" si="16"/>
        <v/>
      </c>
      <c r="AX234" s="53" t="s">
        <v>148</v>
      </c>
      <c r="AY234" s="53"/>
      <c r="AZ234" s="53"/>
      <c r="BA234" s="53"/>
      <c r="BB234" s="53"/>
      <c r="BC234" s="83"/>
      <c r="BD234" s="53"/>
      <c r="BE234" s="53"/>
    </row>
    <row r="235" spans="3:57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3"/>
        <v>0</v>
      </c>
      <c r="M235" s="26">
        <f t="shared" si="14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67">
        <f>SUMIFS([1]Up!$J:$J,[1]Up!$D:$D,D235)</f>
        <v>0</v>
      </c>
      <c r="AU235" s="82"/>
      <c r="AV235" s="82" t="str">
        <f t="shared" si="15"/>
        <v>PL20</v>
      </c>
      <c r="AW235" s="53" t="str">
        <f t="shared" si="16"/>
        <v/>
      </c>
      <c r="AX235" s="53" t="s">
        <v>148</v>
      </c>
      <c r="AY235" s="53"/>
      <c r="AZ235" s="53"/>
      <c r="BA235" s="53"/>
      <c r="BB235" s="53"/>
      <c r="BC235" s="83"/>
      <c r="BD235" s="53"/>
      <c r="BE235" s="53"/>
    </row>
    <row r="236" spans="3:57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3"/>
        <v>0</v>
      </c>
      <c r="M236" s="26">
        <f t="shared" si="14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67">
        <f>SUMIFS([1]Up!$J:$J,[1]Up!$D:$D,D236)</f>
        <v>0</v>
      </c>
      <c r="AU236" s="82"/>
      <c r="AV236" s="82" t="str">
        <f t="shared" si="15"/>
        <v>PL20</v>
      </c>
      <c r="AW236" s="53" t="str">
        <f t="shared" si="16"/>
        <v/>
      </c>
      <c r="AX236" s="53" t="s">
        <v>148</v>
      </c>
      <c r="AY236" s="53"/>
      <c r="AZ236" s="53"/>
      <c r="BA236" s="53"/>
      <c r="BB236" s="53"/>
      <c r="BC236" s="83"/>
      <c r="BD236" s="53"/>
      <c r="BE236" s="53"/>
    </row>
    <row r="237" spans="3:57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3"/>
        <v>0</v>
      </c>
      <c r="M237" s="26">
        <f t="shared" si="14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67">
        <f>SUMIFS([1]Up!$J:$J,[1]Up!$D:$D,D237)</f>
        <v>0</v>
      </c>
      <c r="AU237" s="82"/>
      <c r="AV237" s="82" t="str">
        <f t="shared" si="15"/>
        <v>PL20</v>
      </c>
      <c r="AW237" s="53" t="str">
        <f t="shared" si="16"/>
        <v/>
      </c>
      <c r="AX237" s="53" t="s">
        <v>148</v>
      </c>
      <c r="AY237" s="53"/>
      <c r="AZ237" s="53"/>
      <c r="BA237" s="53"/>
      <c r="BB237" s="53"/>
      <c r="BC237" s="83"/>
      <c r="BD237" s="53"/>
      <c r="BE237" s="53"/>
    </row>
    <row r="238" spans="3:57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3"/>
        <v>0</v>
      </c>
      <c r="M238" s="26">
        <f t="shared" si="14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67">
        <f>SUMIFS([1]Up!$J:$J,[1]Up!$D:$D,D238)</f>
        <v>0</v>
      </c>
      <c r="AU238" s="82"/>
      <c r="AV238" s="82" t="str">
        <f t="shared" si="15"/>
        <v>PL20</v>
      </c>
      <c r="AW238" s="53" t="str">
        <f t="shared" si="16"/>
        <v/>
      </c>
      <c r="AX238" s="53" t="s">
        <v>148</v>
      </c>
      <c r="AY238" s="53"/>
      <c r="AZ238" s="53"/>
      <c r="BA238" s="53"/>
      <c r="BB238" s="53"/>
      <c r="BC238" s="83"/>
      <c r="BD238" s="53"/>
      <c r="BE238" s="53"/>
    </row>
    <row r="239" spans="3:57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3"/>
        <v>0</v>
      </c>
      <c r="M239" s="26">
        <f t="shared" si="14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67">
        <f>SUMIFS([1]Up!$J:$J,[1]Up!$D:$D,D239)</f>
        <v>0</v>
      </c>
      <c r="AU239" s="82"/>
      <c r="AV239" s="82" t="str">
        <f t="shared" si="15"/>
        <v>PL20</v>
      </c>
      <c r="AW239" s="53" t="str">
        <f t="shared" si="16"/>
        <v/>
      </c>
      <c r="AX239" s="53" t="s">
        <v>148</v>
      </c>
      <c r="AY239" s="53"/>
      <c r="AZ239" s="53"/>
      <c r="BA239" s="53"/>
      <c r="BB239" s="53"/>
      <c r="BC239" s="83"/>
      <c r="BD239" s="53"/>
      <c r="BE239" s="53"/>
    </row>
    <row r="240" spans="3:57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3"/>
        <v>0</v>
      </c>
      <c r="M240" s="26">
        <f t="shared" si="14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67">
        <f>SUMIFS([1]Up!$J:$J,[1]Up!$D:$D,D240)</f>
        <v>0</v>
      </c>
      <c r="AU240" s="82"/>
      <c r="AV240" s="82" t="str">
        <f t="shared" si="15"/>
        <v>PL20</v>
      </c>
      <c r="AW240" s="53" t="str">
        <f t="shared" si="16"/>
        <v/>
      </c>
      <c r="AX240" s="53" t="s">
        <v>148</v>
      </c>
      <c r="AY240" s="53"/>
      <c r="AZ240" s="53"/>
      <c r="BA240" s="53"/>
      <c r="BB240" s="53"/>
      <c r="BC240" s="83"/>
      <c r="BD240" s="53"/>
      <c r="BE240" s="53"/>
    </row>
    <row r="241" spans="3:57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3"/>
        <v>1</v>
      </c>
      <c r="M241" s="26">
        <f t="shared" si="14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26"/>
      <c r="AS241" s="26"/>
      <c r="AT241" s="67">
        <f>SUMIFS([1]Up!$J:$J,[1]Up!$D:$D,D241)</f>
        <v>0</v>
      </c>
      <c r="AU241" s="82"/>
      <c r="AV241" s="82" t="str">
        <f t="shared" si="15"/>
        <v>PL20</v>
      </c>
      <c r="AW241" s="53" t="str">
        <f t="shared" si="16"/>
        <v/>
      </c>
      <c r="AX241" s="53" t="s">
        <v>148</v>
      </c>
      <c r="AY241" s="53"/>
      <c r="AZ241" s="53"/>
      <c r="BA241" s="53"/>
      <c r="BB241" s="53"/>
      <c r="BC241" s="83"/>
      <c r="BD241" s="53"/>
      <c r="BE241" s="53"/>
    </row>
    <row r="242" spans="3:57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3"/>
        <v>0</v>
      </c>
      <c r="M242" s="26">
        <f t="shared" si="14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67">
        <f>SUMIFS([1]Up!$J:$J,[1]Up!$D:$D,D242)</f>
        <v>0</v>
      </c>
      <c r="AU242" s="82"/>
      <c r="AV242" s="82" t="str">
        <f t="shared" si="15"/>
        <v>PL20</v>
      </c>
      <c r="AW242" s="53" t="str">
        <f t="shared" si="16"/>
        <v/>
      </c>
      <c r="AX242" s="53" t="s">
        <v>148</v>
      </c>
      <c r="AY242" s="53"/>
      <c r="AZ242" s="53"/>
      <c r="BA242" s="53"/>
      <c r="BB242" s="53"/>
      <c r="BC242" s="83"/>
      <c r="BD242" s="53"/>
      <c r="BE242" s="53"/>
    </row>
    <row r="243" spans="3:57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3"/>
        <v>0</v>
      </c>
      <c r="M243" s="26">
        <f t="shared" si="14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67">
        <f>SUMIFS([1]Up!$J:$J,[1]Up!$D:$D,D243)</f>
        <v>0</v>
      </c>
      <c r="AU243" s="82"/>
      <c r="AV243" s="82" t="str">
        <f t="shared" si="15"/>
        <v>PL20</v>
      </c>
      <c r="AW243" s="53" t="str">
        <f t="shared" si="16"/>
        <v/>
      </c>
      <c r="AX243" s="53" t="s">
        <v>148</v>
      </c>
      <c r="AY243" s="53"/>
      <c r="AZ243" s="53"/>
      <c r="BA243" s="53"/>
      <c r="BB243" s="53"/>
      <c r="BC243" s="83"/>
      <c r="BD243" s="53"/>
      <c r="BE243" s="53"/>
    </row>
    <row r="244" spans="3:57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3"/>
        <v>0</v>
      </c>
      <c r="M244" s="26">
        <f t="shared" si="14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67">
        <f>SUMIFS([1]Up!$J:$J,[1]Up!$D:$D,D244)</f>
        <v>0</v>
      </c>
      <c r="AU244" s="82"/>
      <c r="AV244" s="82" t="str">
        <f t="shared" si="15"/>
        <v>PL20</v>
      </c>
      <c r="AW244" s="53" t="str">
        <f t="shared" si="16"/>
        <v/>
      </c>
      <c r="AX244" s="53" t="s">
        <v>148</v>
      </c>
      <c r="AY244" s="53"/>
      <c r="AZ244" s="53"/>
      <c r="BA244" s="53"/>
      <c r="BB244" s="53"/>
      <c r="BC244" s="83"/>
      <c r="BD244" s="53"/>
      <c r="BE244" s="53"/>
    </row>
    <row r="245" spans="3:57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3"/>
        <v>0</v>
      </c>
      <c r="M245" s="26">
        <f t="shared" si="14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67">
        <f>SUMIFS([1]Up!$J:$J,[1]Up!$D:$D,D245)</f>
        <v>0</v>
      </c>
      <c r="AU245" s="82"/>
      <c r="AV245" s="82" t="str">
        <f t="shared" si="15"/>
        <v>PL5</v>
      </c>
      <c r="AW245" s="53" t="str">
        <f t="shared" si="16"/>
        <v/>
      </c>
      <c r="AX245" s="53" t="s">
        <v>148</v>
      </c>
      <c r="AY245" s="53"/>
      <c r="AZ245" s="53"/>
      <c r="BA245" s="53"/>
      <c r="BB245" s="53"/>
      <c r="BC245" s="83"/>
      <c r="BD245" s="53"/>
      <c r="BE245" s="53"/>
    </row>
    <row r="246" spans="3:57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3"/>
        <v>0</v>
      </c>
      <c r="M246" s="26">
        <f t="shared" si="14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67">
        <f>SUMIFS([1]Up!$J:$J,[1]Up!$D:$D,D246)</f>
        <v>0</v>
      </c>
      <c r="AU246" s="82"/>
      <c r="AV246" s="82" t="str">
        <f t="shared" si="15"/>
        <v>PL20</v>
      </c>
      <c r="AW246" s="53" t="str">
        <f t="shared" si="16"/>
        <v/>
      </c>
      <c r="AX246" s="53" t="s">
        <v>148</v>
      </c>
      <c r="AY246" s="53"/>
      <c r="AZ246" s="53"/>
      <c r="BA246" s="53"/>
      <c r="BB246" s="53"/>
      <c r="BC246" s="83"/>
      <c r="BD246" s="53"/>
      <c r="BE246" s="53"/>
    </row>
    <row r="247" spans="3:57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3"/>
        <v>0</v>
      </c>
      <c r="M247" s="26">
        <f t="shared" si="14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67">
        <f>SUMIFS([1]Up!$J:$J,[1]Up!$D:$D,D247)</f>
        <v>0</v>
      </c>
      <c r="AU247" s="82"/>
      <c r="AV247" s="82" t="str">
        <f t="shared" si="15"/>
        <v>PL20</v>
      </c>
      <c r="AW247" s="53" t="str">
        <f t="shared" si="16"/>
        <v/>
      </c>
      <c r="AX247" s="53" t="s">
        <v>148</v>
      </c>
      <c r="AY247" s="53"/>
      <c r="AZ247" s="53"/>
      <c r="BA247" s="53"/>
      <c r="BB247" s="53"/>
      <c r="BC247" s="83"/>
      <c r="BD247" s="53"/>
      <c r="BE247" s="53"/>
    </row>
    <row r="248" spans="3:57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3"/>
        <v>0</v>
      </c>
      <c r="M248" s="26">
        <f t="shared" si="14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67">
        <f>SUMIFS([1]Up!$J:$J,[1]Up!$D:$D,D248)</f>
        <v>0</v>
      </c>
      <c r="AU248" s="82"/>
      <c r="AV248" s="82" t="str">
        <f t="shared" si="15"/>
        <v>PL20</v>
      </c>
      <c r="AW248" s="53" t="str">
        <f t="shared" si="16"/>
        <v/>
      </c>
      <c r="AX248" s="53" t="s">
        <v>148</v>
      </c>
      <c r="AY248" s="53"/>
      <c r="AZ248" s="53"/>
      <c r="BA248" s="53"/>
      <c r="BB248" s="53"/>
      <c r="BC248" s="83"/>
      <c r="BD248" s="53"/>
      <c r="BE248" s="53"/>
    </row>
    <row r="249" spans="3:57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3"/>
        <v>2</v>
      </c>
      <c r="M249" s="26">
        <f t="shared" si="14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26"/>
      <c r="AS249" s="26"/>
      <c r="AT249" s="67">
        <f>SUMIFS([1]Up!$J:$J,[1]Up!$D:$D,D249)</f>
        <v>0</v>
      </c>
      <c r="AU249" s="82"/>
      <c r="AV249" s="82" t="str">
        <f t="shared" si="15"/>
        <v>PL20</v>
      </c>
      <c r="AW249" s="53" t="str">
        <f t="shared" si="16"/>
        <v/>
      </c>
      <c r="AX249" s="53" t="s">
        <v>148</v>
      </c>
      <c r="AY249" s="53"/>
      <c r="AZ249" s="53"/>
      <c r="BA249" s="53"/>
      <c r="BB249" s="53"/>
      <c r="BC249" s="83"/>
      <c r="BD249" s="53"/>
      <c r="BE249" s="53"/>
    </row>
    <row r="250" spans="3:57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3"/>
        <v>1</v>
      </c>
      <c r="M250" s="26">
        <f t="shared" si="14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67">
        <f>SUMIFS([1]Up!$J:$J,[1]Up!$D:$D,D250)</f>
        <v>0</v>
      </c>
      <c r="AU250" s="82" t="s">
        <v>2235</v>
      </c>
      <c r="AV250" s="82" t="e">
        <f t="shared" si="15"/>
        <v>#VALUE!</v>
      </c>
      <c r="AW250" s="53" t="str">
        <f t="shared" si="16"/>
        <v>Thừa 3</v>
      </c>
      <c r="AX250" s="53" t="s">
        <v>154</v>
      </c>
      <c r="AY250" s="53"/>
      <c r="AZ250" s="53"/>
      <c r="BA250" s="53" t="s">
        <v>57</v>
      </c>
      <c r="BB250" s="53">
        <v>1</v>
      </c>
      <c r="BC250" s="83"/>
      <c r="BD250" s="53"/>
      <c r="BE250" s="53"/>
    </row>
    <row r="251" spans="3:57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3"/>
        <v>1</v>
      </c>
      <c r="M251" s="26">
        <f t="shared" si="14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26"/>
      <c r="AS251" s="26"/>
      <c r="AT251" s="67">
        <f>SUMIFS([1]Up!$J:$J,[1]Up!$D:$D,D251)</f>
        <v>0</v>
      </c>
      <c r="AU251" s="82"/>
      <c r="AV251" s="82" t="str">
        <f t="shared" si="15"/>
        <v>PL10</v>
      </c>
      <c r="AW251" s="53" t="str">
        <f t="shared" si="16"/>
        <v/>
      </c>
      <c r="AX251" s="53" t="s">
        <v>154</v>
      </c>
      <c r="AY251" s="84" t="s">
        <v>210</v>
      </c>
      <c r="AZ251" s="53"/>
      <c r="BA251" s="53" t="s">
        <v>211</v>
      </c>
      <c r="BB251" s="53">
        <v>1</v>
      </c>
      <c r="BC251" s="83">
        <v>46201</v>
      </c>
      <c r="BD251" s="53"/>
      <c r="BE251" s="53"/>
    </row>
    <row r="252" spans="3:57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3"/>
        <v>2</v>
      </c>
      <c r="M252" s="26">
        <f t="shared" si="14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67">
        <f>SUMIFS([1]Up!$J:$J,[1]Up!$D:$D,D252)</f>
        <v>0</v>
      </c>
      <c r="AU252" s="82" t="s">
        <v>2072</v>
      </c>
      <c r="AV252" s="82" t="str">
        <f t="shared" si="15"/>
        <v>PL10</v>
      </c>
      <c r="AW252" s="53" t="str">
        <f t="shared" si="16"/>
        <v>Thừa 6</v>
      </c>
      <c r="AX252" s="53" t="s">
        <v>148</v>
      </c>
      <c r="AY252" s="53"/>
      <c r="AZ252" s="53"/>
      <c r="BA252" s="53" t="s">
        <v>57</v>
      </c>
      <c r="BB252" s="53">
        <v>2</v>
      </c>
      <c r="BC252" s="83"/>
      <c r="BD252" s="53"/>
      <c r="BE252" s="53"/>
    </row>
    <row r="253" spans="3:57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3"/>
        <v>2</v>
      </c>
      <c r="M253" s="26">
        <f t="shared" si="14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26"/>
      <c r="AS253" s="26"/>
      <c r="AT253" s="67">
        <f>SUMIFS([1]Up!$J:$J,[1]Up!$D:$D,D253)</f>
        <v>0</v>
      </c>
      <c r="AU253" s="82"/>
      <c r="AV253" s="82" t="str">
        <f t="shared" si="15"/>
        <v>PL10</v>
      </c>
      <c r="AW253" s="53" t="str">
        <f t="shared" si="16"/>
        <v/>
      </c>
      <c r="AX253" s="53" t="s">
        <v>154</v>
      </c>
      <c r="AY253" s="84" t="s">
        <v>210</v>
      </c>
      <c r="AZ253" s="53"/>
      <c r="BA253" s="53" t="s">
        <v>211</v>
      </c>
      <c r="BB253" s="53">
        <v>2</v>
      </c>
      <c r="BC253" s="83">
        <v>46201</v>
      </c>
      <c r="BD253" s="53"/>
      <c r="BE253" s="53"/>
    </row>
    <row r="254" spans="3:57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3"/>
        <v>2</v>
      </c>
      <c r="M254" s="26">
        <f t="shared" si="14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26"/>
      <c r="AS254" s="26"/>
      <c r="AT254" s="67">
        <f>SUMIFS([1]Up!$J:$J,[1]Up!$D:$D,D254)</f>
        <v>0</v>
      </c>
      <c r="AU254" s="82"/>
      <c r="AV254" s="82" t="str">
        <f t="shared" si="15"/>
        <v>PL10</v>
      </c>
      <c r="AW254" s="53" t="str">
        <f t="shared" si="16"/>
        <v/>
      </c>
      <c r="AX254" s="53" t="s">
        <v>154</v>
      </c>
      <c r="AY254" s="84" t="s">
        <v>210</v>
      </c>
      <c r="AZ254" s="53"/>
      <c r="BA254" s="53" t="s">
        <v>211</v>
      </c>
      <c r="BB254" s="53">
        <v>2</v>
      </c>
      <c r="BC254" s="83">
        <v>46201</v>
      </c>
      <c r="BD254" s="53"/>
      <c r="BE254" s="53"/>
    </row>
    <row r="255" spans="3:57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3"/>
        <v>2</v>
      </c>
      <c r="M255" s="26">
        <f t="shared" si="14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26"/>
      <c r="AS255" s="26"/>
      <c r="AT255" s="67">
        <f>SUMIFS([1]Up!$J:$J,[1]Up!$D:$D,D255)</f>
        <v>0</v>
      </c>
      <c r="AU255" s="82"/>
      <c r="AV255" s="82" t="str">
        <f t="shared" si="15"/>
        <v>PL10</v>
      </c>
      <c r="AW255" s="53" t="str">
        <f t="shared" si="16"/>
        <v/>
      </c>
      <c r="AX255" s="53" t="s">
        <v>154</v>
      </c>
      <c r="AY255" s="84" t="s">
        <v>210</v>
      </c>
      <c r="AZ255" s="53"/>
      <c r="BA255" s="53" t="s">
        <v>211</v>
      </c>
      <c r="BB255" s="53">
        <v>2</v>
      </c>
      <c r="BC255" s="83">
        <v>46201</v>
      </c>
      <c r="BD255" s="53"/>
      <c r="BE255" s="53"/>
    </row>
    <row r="256" spans="3:57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3"/>
        <v>2</v>
      </c>
      <c r="M256" s="26">
        <f t="shared" si="14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26"/>
      <c r="AS256" s="26"/>
      <c r="AT256" s="67">
        <f>SUMIFS([1]Up!$J:$J,[1]Up!$D:$D,D256)</f>
        <v>0</v>
      </c>
      <c r="AU256" s="82"/>
      <c r="AV256" s="82" t="str">
        <f t="shared" si="15"/>
        <v>PL10</v>
      </c>
      <c r="AW256" s="53" t="str">
        <f t="shared" si="16"/>
        <v/>
      </c>
      <c r="AX256" s="53" t="s">
        <v>154</v>
      </c>
      <c r="AY256" s="84" t="s">
        <v>210</v>
      </c>
      <c r="AZ256" s="53"/>
      <c r="BA256" s="53" t="s">
        <v>211</v>
      </c>
      <c r="BB256" s="53">
        <v>2</v>
      </c>
      <c r="BC256" s="83">
        <v>46201</v>
      </c>
      <c r="BD256" s="53"/>
      <c r="BE256" s="53"/>
    </row>
    <row r="257" spans="3:57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3"/>
        <v>2</v>
      </c>
      <c r="M257" s="26">
        <f t="shared" si="14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26"/>
      <c r="AS257" s="26"/>
      <c r="AT257" s="67">
        <f>SUMIFS([1]Up!$J:$J,[1]Up!$D:$D,D257)</f>
        <v>0</v>
      </c>
      <c r="AU257" s="82"/>
      <c r="AV257" s="82" t="str">
        <f t="shared" si="15"/>
        <v>PL10</v>
      </c>
      <c r="AW257" s="53" t="str">
        <f t="shared" si="16"/>
        <v/>
      </c>
      <c r="AX257" s="53" t="s">
        <v>154</v>
      </c>
      <c r="AY257" s="84" t="s">
        <v>210</v>
      </c>
      <c r="AZ257" s="53"/>
      <c r="BA257" s="53" t="s">
        <v>211</v>
      </c>
      <c r="BB257" s="53">
        <v>2</v>
      </c>
      <c r="BC257" s="83">
        <v>46201</v>
      </c>
      <c r="BD257" s="53"/>
      <c r="BE257" s="53"/>
    </row>
    <row r="258" spans="3:57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3"/>
        <v>2</v>
      </c>
      <c r="M258" s="26">
        <f t="shared" si="14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26"/>
      <c r="AS258" s="26"/>
      <c r="AT258" s="67">
        <f>SUMIFS([1]Up!$J:$J,[1]Up!$D:$D,D258)</f>
        <v>0</v>
      </c>
      <c r="AU258" s="82"/>
      <c r="AV258" s="82" t="str">
        <f t="shared" si="15"/>
        <v>PL10</v>
      </c>
      <c r="AW258" s="53" t="str">
        <f t="shared" si="16"/>
        <v/>
      </c>
      <c r="AX258" s="53" t="s">
        <v>154</v>
      </c>
      <c r="AY258" s="84" t="s">
        <v>210</v>
      </c>
      <c r="AZ258" s="53"/>
      <c r="BA258" s="53" t="s">
        <v>211</v>
      </c>
      <c r="BB258" s="53">
        <v>2</v>
      </c>
      <c r="BC258" s="83">
        <v>46201</v>
      </c>
      <c r="BD258" s="53"/>
      <c r="BE258" s="53"/>
    </row>
    <row r="259" spans="3:57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3"/>
        <v>2</v>
      </c>
      <c r="M259" s="26">
        <f t="shared" si="14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26"/>
      <c r="AS259" s="26"/>
      <c r="AT259" s="67">
        <f>SUMIFS([1]Up!$J:$J,[1]Up!$D:$D,D259)</f>
        <v>0</v>
      </c>
      <c r="AU259" s="82"/>
      <c r="AV259" s="82" t="str">
        <f t="shared" si="15"/>
        <v>PL10</v>
      </c>
      <c r="AW259" s="53" t="str">
        <f t="shared" si="16"/>
        <v/>
      </c>
      <c r="AX259" s="53" t="s">
        <v>154</v>
      </c>
      <c r="AY259" s="84" t="s">
        <v>210</v>
      </c>
      <c r="AZ259" s="53"/>
      <c r="BA259" s="53" t="s">
        <v>211</v>
      </c>
      <c r="BB259" s="53">
        <v>2</v>
      </c>
      <c r="BC259" s="83">
        <v>46201</v>
      </c>
      <c r="BD259" s="53"/>
      <c r="BE259" s="53"/>
    </row>
    <row r="260" spans="3:57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3"/>
        <v>2</v>
      </c>
      <c r="M260" s="26">
        <f t="shared" si="14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26"/>
      <c r="AS260" s="26"/>
      <c r="AT260" s="67">
        <f>SUMIFS([1]Up!$J:$J,[1]Up!$D:$D,D260)</f>
        <v>0</v>
      </c>
      <c r="AU260" s="82"/>
      <c r="AV260" s="82" t="str">
        <f t="shared" si="15"/>
        <v>PL10</v>
      </c>
      <c r="AW260" s="53" t="str">
        <f t="shared" si="16"/>
        <v/>
      </c>
      <c r="AX260" s="53" t="s">
        <v>154</v>
      </c>
      <c r="AY260" s="84" t="s">
        <v>210</v>
      </c>
      <c r="AZ260" s="53"/>
      <c r="BA260" s="53" t="s">
        <v>211</v>
      </c>
      <c r="BB260" s="53">
        <v>2</v>
      </c>
      <c r="BC260" s="83">
        <v>46201</v>
      </c>
      <c r="BD260" s="53"/>
      <c r="BE260" s="53"/>
    </row>
    <row r="261" spans="3:57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3"/>
        <v>2</v>
      </c>
      <c r="M261" s="26">
        <f t="shared" si="14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26"/>
      <c r="AS261" s="26"/>
      <c r="AT261" s="67">
        <f>SUMIFS([1]Up!$J:$J,[1]Up!$D:$D,D261)</f>
        <v>0</v>
      </c>
      <c r="AU261" s="82"/>
      <c r="AV261" s="82" t="str">
        <f t="shared" si="15"/>
        <v>PL10</v>
      </c>
      <c r="AW261" s="53" t="str">
        <f t="shared" si="16"/>
        <v/>
      </c>
      <c r="AX261" s="53" t="s">
        <v>154</v>
      </c>
      <c r="AY261" s="84" t="s">
        <v>210</v>
      </c>
      <c r="AZ261" s="53"/>
      <c r="BA261" s="53" t="s">
        <v>211</v>
      </c>
      <c r="BB261" s="53">
        <v>2</v>
      </c>
      <c r="BC261" s="83">
        <v>46201</v>
      </c>
      <c r="BD261" s="53"/>
      <c r="BE261" s="53"/>
    </row>
    <row r="262" spans="3:57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3"/>
        <v>2</v>
      </c>
      <c r="M262" s="26">
        <f t="shared" si="14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26"/>
      <c r="AS262" s="26"/>
      <c r="AT262" s="67">
        <f>SUMIFS([1]Up!$J:$J,[1]Up!$D:$D,D262)</f>
        <v>0</v>
      </c>
      <c r="AU262" s="82"/>
      <c r="AV262" s="82" t="str">
        <f t="shared" si="15"/>
        <v>PL10</v>
      </c>
      <c r="AW262" s="53" t="str">
        <f t="shared" si="16"/>
        <v/>
      </c>
      <c r="AX262" s="53" t="s">
        <v>154</v>
      </c>
      <c r="AY262" s="84" t="s">
        <v>210</v>
      </c>
      <c r="AZ262" s="53"/>
      <c r="BA262" s="53" t="s">
        <v>211</v>
      </c>
      <c r="BB262" s="53">
        <v>2</v>
      </c>
      <c r="BC262" s="83">
        <v>46201</v>
      </c>
      <c r="BD262" s="53"/>
      <c r="BE262" s="53"/>
    </row>
    <row r="263" spans="3:57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3"/>
        <v>2</v>
      </c>
      <c r="M263" s="26">
        <f t="shared" si="14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26"/>
      <c r="AS263" s="26"/>
      <c r="AT263" s="67">
        <f>SUMIFS([1]Up!$J:$J,[1]Up!$D:$D,D263)</f>
        <v>0</v>
      </c>
      <c r="AU263" s="82"/>
      <c r="AV263" s="82" t="str">
        <f t="shared" si="15"/>
        <v>PL10</v>
      </c>
      <c r="AW263" s="53" t="str">
        <f t="shared" si="16"/>
        <v/>
      </c>
      <c r="AX263" s="53" t="s">
        <v>154</v>
      </c>
      <c r="AY263" s="84" t="s">
        <v>210</v>
      </c>
      <c r="AZ263" s="53"/>
      <c r="BA263" s="53" t="s">
        <v>211</v>
      </c>
      <c r="BB263" s="53">
        <v>2</v>
      </c>
      <c r="BC263" s="83">
        <v>46201</v>
      </c>
      <c r="BD263" s="53"/>
      <c r="BE263" s="53"/>
    </row>
    <row r="264" spans="3:57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3"/>
        <v>1</v>
      </c>
      <c r="M264" s="26">
        <f t="shared" si="14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26"/>
      <c r="AS264" s="26"/>
      <c r="AT264" s="67">
        <f>SUMIFS([1]Up!$J:$J,[1]Up!$D:$D,D264)</f>
        <v>0</v>
      </c>
      <c r="AU264" s="82" t="s">
        <v>2240</v>
      </c>
      <c r="AV264" s="82" t="e">
        <f t="shared" si="15"/>
        <v>#VALUE!</v>
      </c>
      <c r="AW264" s="53" t="str">
        <f t="shared" si="16"/>
        <v>Thừa 3</v>
      </c>
      <c r="AX264" s="53" t="s">
        <v>154</v>
      </c>
      <c r="AY264" s="53"/>
      <c r="AZ264" s="53"/>
      <c r="BA264" s="53" t="s">
        <v>57</v>
      </c>
      <c r="BB264" s="53">
        <v>1</v>
      </c>
      <c r="BC264" s="83"/>
      <c r="BD264" s="53"/>
      <c r="BE264" s="53"/>
    </row>
    <row r="265" spans="3:57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3"/>
        <v>1</v>
      </c>
      <c r="M265" s="26">
        <f t="shared" si="14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67">
        <f>SUMIFS([1]Up!$J:$J,[1]Up!$D:$D,D265)</f>
        <v>0</v>
      </c>
      <c r="AU265" s="82"/>
      <c r="AV265" s="82" t="str">
        <f t="shared" si="15"/>
        <v>PL10</v>
      </c>
      <c r="AW265" s="53" t="str">
        <f t="shared" si="16"/>
        <v/>
      </c>
      <c r="AX265" s="53" t="s">
        <v>148</v>
      </c>
      <c r="AY265" s="84" t="s">
        <v>210</v>
      </c>
      <c r="AZ265" s="53"/>
      <c r="BA265" s="53" t="s">
        <v>211</v>
      </c>
      <c r="BB265" s="53">
        <v>1</v>
      </c>
      <c r="BC265" s="83">
        <v>46201</v>
      </c>
      <c r="BD265" s="53"/>
      <c r="BE265" s="53"/>
    </row>
    <row r="266" spans="3:57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3"/>
        <v>1</v>
      </c>
      <c r="M266" s="26">
        <f t="shared" si="14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67">
        <f>SUMIFS([1]Up!$J:$J,[1]Up!$D:$D,D266)</f>
        <v>0</v>
      </c>
      <c r="AU266" s="82" t="s">
        <v>2077</v>
      </c>
      <c r="AV266" s="82" t="str">
        <f t="shared" si="15"/>
        <v>PL15</v>
      </c>
      <c r="AW266" s="53" t="str">
        <f t="shared" si="16"/>
        <v>Thừa 2</v>
      </c>
      <c r="AX266" s="53" t="s">
        <v>148</v>
      </c>
      <c r="AY266" s="53"/>
      <c r="AZ266" s="53"/>
      <c r="BA266" s="53" t="s">
        <v>57</v>
      </c>
      <c r="BB266" s="53">
        <v>1</v>
      </c>
      <c r="BC266" s="83"/>
      <c r="BD266" s="53"/>
      <c r="BE266" s="53"/>
    </row>
    <row r="267" spans="3:57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3"/>
        <v>1</v>
      </c>
      <c r="M267" s="26">
        <f t="shared" si="14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67">
        <f>SUMIFS([1]Up!$J:$J,[1]Up!$D:$D,D267)</f>
        <v>0</v>
      </c>
      <c r="AU267" s="82" t="s">
        <v>2071</v>
      </c>
      <c r="AV267" s="82" t="str">
        <f t="shared" si="15"/>
        <v>PL15</v>
      </c>
      <c r="AW267" s="53" t="str">
        <f t="shared" si="16"/>
        <v>Thừa 2</v>
      </c>
      <c r="AX267" s="53" t="s">
        <v>148</v>
      </c>
      <c r="AY267" s="53"/>
      <c r="AZ267" s="53"/>
      <c r="BA267" s="53" t="s">
        <v>57</v>
      </c>
      <c r="BB267" s="53">
        <v>1</v>
      </c>
      <c r="BC267" s="83"/>
      <c r="BD267" s="53"/>
      <c r="BE267" s="53"/>
    </row>
    <row r="268" spans="3:57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3"/>
        <v>2</v>
      </c>
      <c r="M268" s="26">
        <f t="shared" si="14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67">
        <f>SUMIFS([1]Up!$J:$J,[1]Up!$D:$D,D268)</f>
        <v>0</v>
      </c>
      <c r="AU268" s="82"/>
      <c r="AV268" s="82" t="str">
        <f t="shared" si="15"/>
        <v>PL15</v>
      </c>
      <c r="AW268" s="53" t="str">
        <f t="shared" si="16"/>
        <v/>
      </c>
      <c r="AX268" s="53" t="s">
        <v>148</v>
      </c>
      <c r="AY268" s="84" t="s">
        <v>200</v>
      </c>
      <c r="AZ268" s="53"/>
      <c r="BA268" s="53" t="s">
        <v>201</v>
      </c>
      <c r="BB268" s="53">
        <v>2</v>
      </c>
      <c r="BC268" s="83">
        <v>46201</v>
      </c>
      <c r="BD268" s="53"/>
      <c r="BE268" s="53"/>
    </row>
    <row r="269" spans="3:57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3"/>
        <v>2</v>
      </c>
      <c r="M269" s="26">
        <f t="shared" si="14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67">
        <f>SUMIFS([1]Up!$J:$J,[1]Up!$D:$D,D269)</f>
        <v>0</v>
      </c>
      <c r="AU269" s="82"/>
      <c r="AV269" s="82" t="str">
        <f t="shared" si="15"/>
        <v>PL15</v>
      </c>
      <c r="AW269" s="53" t="str">
        <f t="shared" si="16"/>
        <v/>
      </c>
      <c r="AX269" s="53" t="s">
        <v>148</v>
      </c>
      <c r="AY269" s="84" t="s">
        <v>200</v>
      </c>
      <c r="AZ269" s="53"/>
      <c r="BA269" s="53" t="s">
        <v>201</v>
      </c>
      <c r="BB269" s="53">
        <v>2</v>
      </c>
      <c r="BC269" s="83">
        <v>46201</v>
      </c>
      <c r="BD269" s="53"/>
      <c r="BE269" s="53"/>
    </row>
    <row r="270" spans="3:57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7">MIN(SUM(N270:AS270),I270)</f>
        <v>1</v>
      </c>
      <c r="M270" s="26">
        <f t="shared" ref="M270:M325" si="18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67">
        <f>SUMIFS([1]Up!$J:$J,[1]Up!$D:$D,D270)</f>
        <v>0</v>
      </c>
      <c r="AU270" s="82"/>
      <c r="AV270" s="82" t="str">
        <f t="shared" ref="AV270:AV325" si="19">IFERROR(IF(C270="Plate",LEFT(E270,FIND("*",E270,1)-1),""),IF(C270="Plate",LEFT(E270,FIND("x",E270,1)-1),""))</f>
        <v>PL15</v>
      </c>
      <c r="AW270" s="53" t="str">
        <f t="shared" ref="AW270:AW325" si="20">IF(ROUND(SUM(N270:AS270)-I270,0)&gt;0,"Thừa "&amp;SUM(N270:AS270)-I270,"")</f>
        <v/>
      </c>
      <c r="AX270" s="53" t="s">
        <v>148</v>
      </c>
      <c r="AY270" s="84" t="s">
        <v>200</v>
      </c>
      <c r="AZ270" s="53"/>
      <c r="BA270" s="53" t="s">
        <v>201</v>
      </c>
      <c r="BB270" s="53">
        <v>1</v>
      </c>
      <c r="BC270" s="83">
        <v>46201</v>
      </c>
      <c r="BD270" s="53"/>
      <c r="BE270" s="53"/>
    </row>
    <row r="271" spans="3:57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7"/>
        <v>1</v>
      </c>
      <c r="M271" s="26">
        <f t="shared" si="1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67">
        <f>SUMIFS([1]Up!$J:$J,[1]Up!$D:$D,D271)</f>
        <v>0</v>
      </c>
      <c r="AU271" s="82"/>
      <c r="AV271" s="82" t="str">
        <f t="shared" si="19"/>
        <v>PL15</v>
      </c>
      <c r="AW271" s="53" t="str">
        <f t="shared" si="20"/>
        <v/>
      </c>
      <c r="AX271" s="53" t="s">
        <v>148</v>
      </c>
      <c r="AY271" s="84" t="s">
        <v>200</v>
      </c>
      <c r="AZ271" s="53"/>
      <c r="BA271" s="53" t="s">
        <v>201</v>
      </c>
      <c r="BB271" s="53">
        <v>1</v>
      </c>
      <c r="BC271" s="83">
        <v>46201</v>
      </c>
      <c r="BD271" s="53"/>
      <c r="BE271" s="53"/>
    </row>
    <row r="272" spans="3:57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7"/>
        <v>1</v>
      </c>
      <c r="M272" s="26">
        <f t="shared" si="18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67">
        <f>SUMIFS([1]Up!$J:$J,[1]Up!$D:$D,D272)</f>
        <v>0</v>
      </c>
      <c r="AU272" s="82"/>
      <c r="AV272" s="82" t="str">
        <f t="shared" si="19"/>
        <v>PL15</v>
      </c>
      <c r="AW272" s="53" t="str">
        <f t="shared" si="20"/>
        <v/>
      </c>
      <c r="AX272" s="53" t="s">
        <v>148</v>
      </c>
      <c r="AY272" s="84" t="s">
        <v>200</v>
      </c>
      <c r="AZ272" s="53"/>
      <c r="BA272" s="53" t="s">
        <v>201</v>
      </c>
      <c r="BB272" s="53">
        <v>1</v>
      </c>
      <c r="BC272" s="83">
        <v>46201</v>
      </c>
      <c r="BD272" s="53"/>
      <c r="BE272" s="53"/>
    </row>
    <row r="273" spans="3:57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7"/>
        <v>1</v>
      </c>
      <c r="M273" s="26">
        <f t="shared" si="18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67">
        <f>SUMIFS([1]Up!$J:$J,[1]Up!$D:$D,D273)</f>
        <v>0</v>
      </c>
      <c r="AU273" s="82"/>
      <c r="AV273" s="82" t="str">
        <f t="shared" si="19"/>
        <v>PL15</v>
      </c>
      <c r="AW273" s="53" t="str">
        <f t="shared" si="20"/>
        <v/>
      </c>
      <c r="AX273" s="53" t="s">
        <v>148</v>
      </c>
      <c r="AY273" s="84" t="s">
        <v>200</v>
      </c>
      <c r="AZ273" s="53"/>
      <c r="BA273" s="53" t="s">
        <v>201</v>
      </c>
      <c r="BB273" s="53">
        <v>1</v>
      </c>
      <c r="BC273" s="83">
        <v>46201</v>
      </c>
      <c r="BD273" s="53"/>
      <c r="BE273" s="53"/>
    </row>
    <row r="274" spans="3:57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7"/>
        <v>1</v>
      </c>
      <c r="M274" s="26">
        <f t="shared" si="18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67">
        <f>SUMIFS([1]Up!$J:$J,[1]Up!$D:$D,D274)</f>
        <v>0</v>
      </c>
      <c r="AU274" s="82"/>
      <c r="AV274" s="82" t="str">
        <f t="shared" si="19"/>
        <v>PL15</v>
      </c>
      <c r="AW274" s="53" t="str">
        <f t="shared" si="20"/>
        <v/>
      </c>
      <c r="AX274" s="53" t="s">
        <v>148</v>
      </c>
      <c r="AY274" s="84" t="s">
        <v>200</v>
      </c>
      <c r="AZ274" s="53"/>
      <c r="BA274" s="53" t="s">
        <v>201</v>
      </c>
      <c r="BB274" s="53">
        <v>1</v>
      </c>
      <c r="BC274" s="83">
        <v>46201</v>
      </c>
      <c r="BD274" s="53"/>
      <c r="BE274" s="53"/>
    </row>
    <row r="275" spans="3:57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7"/>
        <v>2</v>
      </c>
      <c r="M275" s="26">
        <f t="shared" si="18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67">
        <f>SUMIFS([1]Up!$J:$J,[1]Up!$D:$D,D275)</f>
        <v>0</v>
      </c>
      <c r="AU275" s="82"/>
      <c r="AV275" s="82" t="str">
        <f t="shared" si="19"/>
        <v>PL20</v>
      </c>
      <c r="AW275" s="53" t="str">
        <f t="shared" si="20"/>
        <v/>
      </c>
      <c r="AX275" s="53" t="s">
        <v>148</v>
      </c>
      <c r="AY275" s="84" t="s">
        <v>319</v>
      </c>
      <c r="AZ275" s="53"/>
      <c r="BA275" s="53" t="s">
        <v>320</v>
      </c>
      <c r="BB275" s="53">
        <v>2</v>
      </c>
      <c r="BC275" s="83">
        <v>46202</v>
      </c>
      <c r="BD275" s="53"/>
      <c r="BE275" s="53"/>
    </row>
    <row r="276" spans="3:57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7"/>
        <v>2</v>
      </c>
      <c r="M276" s="26">
        <f t="shared" si="18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67">
        <f>SUMIFS([1]Up!$J:$J,[1]Up!$D:$D,D276)</f>
        <v>0</v>
      </c>
      <c r="AU276" s="82"/>
      <c r="AV276" s="82" t="str">
        <f t="shared" si="19"/>
        <v>PL20</v>
      </c>
      <c r="AW276" s="53" t="str">
        <f t="shared" si="20"/>
        <v/>
      </c>
      <c r="AX276" s="53" t="s">
        <v>148</v>
      </c>
      <c r="AY276" s="84" t="s">
        <v>319</v>
      </c>
      <c r="AZ276" s="53"/>
      <c r="BA276" s="53" t="s">
        <v>320</v>
      </c>
      <c r="BB276" s="53">
        <v>2</v>
      </c>
      <c r="BC276" s="83">
        <v>46202</v>
      </c>
      <c r="BD276" s="53"/>
      <c r="BE276" s="53"/>
    </row>
    <row r="277" spans="3:57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7"/>
        <v>1</v>
      </c>
      <c r="M277" s="26">
        <f t="shared" si="18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67">
        <f>SUMIFS([1]Up!$J:$J,[1]Up!$D:$D,D277)</f>
        <v>0</v>
      </c>
      <c r="AU277" s="82" t="s">
        <v>2082</v>
      </c>
      <c r="AV277" s="82" t="str">
        <f t="shared" si="19"/>
        <v>PL15</v>
      </c>
      <c r="AW277" s="53" t="str">
        <f t="shared" si="20"/>
        <v>Thừa 4</v>
      </c>
      <c r="AX277" s="53" t="s">
        <v>148</v>
      </c>
      <c r="AY277" s="53"/>
      <c r="AZ277" s="53"/>
      <c r="BA277" s="53" t="s">
        <v>57</v>
      </c>
      <c r="BB277" s="53">
        <v>1</v>
      </c>
      <c r="BC277" s="83"/>
      <c r="BD277" s="53"/>
      <c r="BE277" s="53"/>
    </row>
    <row r="278" spans="3:57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7"/>
        <v>2</v>
      </c>
      <c r="M278" s="26">
        <f t="shared" si="18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67">
        <f>SUMIFS([1]Up!$J:$J,[1]Up!$D:$D,D278)</f>
        <v>0</v>
      </c>
      <c r="AU278" s="82"/>
      <c r="AV278" s="82" t="str">
        <f t="shared" si="19"/>
        <v>PL20</v>
      </c>
      <c r="AW278" s="53" t="str">
        <f t="shared" si="20"/>
        <v/>
      </c>
      <c r="AX278" s="53" t="s">
        <v>148</v>
      </c>
      <c r="AY278" s="84" t="s">
        <v>319</v>
      </c>
      <c r="AZ278" s="53"/>
      <c r="BA278" s="53" t="s">
        <v>320</v>
      </c>
      <c r="BB278" s="53">
        <v>2</v>
      </c>
      <c r="BC278" s="83">
        <v>46202</v>
      </c>
      <c r="BD278" s="53"/>
      <c r="BE278" s="53"/>
    </row>
    <row r="279" spans="3:57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7"/>
        <v>4</v>
      </c>
      <c r="M279" s="26">
        <f t="shared" si="18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67">
        <f>SUMIFS([1]Up!$J:$J,[1]Up!$D:$D,D279)</f>
        <v>0</v>
      </c>
      <c r="AU279" s="82"/>
      <c r="AV279" s="82" t="str">
        <f t="shared" si="19"/>
        <v>PL3</v>
      </c>
      <c r="AW279" s="53" t="str">
        <f t="shared" si="20"/>
        <v/>
      </c>
      <c r="AX279" s="53" t="s">
        <v>148</v>
      </c>
      <c r="AY279" s="84" t="s">
        <v>682</v>
      </c>
      <c r="AZ279" s="53"/>
      <c r="BA279" s="53" t="s">
        <v>683</v>
      </c>
      <c r="BB279" s="53">
        <v>4</v>
      </c>
      <c r="BC279" s="83">
        <v>46196</v>
      </c>
      <c r="BD279" s="53"/>
      <c r="BE279" s="53"/>
    </row>
    <row r="280" spans="3:57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7"/>
        <v>2</v>
      </c>
      <c r="M280" s="26">
        <f t="shared" si="18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67">
        <f>SUMIFS([1]Up!$J:$J,[1]Up!$D:$D,D280)</f>
        <v>0</v>
      </c>
      <c r="AU280" s="82"/>
      <c r="AV280" s="82" t="str">
        <f t="shared" si="19"/>
        <v>PL20</v>
      </c>
      <c r="AW280" s="53" t="str">
        <f t="shared" si="20"/>
        <v/>
      </c>
      <c r="AX280" s="53" t="s">
        <v>148</v>
      </c>
      <c r="AY280" s="84" t="s">
        <v>319</v>
      </c>
      <c r="AZ280" s="53"/>
      <c r="BA280" s="53" t="s">
        <v>320</v>
      </c>
      <c r="BB280" s="53">
        <v>2</v>
      </c>
      <c r="BC280" s="83">
        <v>46202</v>
      </c>
      <c r="BD280" s="53"/>
      <c r="BE280" s="53"/>
    </row>
    <row r="281" spans="3:57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7"/>
        <v>4</v>
      </c>
      <c r="M281" s="26">
        <f t="shared" si="18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67">
        <f>SUMIFS([1]Up!$J:$J,[1]Up!$D:$D,D281)</f>
        <v>0</v>
      </c>
      <c r="AU281" s="82"/>
      <c r="AV281" s="82" t="str">
        <f t="shared" si="19"/>
        <v>PL20</v>
      </c>
      <c r="AW281" s="53" t="str">
        <f t="shared" si="20"/>
        <v/>
      </c>
      <c r="AX281" s="53" t="s">
        <v>148</v>
      </c>
      <c r="AY281" s="84" t="s">
        <v>319</v>
      </c>
      <c r="AZ281" s="53"/>
      <c r="BA281" s="53" t="s">
        <v>320</v>
      </c>
      <c r="BB281" s="53">
        <v>4</v>
      </c>
      <c r="BC281" s="83">
        <v>46202</v>
      </c>
      <c r="BD281" s="53"/>
      <c r="BE281" s="53"/>
    </row>
    <row r="282" spans="3:57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7"/>
        <v>1</v>
      </c>
      <c r="M282" s="26">
        <f t="shared" si="18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67">
        <f>SUMIFS([1]Up!$J:$J,[1]Up!$D:$D,D282)</f>
        <v>0</v>
      </c>
      <c r="AU282" s="82"/>
      <c r="AV282" s="82" t="str">
        <f t="shared" si="19"/>
        <v>PL30</v>
      </c>
      <c r="AW282" s="53" t="str">
        <f t="shared" si="20"/>
        <v/>
      </c>
      <c r="AX282" s="53" t="s">
        <v>148</v>
      </c>
      <c r="AY282" s="84" t="s">
        <v>688</v>
      </c>
      <c r="AZ282" s="53"/>
      <c r="BA282" s="53" t="s">
        <v>689</v>
      </c>
      <c r="BB282" s="53">
        <v>1</v>
      </c>
      <c r="BC282" s="83">
        <v>46196</v>
      </c>
      <c r="BD282" s="53"/>
      <c r="BE282" s="53"/>
    </row>
    <row r="283" spans="3:57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7"/>
        <v>2</v>
      </c>
      <c r="M283" s="26">
        <f t="shared" si="18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67">
        <f>SUMIFS([1]Up!$J:$J,[1]Up!$D:$D,D283)</f>
        <v>0</v>
      </c>
      <c r="AU283" s="82"/>
      <c r="AV283" s="82" t="str">
        <f t="shared" si="19"/>
        <v>PL20</v>
      </c>
      <c r="AW283" s="53" t="str">
        <f t="shared" si="20"/>
        <v/>
      </c>
      <c r="AX283" s="53" t="s">
        <v>148</v>
      </c>
      <c r="AY283" s="84" t="s">
        <v>319</v>
      </c>
      <c r="AZ283" s="53"/>
      <c r="BA283" s="53" t="s">
        <v>320</v>
      </c>
      <c r="BB283" s="53">
        <v>2</v>
      </c>
      <c r="BC283" s="83">
        <v>46202</v>
      </c>
      <c r="BD283" s="53"/>
      <c r="BE283" s="53"/>
    </row>
    <row r="284" spans="3:57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7"/>
        <v>2</v>
      </c>
      <c r="M284" s="26">
        <f t="shared" si="18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67">
        <f>SUMIFS([1]Up!$J:$J,[1]Up!$D:$D,D284)</f>
        <v>0</v>
      </c>
      <c r="AU284" s="82"/>
      <c r="AV284" s="82" t="str">
        <f t="shared" si="19"/>
        <v>PL20</v>
      </c>
      <c r="AW284" s="53" t="str">
        <f t="shared" si="20"/>
        <v/>
      </c>
      <c r="AX284" s="53" t="s">
        <v>148</v>
      </c>
      <c r="AY284" s="84" t="s">
        <v>319</v>
      </c>
      <c r="AZ284" s="53"/>
      <c r="BA284" s="53" t="s">
        <v>320</v>
      </c>
      <c r="BB284" s="53">
        <v>2</v>
      </c>
      <c r="BC284" s="83">
        <v>46202</v>
      </c>
      <c r="BD284" s="53"/>
      <c r="BE284" s="53"/>
    </row>
    <row r="285" spans="3:57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7"/>
        <v>4</v>
      </c>
      <c r="M285" s="26">
        <f t="shared" si="18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67">
        <f>SUMIFS([1]Up!$J:$J,[1]Up!$D:$D,D285)</f>
        <v>0</v>
      </c>
      <c r="AU285" s="82"/>
      <c r="AV285" s="82" t="str">
        <f t="shared" si="19"/>
        <v>PL20</v>
      </c>
      <c r="AW285" s="53" t="str">
        <f t="shared" si="20"/>
        <v/>
      </c>
      <c r="AX285" s="53" t="s">
        <v>148</v>
      </c>
      <c r="AY285" s="84" t="s">
        <v>319</v>
      </c>
      <c r="AZ285" s="53"/>
      <c r="BA285" s="53" t="s">
        <v>320</v>
      </c>
      <c r="BB285" s="53">
        <v>4</v>
      </c>
      <c r="BC285" s="83">
        <v>46202</v>
      </c>
      <c r="BD285" s="53"/>
      <c r="BE285" s="53"/>
    </row>
    <row r="286" spans="3:57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7"/>
        <v>2</v>
      </c>
      <c r="M286" s="26">
        <f t="shared" si="18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67">
        <f>SUMIFS([1]Up!$J:$J,[1]Up!$D:$D,D286)</f>
        <v>0</v>
      </c>
      <c r="AU286" s="82"/>
      <c r="AV286" s="82" t="str">
        <f t="shared" si="19"/>
        <v>PL20</v>
      </c>
      <c r="AW286" s="53" t="str">
        <f t="shared" si="20"/>
        <v/>
      </c>
      <c r="AX286" s="53" t="s">
        <v>148</v>
      </c>
      <c r="AY286" s="84" t="s">
        <v>319</v>
      </c>
      <c r="AZ286" s="53"/>
      <c r="BA286" s="53" t="s">
        <v>320</v>
      </c>
      <c r="BB286" s="53">
        <v>2</v>
      </c>
      <c r="BC286" s="83">
        <v>46202</v>
      </c>
      <c r="BD286" s="53"/>
      <c r="BE286" s="53"/>
    </row>
    <row r="287" spans="3:57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7"/>
        <v>2</v>
      </c>
      <c r="M287" s="26">
        <f t="shared" si="18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67">
        <f>SUMIFS([1]Up!$J:$J,[1]Up!$D:$D,D287)</f>
        <v>0</v>
      </c>
      <c r="AU287" s="82"/>
      <c r="AV287" s="82" t="str">
        <f t="shared" si="19"/>
        <v>PL20</v>
      </c>
      <c r="AW287" s="53" t="str">
        <f t="shared" si="20"/>
        <v/>
      </c>
      <c r="AX287" s="53" t="s">
        <v>148</v>
      </c>
      <c r="AY287" s="84" t="s">
        <v>319</v>
      </c>
      <c r="AZ287" s="53"/>
      <c r="BA287" s="53" t="s">
        <v>320</v>
      </c>
      <c r="BB287" s="53">
        <v>2</v>
      </c>
      <c r="BC287" s="83">
        <v>46202</v>
      </c>
      <c r="BD287" s="53"/>
      <c r="BE287" s="53"/>
    </row>
    <row r="288" spans="3:57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7"/>
        <v>4</v>
      </c>
      <c r="M288" s="26">
        <f t="shared" si="18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67">
        <f>SUMIFS([1]Up!$J:$J,[1]Up!$D:$D,D288)</f>
        <v>0</v>
      </c>
      <c r="AU288" s="82"/>
      <c r="AV288" s="82" t="str">
        <f t="shared" si="19"/>
        <v>PL20</v>
      </c>
      <c r="AW288" s="53" t="str">
        <f t="shared" si="20"/>
        <v/>
      </c>
      <c r="AX288" s="53" t="s">
        <v>148</v>
      </c>
      <c r="AY288" s="84" t="s">
        <v>319</v>
      </c>
      <c r="AZ288" s="53"/>
      <c r="BA288" s="53" t="s">
        <v>320</v>
      </c>
      <c r="BB288" s="53">
        <v>4</v>
      </c>
      <c r="BC288" s="83">
        <v>46202</v>
      </c>
      <c r="BD288" s="53"/>
      <c r="BE288" s="53"/>
    </row>
    <row r="289" spans="3:57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7"/>
        <v>1</v>
      </c>
      <c r="M289" s="26">
        <f t="shared" si="18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67">
        <f>SUMIFS([1]Up!$J:$J,[1]Up!$D:$D,D289)</f>
        <v>0</v>
      </c>
      <c r="AU289" s="82"/>
      <c r="AV289" s="82" t="str">
        <f t="shared" si="19"/>
        <v>PL5</v>
      </c>
      <c r="AW289" s="53" t="str">
        <f t="shared" si="20"/>
        <v/>
      </c>
      <c r="AX289" s="53" t="s">
        <v>148</v>
      </c>
      <c r="AY289" s="53" t="s">
        <v>704</v>
      </c>
      <c r="AZ289" s="53"/>
      <c r="BA289" s="53" t="s">
        <v>705</v>
      </c>
      <c r="BB289" s="53">
        <v>1</v>
      </c>
      <c r="BC289" s="83">
        <v>46196</v>
      </c>
      <c r="BD289" s="53"/>
      <c r="BE289" s="53"/>
    </row>
    <row r="290" spans="3:57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7"/>
        <v>1</v>
      </c>
      <c r="M290" s="26">
        <f t="shared" si="18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67">
        <f>SUMIFS([1]Up!$J:$J,[1]Up!$D:$D,D290)</f>
        <v>0</v>
      </c>
      <c r="AU290" s="82"/>
      <c r="AV290" s="82" t="str">
        <f t="shared" si="19"/>
        <v>PL20</v>
      </c>
      <c r="AW290" s="53" t="str">
        <f t="shared" si="20"/>
        <v/>
      </c>
      <c r="AX290" s="53" t="s">
        <v>148</v>
      </c>
      <c r="AY290" s="84" t="s">
        <v>319</v>
      </c>
      <c r="AZ290" s="53"/>
      <c r="BA290" s="53" t="s">
        <v>320</v>
      </c>
      <c r="BB290" s="53">
        <v>1</v>
      </c>
      <c r="BC290" s="83">
        <v>46202</v>
      </c>
      <c r="BD290" s="53"/>
      <c r="BE290" s="53"/>
    </row>
    <row r="291" spans="3:57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7"/>
        <v>1</v>
      </c>
      <c r="M291" s="26">
        <f t="shared" si="18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67">
        <f>SUMIFS([1]Up!$J:$J,[1]Up!$D:$D,D291)</f>
        <v>0</v>
      </c>
      <c r="AU291" s="82"/>
      <c r="AV291" s="82" t="str">
        <f t="shared" si="19"/>
        <v>PL20</v>
      </c>
      <c r="AW291" s="53" t="str">
        <f t="shared" si="20"/>
        <v/>
      </c>
      <c r="AX291" s="53" t="s">
        <v>148</v>
      </c>
      <c r="AY291" s="84" t="s">
        <v>319</v>
      </c>
      <c r="AZ291" s="53"/>
      <c r="BA291" s="53" t="s">
        <v>320</v>
      </c>
      <c r="BB291" s="53">
        <v>1</v>
      </c>
      <c r="BC291" s="83">
        <v>46202</v>
      </c>
      <c r="BD291" s="53"/>
      <c r="BE291" s="53"/>
    </row>
    <row r="292" spans="3:57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7"/>
        <v>2</v>
      </c>
      <c r="M292" s="26">
        <f t="shared" si="18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67">
        <f>SUMIFS([1]Up!$J:$J,[1]Up!$D:$D,D292)</f>
        <v>0</v>
      </c>
      <c r="AU292" s="82"/>
      <c r="AV292" s="82" t="str">
        <f t="shared" si="19"/>
        <v>PL20</v>
      </c>
      <c r="AW292" s="53" t="str">
        <f t="shared" si="20"/>
        <v/>
      </c>
      <c r="AX292" s="53" t="s">
        <v>148</v>
      </c>
      <c r="AY292" s="84" t="s">
        <v>319</v>
      </c>
      <c r="AZ292" s="53"/>
      <c r="BA292" s="53" t="s">
        <v>320</v>
      </c>
      <c r="BB292" s="53">
        <v>2</v>
      </c>
      <c r="BC292" s="83">
        <v>46202</v>
      </c>
      <c r="BD292" s="53"/>
      <c r="BE292" s="53"/>
    </row>
    <row r="293" spans="3:57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7"/>
        <v>2</v>
      </c>
      <c r="M293" s="26">
        <f t="shared" si="18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67">
        <f>SUMIFS([1]Up!$J:$J,[1]Up!$D:$D,D293)</f>
        <v>0</v>
      </c>
      <c r="AU293" s="82"/>
      <c r="AV293" s="82" t="str">
        <f t="shared" si="19"/>
        <v>PL20</v>
      </c>
      <c r="AW293" s="53" t="str">
        <f t="shared" si="20"/>
        <v/>
      </c>
      <c r="AX293" s="53" t="s">
        <v>148</v>
      </c>
      <c r="AY293" s="84" t="s">
        <v>319</v>
      </c>
      <c r="AZ293" s="53"/>
      <c r="BA293" s="53" t="s">
        <v>320</v>
      </c>
      <c r="BB293" s="53">
        <v>2</v>
      </c>
      <c r="BC293" s="83">
        <v>46202</v>
      </c>
      <c r="BD293" s="53"/>
      <c r="BE293" s="53"/>
    </row>
    <row r="294" spans="3:57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7"/>
        <v>2</v>
      </c>
      <c r="M294" s="26">
        <f t="shared" si="18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67">
        <f>SUMIFS([1]Up!$J:$J,[1]Up!$D:$D,D294)</f>
        <v>0</v>
      </c>
      <c r="AU294" s="82"/>
      <c r="AV294" s="82" t="str">
        <f t="shared" si="19"/>
        <v>PL20</v>
      </c>
      <c r="AW294" s="53" t="str">
        <f t="shared" si="20"/>
        <v/>
      </c>
      <c r="AX294" s="53" t="s">
        <v>148</v>
      </c>
      <c r="AY294" s="84" t="s">
        <v>319</v>
      </c>
      <c r="AZ294" s="53"/>
      <c r="BA294" s="53" t="s">
        <v>320</v>
      </c>
      <c r="BB294" s="53">
        <v>2</v>
      </c>
      <c r="BC294" s="83">
        <v>46202</v>
      </c>
      <c r="BD294" s="53"/>
      <c r="BE294" s="53"/>
    </row>
    <row r="295" spans="3:57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7"/>
        <v>2</v>
      </c>
      <c r="M295" s="26">
        <f t="shared" si="1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67">
        <f>SUMIFS([1]Up!$J:$J,[1]Up!$D:$D,D295)</f>
        <v>0</v>
      </c>
      <c r="AU295" s="82"/>
      <c r="AV295" s="82" t="str">
        <f t="shared" si="19"/>
        <v>PL20</v>
      </c>
      <c r="AW295" s="53" t="str">
        <f t="shared" si="20"/>
        <v/>
      </c>
      <c r="AX295" s="53" t="s">
        <v>148</v>
      </c>
      <c r="AY295" s="84" t="s">
        <v>319</v>
      </c>
      <c r="AZ295" s="53"/>
      <c r="BA295" s="53" t="s">
        <v>320</v>
      </c>
      <c r="BB295" s="53">
        <v>2</v>
      </c>
      <c r="BC295" s="83">
        <v>46202</v>
      </c>
      <c r="BD295" s="53"/>
      <c r="BE295" s="53"/>
    </row>
    <row r="296" spans="3:57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7"/>
        <v>0</v>
      </c>
      <c r="M296" s="26">
        <f t="shared" si="18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67">
        <f>SUMIFS([1]Up!$J:$J,[1]Up!$D:$D,D296)</f>
        <v>0</v>
      </c>
      <c r="AU296" s="82"/>
      <c r="AV296" s="82" t="e">
        <f t="shared" si="19"/>
        <v>#VALUE!</v>
      </c>
      <c r="AW296" s="53" t="str">
        <f t="shared" si="20"/>
        <v/>
      </c>
      <c r="AX296" s="53" t="s">
        <v>148</v>
      </c>
      <c r="AY296" s="53"/>
      <c r="AZ296" s="53"/>
      <c r="BA296" s="53"/>
      <c r="BB296" s="53"/>
      <c r="BC296" s="83"/>
      <c r="BD296" s="53"/>
      <c r="BE296" s="53"/>
    </row>
    <row r="297" spans="3:57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7"/>
        <v>0</v>
      </c>
      <c r="M297" s="26">
        <f t="shared" si="18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67">
        <f>SUMIFS([1]Up!$J:$J,[1]Up!$D:$D,D297)</f>
        <v>0</v>
      </c>
      <c r="AU297" s="82"/>
      <c r="AV297" s="82" t="str">
        <f t="shared" si="19"/>
        <v>PL10</v>
      </c>
      <c r="AW297" s="53" t="str">
        <f t="shared" si="20"/>
        <v/>
      </c>
      <c r="AX297" s="53" t="s">
        <v>148</v>
      </c>
      <c r="AY297" s="53"/>
      <c r="AZ297" s="53"/>
      <c r="BA297" s="53"/>
      <c r="BB297" s="53"/>
      <c r="BC297" s="83"/>
      <c r="BD297" s="53"/>
      <c r="BE297" s="53"/>
    </row>
    <row r="298" spans="3:57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7"/>
        <v>0</v>
      </c>
      <c r="M298" s="26">
        <f t="shared" si="18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67">
        <f>SUMIFS([1]Up!$J:$J,[1]Up!$D:$D,D298)</f>
        <v>0</v>
      </c>
      <c r="AU298" s="82"/>
      <c r="AV298" s="82" t="str">
        <f t="shared" si="19"/>
        <v>PL12</v>
      </c>
      <c r="AW298" s="53" t="str">
        <f t="shared" si="20"/>
        <v/>
      </c>
      <c r="AX298" s="53" t="s">
        <v>148</v>
      </c>
      <c r="AY298" s="53"/>
      <c r="AZ298" s="53"/>
      <c r="BA298" s="53"/>
      <c r="BB298" s="53"/>
      <c r="BC298" s="83"/>
      <c r="BD298" s="53"/>
      <c r="BE298" s="53"/>
    </row>
    <row r="299" spans="3:57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7"/>
        <v>0</v>
      </c>
      <c r="M299" s="26">
        <f t="shared" si="18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67">
        <f>SUMIFS([1]Up!$J:$J,[1]Up!$D:$D,D299)</f>
        <v>0</v>
      </c>
      <c r="AU299" s="82"/>
      <c r="AV299" s="82" t="e">
        <f t="shared" si="19"/>
        <v>#VALUE!</v>
      </c>
      <c r="AW299" s="53" t="str">
        <f t="shared" si="20"/>
        <v/>
      </c>
      <c r="AX299" s="53" t="s">
        <v>148</v>
      </c>
      <c r="AY299" s="53"/>
      <c r="AZ299" s="53"/>
      <c r="BA299" s="53"/>
      <c r="BB299" s="53"/>
      <c r="BC299" s="83"/>
      <c r="BD299" s="53"/>
      <c r="BE299" s="53"/>
    </row>
    <row r="300" spans="3:57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7"/>
        <v>0</v>
      </c>
      <c r="M300" s="26">
        <f t="shared" si="18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67">
        <f>SUMIFS([1]Up!$J:$J,[1]Up!$D:$D,D300)</f>
        <v>0</v>
      </c>
      <c r="AU300" s="82"/>
      <c r="AV300" s="82" t="str">
        <f t="shared" si="19"/>
        <v>PL10</v>
      </c>
      <c r="AW300" s="53" t="str">
        <f t="shared" si="20"/>
        <v/>
      </c>
      <c r="AX300" s="53" t="s">
        <v>148</v>
      </c>
      <c r="AY300" s="53"/>
      <c r="AZ300" s="53"/>
      <c r="BA300" s="53"/>
      <c r="BB300" s="53"/>
      <c r="BC300" s="83"/>
      <c r="BD300" s="53"/>
      <c r="BE300" s="53"/>
    </row>
    <row r="301" spans="3:57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7"/>
        <v>0</v>
      </c>
      <c r="M301" s="26">
        <f t="shared" si="18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67">
        <f>SUMIFS([1]Up!$J:$J,[1]Up!$D:$D,D301)</f>
        <v>0</v>
      </c>
      <c r="AU301" s="82"/>
      <c r="AV301" s="82" t="str">
        <f t="shared" si="19"/>
        <v>PL12</v>
      </c>
      <c r="AW301" s="53" t="str">
        <f t="shared" si="20"/>
        <v/>
      </c>
      <c r="AX301" s="53" t="s">
        <v>148</v>
      </c>
      <c r="AY301" s="53"/>
      <c r="AZ301" s="53"/>
      <c r="BA301" s="53"/>
      <c r="BB301" s="53"/>
      <c r="BC301" s="83"/>
      <c r="BD301" s="53"/>
      <c r="BE301" s="53"/>
    </row>
    <row r="302" spans="3:57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7"/>
        <v>0</v>
      </c>
      <c r="M302" s="26">
        <f t="shared" si="18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67">
        <f>SUMIFS([1]Up!$J:$J,[1]Up!$D:$D,D302)</f>
        <v>0</v>
      </c>
      <c r="AU302" s="82"/>
      <c r="AV302" s="82" t="e">
        <f t="shared" si="19"/>
        <v>#VALUE!</v>
      </c>
      <c r="AW302" s="53" t="str">
        <f t="shared" si="20"/>
        <v/>
      </c>
      <c r="AX302" s="53" t="s">
        <v>148</v>
      </c>
      <c r="AY302" s="53"/>
      <c r="AZ302" s="53"/>
      <c r="BA302" s="53"/>
      <c r="BB302" s="53"/>
      <c r="BC302" s="83"/>
      <c r="BD302" s="53"/>
      <c r="BE302" s="53"/>
    </row>
    <row r="303" spans="3:57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7"/>
        <v>0</v>
      </c>
      <c r="M303" s="26">
        <f t="shared" si="18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67">
        <f>SUMIFS([1]Up!$J:$J,[1]Up!$D:$D,D303)</f>
        <v>0</v>
      </c>
      <c r="AU303" s="82"/>
      <c r="AV303" s="82" t="str">
        <f t="shared" si="19"/>
        <v>PL10</v>
      </c>
      <c r="AW303" s="53" t="str">
        <f t="shared" si="20"/>
        <v/>
      </c>
      <c r="AX303" s="53" t="s">
        <v>148</v>
      </c>
      <c r="AY303" s="53"/>
      <c r="AZ303" s="53"/>
      <c r="BA303" s="53"/>
      <c r="BB303" s="53"/>
      <c r="BC303" s="83"/>
      <c r="BD303" s="53"/>
      <c r="BE303" s="53"/>
    </row>
    <row r="304" spans="3:57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7"/>
        <v>0</v>
      </c>
      <c r="M304" s="26">
        <f t="shared" si="1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67">
        <f>SUMIFS([1]Up!$J:$J,[1]Up!$D:$D,D304)</f>
        <v>0</v>
      </c>
      <c r="AU304" s="82"/>
      <c r="AV304" s="82" t="str">
        <f t="shared" si="19"/>
        <v>PL10</v>
      </c>
      <c r="AW304" s="53" t="str">
        <f t="shared" si="20"/>
        <v/>
      </c>
      <c r="AX304" s="53" t="s">
        <v>148</v>
      </c>
      <c r="AY304" s="53"/>
      <c r="AZ304" s="53"/>
      <c r="BA304" s="53"/>
      <c r="BB304" s="53"/>
      <c r="BC304" s="83"/>
      <c r="BD304" s="53"/>
      <c r="BE304" s="53"/>
    </row>
    <row r="305" spans="3:57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7"/>
        <v>0</v>
      </c>
      <c r="M305" s="26">
        <f t="shared" si="18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67">
        <f>SUMIFS([1]Up!$J:$J,[1]Up!$D:$D,D305)</f>
        <v>0</v>
      </c>
      <c r="AU305" s="82"/>
      <c r="AV305" s="82" t="e">
        <f t="shared" si="19"/>
        <v>#VALUE!</v>
      </c>
      <c r="AW305" s="53" t="str">
        <f t="shared" si="20"/>
        <v/>
      </c>
      <c r="AX305" s="53" t="s">
        <v>148</v>
      </c>
      <c r="AY305" s="53"/>
      <c r="AZ305" s="53"/>
      <c r="BA305" s="53"/>
      <c r="BB305" s="53"/>
      <c r="BC305" s="83"/>
      <c r="BD305" s="53"/>
      <c r="BE305" s="53"/>
    </row>
    <row r="306" spans="3:57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7"/>
        <v>0</v>
      </c>
      <c r="M306" s="26">
        <f t="shared" si="18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67">
        <f>SUMIFS([1]Up!$J:$J,[1]Up!$D:$D,D306)</f>
        <v>0</v>
      </c>
      <c r="AU306" s="82"/>
      <c r="AV306" s="82" t="str">
        <f t="shared" si="19"/>
        <v>PL10</v>
      </c>
      <c r="AW306" s="53" t="str">
        <f t="shared" si="20"/>
        <v/>
      </c>
      <c r="AX306" s="53" t="s">
        <v>148</v>
      </c>
      <c r="AY306" s="53"/>
      <c r="AZ306" s="53"/>
      <c r="BA306" s="53"/>
      <c r="BB306" s="53"/>
      <c r="BC306" s="83"/>
      <c r="BD306" s="53"/>
      <c r="BE306" s="53"/>
    </row>
    <row r="307" spans="3:57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7"/>
        <v>0</v>
      </c>
      <c r="M307" s="26">
        <f t="shared" si="18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67">
        <f>SUMIFS([1]Up!$J:$J,[1]Up!$D:$D,D307)</f>
        <v>0</v>
      </c>
      <c r="AU307" s="82"/>
      <c r="AV307" s="82" t="str">
        <f t="shared" si="19"/>
        <v>PL12</v>
      </c>
      <c r="AW307" s="53" t="str">
        <f t="shared" si="20"/>
        <v/>
      </c>
      <c r="AX307" s="53" t="s">
        <v>148</v>
      </c>
      <c r="AY307" s="53"/>
      <c r="AZ307" s="53"/>
      <c r="BA307" s="53"/>
      <c r="BB307" s="53"/>
      <c r="BC307" s="83"/>
      <c r="BD307" s="53"/>
      <c r="BE307" s="53"/>
    </row>
    <row r="308" spans="3:57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7"/>
        <v>0</v>
      </c>
      <c r="M308" s="26">
        <f t="shared" si="18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67">
        <f>SUMIFS([1]Up!$J:$J,[1]Up!$D:$D,D308)</f>
        <v>0</v>
      </c>
      <c r="AU308" s="82"/>
      <c r="AV308" s="82" t="e">
        <f t="shared" si="19"/>
        <v>#VALUE!</v>
      </c>
      <c r="AW308" s="53" t="str">
        <f t="shared" si="20"/>
        <v/>
      </c>
      <c r="AX308" s="53" t="s">
        <v>148</v>
      </c>
      <c r="AY308" s="53"/>
      <c r="AZ308" s="53"/>
      <c r="BA308" s="53"/>
      <c r="BB308" s="53"/>
      <c r="BC308" s="83"/>
      <c r="BD308" s="53"/>
      <c r="BE308" s="53"/>
    </row>
    <row r="309" spans="3:57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7"/>
        <v>0</v>
      </c>
      <c r="M309" s="26">
        <f t="shared" si="18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67">
        <f>SUMIFS([1]Up!$J:$J,[1]Up!$D:$D,D309)</f>
        <v>0</v>
      </c>
      <c r="AU309" s="82"/>
      <c r="AV309" s="82" t="str">
        <f t="shared" si="19"/>
        <v>PL12</v>
      </c>
      <c r="AW309" s="53" t="str">
        <f t="shared" si="20"/>
        <v/>
      </c>
      <c r="AX309" s="53" t="s">
        <v>148</v>
      </c>
      <c r="AY309" s="53"/>
      <c r="AZ309" s="53"/>
      <c r="BA309" s="53"/>
      <c r="BB309" s="53"/>
      <c r="BC309" s="83"/>
      <c r="BD309" s="53"/>
      <c r="BE309" s="53"/>
    </row>
    <row r="310" spans="3:57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7"/>
        <v>0</v>
      </c>
      <c r="M310" s="26">
        <f t="shared" si="18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67">
        <f>SUMIFS([1]Up!$J:$J,[1]Up!$D:$D,D310)</f>
        <v>0</v>
      </c>
      <c r="AU310" s="82"/>
      <c r="AV310" s="82" t="str">
        <f t="shared" si="19"/>
        <v>PL10</v>
      </c>
      <c r="AW310" s="53" t="str">
        <f t="shared" si="20"/>
        <v/>
      </c>
      <c r="AX310" s="53" t="s">
        <v>148</v>
      </c>
      <c r="AY310" s="53"/>
      <c r="AZ310" s="53"/>
      <c r="BA310" s="53"/>
      <c r="BB310" s="53"/>
      <c r="BC310" s="83"/>
      <c r="BD310" s="53"/>
      <c r="BE310" s="53"/>
    </row>
    <row r="311" spans="3:57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7"/>
        <v>0</v>
      </c>
      <c r="M311" s="26">
        <f t="shared" si="18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67">
        <f>SUMIFS([1]Up!$J:$J,[1]Up!$D:$D,D311)</f>
        <v>0</v>
      </c>
      <c r="AU311" s="82"/>
      <c r="AV311" s="82" t="e">
        <f t="shared" si="19"/>
        <v>#VALUE!</v>
      </c>
      <c r="AW311" s="53" t="str">
        <f t="shared" si="20"/>
        <v/>
      </c>
      <c r="AX311" s="53" t="s">
        <v>148</v>
      </c>
      <c r="AY311" s="53"/>
      <c r="AZ311" s="53"/>
      <c r="BA311" s="53"/>
      <c r="BB311" s="53"/>
      <c r="BC311" s="83"/>
      <c r="BD311" s="53"/>
      <c r="BE311" s="53"/>
    </row>
    <row r="312" spans="3:57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7"/>
        <v>0</v>
      </c>
      <c r="M312" s="26">
        <f t="shared" si="18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67">
        <f>SUMIFS([1]Up!$J:$J,[1]Up!$D:$D,D312)</f>
        <v>0</v>
      </c>
      <c r="AU312" s="82"/>
      <c r="AV312" s="82" t="str">
        <f t="shared" si="19"/>
        <v>PL10</v>
      </c>
      <c r="AW312" s="53" t="str">
        <f t="shared" si="20"/>
        <v/>
      </c>
      <c r="AX312" s="53" t="s">
        <v>148</v>
      </c>
      <c r="AY312" s="53"/>
      <c r="AZ312" s="53"/>
      <c r="BA312" s="53"/>
      <c r="BB312" s="53"/>
      <c r="BC312" s="83"/>
      <c r="BD312" s="53"/>
      <c r="BE312" s="53"/>
    </row>
    <row r="313" spans="3:57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7"/>
        <v>0</v>
      </c>
      <c r="M313" s="26">
        <f t="shared" si="18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67">
        <f>SUMIFS([1]Up!$J:$J,[1]Up!$D:$D,D313)</f>
        <v>0</v>
      </c>
      <c r="AU313" s="82"/>
      <c r="AV313" s="82" t="str">
        <f t="shared" si="19"/>
        <v>PL10</v>
      </c>
      <c r="AW313" s="53" t="str">
        <f t="shared" si="20"/>
        <v/>
      </c>
      <c r="AX313" s="53" t="s">
        <v>148</v>
      </c>
      <c r="AY313" s="53"/>
      <c r="AZ313" s="53"/>
      <c r="BA313" s="53"/>
      <c r="BB313" s="53"/>
      <c r="BC313" s="83"/>
      <c r="BD313" s="53"/>
      <c r="BE313" s="53"/>
    </row>
    <row r="314" spans="3:57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7"/>
        <v>5</v>
      </c>
      <c r="M314" s="26">
        <f t="shared" si="18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26"/>
      <c r="AS314" s="26"/>
      <c r="AT314" s="67">
        <f>SUMIFS([1]Up!$J:$J,[1]Up!$D:$D,D314)</f>
        <v>0</v>
      </c>
      <c r="AU314" s="82" t="s">
        <v>2253</v>
      </c>
      <c r="AV314" s="82" t="e">
        <f t="shared" si="19"/>
        <v>#VALUE!</v>
      </c>
      <c r="AW314" s="53" t="str">
        <f t="shared" si="20"/>
        <v/>
      </c>
      <c r="AX314" s="53" t="s">
        <v>154</v>
      </c>
      <c r="AY314" s="53"/>
      <c r="AZ314" s="53"/>
      <c r="BA314" s="53"/>
      <c r="BB314" s="53"/>
      <c r="BC314" s="83"/>
      <c r="BD314" s="53"/>
      <c r="BE314" s="53"/>
    </row>
    <row r="315" spans="3:57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7"/>
        <v>0</v>
      </c>
      <c r="M315" s="26">
        <f t="shared" si="18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67">
        <f>SUMIFS([1]Up!$J:$J,[1]Up!$D:$D,D315)</f>
        <v>0</v>
      </c>
      <c r="AU315" s="82"/>
      <c r="AV315" s="82" t="str">
        <f t="shared" si="19"/>
        <v>PL10</v>
      </c>
      <c r="AW315" s="53" t="str">
        <f t="shared" si="20"/>
        <v/>
      </c>
      <c r="AX315" s="53" t="s">
        <v>148</v>
      </c>
      <c r="AY315" s="53"/>
      <c r="AZ315" s="53"/>
      <c r="BA315" s="53"/>
      <c r="BB315" s="53"/>
      <c r="BC315" s="83"/>
      <c r="BD315" s="53"/>
      <c r="BE315" s="53"/>
    </row>
    <row r="316" spans="3:57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7"/>
        <v>32</v>
      </c>
      <c r="M316" s="26">
        <f t="shared" si="1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26"/>
      <c r="AS316" s="26"/>
      <c r="AT316" s="67">
        <f>SUMIFS([1]Up!$J:$J,[1]Up!$D:$D,D316)</f>
        <v>0</v>
      </c>
      <c r="AU316" s="82" t="s">
        <v>2378</v>
      </c>
      <c r="AV316" s="82" t="str">
        <f t="shared" si="19"/>
        <v>PL15</v>
      </c>
      <c r="AW316" s="53" t="str">
        <f t="shared" si="20"/>
        <v/>
      </c>
      <c r="AX316" s="53" t="s">
        <v>148</v>
      </c>
      <c r="AY316" s="53"/>
      <c r="AZ316" s="53"/>
      <c r="BA316" s="53"/>
      <c r="BB316" s="53"/>
      <c r="BC316" s="83"/>
      <c r="BD316" s="53"/>
      <c r="BE316" s="53"/>
    </row>
    <row r="317" spans="3:57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7"/>
        <v>8</v>
      </c>
      <c r="M317" s="26">
        <f t="shared" si="1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26"/>
      <c r="AS317" s="26"/>
      <c r="AT317" s="67">
        <f>SUMIFS([1]Up!$J:$J,[1]Up!$D:$D,D317)</f>
        <v>0</v>
      </c>
      <c r="AU317" s="82" t="s">
        <v>2379</v>
      </c>
      <c r="AV317" s="82" t="str">
        <f t="shared" si="19"/>
        <v>PL15</v>
      </c>
      <c r="AW317" s="53" t="str">
        <f t="shared" si="20"/>
        <v/>
      </c>
      <c r="AX317" s="53" t="s">
        <v>148</v>
      </c>
      <c r="AY317" s="53"/>
      <c r="AZ317" s="53"/>
      <c r="BA317" s="53"/>
      <c r="BB317" s="53"/>
      <c r="BC317" s="83"/>
      <c r="BD317" s="53"/>
      <c r="BE317" s="53"/>
    </row>
    <row r="318" spans="3:57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7"/>
        <v>8</v>
      </c>
      <c r="M318" s="26">
        <f t="shared" si="1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26"/>
      <c r="AS318" s="26"/>
      <c r="AT318" s="67">
        <f>SUMIFS([1]Up!$J:$J,[1]Up!$D:$D,D318)</f>
        <v>0</v>
      </c>
      <c r="AU318" s="82" t="s">
        <v>2254</v>
      </c>
      <c r="AV318" s="82" t="e">
        <f t="shared" si="19"/>
        <v>#VALUE!</v>
      </c>
      <c r="AW318" s="53" t="str">
        <f t="shared" si="20"/>
        <v>Thừa 6</v>
      </c>
      <c r="AX318" s="53" t="s">
        <v>154</v>
      </c>
      <c r="AY318" s="53"/>
      <c r="AZ318" s="53"/>
      <c r="BA318" s="53" t="s">
        <v>57</v>
      </c>
      <c r="BB318" s="53">
        <v>16</v>
      </c>
      <c r="BC318" s="83"/>
      <c r="BD318" s="53"/>
      <c r="BE318" s="53"/>
    </row>
    <row r="319" spans="3:57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7"/>
        <v>0</v>
      </c>
      <c r="M319" s="26">
        <f t="shared" si="18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67">
        <f>SUMIFS([1]Up!$J:$J,[1]Up!$D:$D,D319)</f>
        <v>0</v>
      </c>
      <c r="AU319" s="82"/>
      <c r="AV319" s="82" t="str">
        <f t="shared" si="19"/>
        <v>PL10</v>
      </c>
      <c r="AW319" s="53" t="str">
        <f t="shared" si="20"/>
        <v/>
      </c>
      <c r="AX319" s="53" t="s">
        <v>148</v>
      </c>
      <c r="AY319" s="84" t="s">
        <v>210</v>
      </c>
      <c r="AZ319" s="53"/>
      <c r="BA319" s="53" t="s">
        <v>211</v>
      </c>
      <c r="BB319" s="53">
        <v>8</v>
      </c>
      <c r="BC319" s="83">
        <v>46201</v>
      </c>
      <c r="BD319" s="53"/>
      <c r="BE319" s="53"/>
    </row>
    <row r="320" spans="3:57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7"/>
        <v>22</v>
      </c>
      <c r="M320" s="26">
        <f t="shared" si="18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26"/>
      <c r="AS320" s="26"/>
      <c r="AT320" s="67">
        <f>SUMIFS([1]Up!$J:$J,[1]Up!$D:$D,D320)</f>
        <v>0</v>
      </c>
      <c r="AU320" s="82" t="s">
        <v>2380</v>
      </c>
      <c r="AV320" s="82" t="str">
        <f t="shared" si="19"/>
        <v>PL15</v>
      </c>
      <c r="AW320" s="53" t="str">
        <f t="shared" si="20"/>
        <v/>
      </c>
      <c r="AX320" s="53" t="s">
        <v>148</v>
      </c>
      <c r="AY320" s="84" t="s">
        <v>200</v>
      </c>
      <c r="AZ320" s="53"/>
      <c r="BA320" s="53" t="s">
        <v>201</v>
      </c>
      <c r="BB320" s="53">
        <v>24</v>
      </c>
      <c r="BC320" s="83">
        <v>46201</v>
      </c>
      <c r="BD320" s="53"/>
      <c r="BE320" s="53"/>
    </row>
    <row r="321" spans="3:57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7"/>
        <v>8</v>
      </c>
      <c r="M321" s="26">
        <f t="shared" si="1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26"/>
      <c r="AS321" s="26"/>
      <c r="AT321" s="67">
        <f>SUMIFS([1]Up!$J:$J,[1]Up!$D:$D,D321)</f>
        <v>0</v>
      </c>
      <c r="AU321" s="82" t="s">
        <v>2379</v>
      </c>
      <c r="AV321" s="82" t="str">
        <f t="shared" si="19"/>
        <v>PL15</v>
      </c>
      <c r="AW321" s="53" t="str">
        <f t="shared" si="20"/>
        <v/>
      </c>
      <c r="AX321" s="53" t="s">
        <v>148</v>
      </c>
      <c r="AY321" s="84" t="s">
        <v>200</v>
      </c>
      <c r="AZ321" s="53"/>
      <c r="BA321" s="53" t="s">
        <v>201</v>
      </c>
      <c r="BB321" s="53">
        <v>8</v>
      </c>
      <c r="BC321" s="83">
        <v>46201</v>
      </c>
      <c r="BD321" s="53"/>
      <c r="BE321" s="53"/>
    </row>
    <row r="322" spans="3:57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7"/>
        <v>16</v>
      </c>
      <c r="M322" s="26">
        <f t="shared" si="1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26"/>
      <c r="AS322" s="26"/>
      <c r="AT322" s="67">
        <f>SUMIFS([1]Up!$J:$J,[1]Up!$D:$D,D322)</f>
        <v>0</v>
      </c>
      <c r="AU322" s="82" t="s">
        <v>2381</v>
      </c>
      <c r="AV322" s="82" t="str">
        <f t="shared" si="19"/>
        <v>PL15</v>
      </c>
      <c r="AW322" s="53" t="str">
        <f t="shared" si="20"/>
        <v/>
      </c>
      <c r="AX322" s="53" t="s">
        <v>148</v>
      </c>
      <c r="AY322" s="53"/>
      <c r="AZ322" s="53"/>
      <c r="BA322" s="53"/>
      <c r="BB322" s="53"/>
      <c r="BC322" s="83"/>
      <c r="BD322" s="53"/>
      <c r="BE322" s="53"/>
    </row>
    <row r="323" spans="3:57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7"/>
        <v>8</v>
      </c>
      <c r="M323" s="26">
        <f t="shared" si="18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26"/>
      <c r="AS323" s="26"/>
      <c r="AT323" s="67">
        <f>SUMIFS([1]Up!$J:$J,[1]Up!$D:$D,D323)</f>
        <v>0</v>
      </c>
      <c r="AU323" s="82" t="s">
        <v>2379</v>
      </c>
      <c r="AV323" s="82" t="str">
        <f t="shared" si="19"/>
        <v>PL15</v>
      </c>
      <c r="AW323" s="53" t="str">
        <f t="shared" si="20"/>
        <v/>
      </c>
      <c r="AX323" s="53" t="s">
        <v>148</v>
      </c>
      <c r="AY323" s="53"/>
      <c r="AZ323" s="53"/>
      <c r="BA323" s="53"/>
      <c r="BB323" s="53"/>
      <c r="BC323" s="83"/>
      <c r="BD323" s="53"/>
      <c r="BE323" s="53"/>
    </row>
    <row r="324" spans="3:57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7"/>
        <v>2</v>
      </c>
      <c r="M324" s="26">
        <f t="shared" si="18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26"/>
      <c r="AS324" s="26"/>
      <c r="AT324" s="67">
        <f>SUMIFS([1]Up!$J:$J,[1]Up!$D:$D,D324)</f>
        <v>0</v>
      </c>
      <c r="AU324" s="82" t="s">
        <v>2252</v>
      </c>
      <c r="AV324" s="82" t="e">
        <f t="shared" si="19"/>
        <v>#VALUE!</v>
      </c>
      <c r="AW324" s="53" t="str">
        <f t="shared" si="20"/>
        <v/>
      </c>
      <c r="AX324" s="53" t="s">
        <v>154</v>
      </c>
      <c r="AY324" s="53"/>
      <c r="AZ324" s="53"/>
      <c r="BA324" s="53"/>
      <c r="BB324" s="53"/>
      <c r="BC324" s="83"/>
      <c r="BD324" s="53"/>
      <c r="BE324" s="53"/>
    </row>
    <row r="325" spans="3:57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7"/>
        <v>0</v>
      </c>
      <c r="M325" s="26">
        <f t="shared" si="18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67">
        <f>SUMIFS([1]Up!$J:$J,[1]Up!$D:$D,D325)</f>
        <v>0</v>
      </c>
      <c r="AU325" s="82"/>
      <c r="AV325" s="82" t="str">
        <f t="shared" si="19"/>
        <v>PL10</v>
      </c>
      <c r="AW325" s="53" t="str">
        <f t="shared" si="20"/>
        <v/>
      </c>
      <c r="AX325" s="53" t="s">
        <v>148</v>
      </c>
      <c r="AY325" s="53"/>
      <c r="AZ325" s="53"/>
      <c r="BA325" s="53"/>
      <c r="BB325" s="53"/>
      <c r="BC325" s="83"/>
      <c r="BD325" s="53"/>
      <c r="BE325" s="53"/>
    </row>
    <row r="326" spans="3:57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82"/>
      <c r="AT326" s="67"/>
      <c r="AU326" s="82"/>
      <c r="AV326" s="82"/>
      <c r="AW326" s="53"/>
      <c r="AX326" s="53"/>
      <c r="AY326" s="53"/>
      <c r="AZ326" s="53"/>
      <c r="BA326" s="53"/>
      <c r="BB326" s="85"/>
      <c r="BC326" s="53"/>
      <c r="BD326" s="53"/>
      <c r="BE326" s="53"/>
    </row>
    <row r="327" spans="3:57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82"/>
      <c r="AT327" s="67"/>
      <c r="AU327" s="82"/>
      <c r="AV327" s="82"/>
      <c r="AW327" s="53"/>
      <c r="AX327" s="53"/>
      <c r="AY327" s="53"/>
      <c r="AZ327" s="53"/>
      <c r="BA327" s="53"/>
      <c r="BB327" s="85"/>
      <c r="BC327" s="53"/>
      <c r="BD327" s="53"/>
      <c r="BE327" s="53"/>
    </row>
    <row r="328" spans="3:57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82"/>
      <c r="AT328" s="67"/>
      <c r="AU328" s="82"/>
      <c r="AV328" s="82"/>
      <c r="AW328" s="53"/>
      <c r="AX328" s="53"/>
      <c r="AY328" s="53"/>
      <c r="AZ328" s="53"/>
      <c r="BA328" s="53"/>
      <c r="BB328" s="85"/>
      <c r="BC328" s="53"/>
      <c r="BD328" s="53"/>
      <c r="BE328" s="53"/>
    </row>
    <row r="329" spans="3:57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82"/>
      <c r="AT329" s="67"/>
      <c r="AU329" s="82"/>
      <c r="AV329" s="82"/>
      <c r="AW329" s="53"/>
      <c r="AX329" s="53"/>
      <c r="AY329" s="53"/>
      <c r="AZ329" s="53"/>
      <c r="BA329" s="53"/>
      <c r="BB329" s="85"/>
      <c r="BC329" s="53"/>
      <c r="BD329" s="53"/>
      <c r="BE329" s="53"/>
    </row>
    <row r="330" spans="3:57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67"/>
      <c r="AU330" s="82"/>
      <c r="AV330" s="82"/>
      <c r="AW330" s="53"/>
      <c r="AX330" s="53"/>
      <c r="AY330" s="53"/>
      <c r="AZ330" s="53"/>
      <c r="BA330" s="53"/>
      <c r="BB330" s="85"/>
      <c r="BC330" s="53"/>
      <c r="BD330" s="53"/>
      <c r="BE330" s="53"/>
    </row>
    <row r="331" spans="3:57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67"/>
      <c r="AU331" s="82"/>
      <c r="AV331" s="82"/>
      <c r="AW331" s="53"/>
      <c r="AX331" s="53"/>
      <c r="AY331" s="53"/>
      <c r="AZ331" s="53"/>
      <c r="BA331" s="53"/>
      <c r="BB331" s="85"/>
      <c r="BC331" s="53"/>
      <c r="BD331" s="53"/>
      <c r="BE331" s="53"/>
    </row>
    <row r="332" spans="3:57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82"/>
      <c r="AS332" s="82"/>
      <c r="AT332" s="67"/>
      <c r="AU332" s="82"/>
      <c r="AV332" s="82"/>
      <c r="AW332" s="53"/>
      <c r="AX332" s="53"/>
      <c r="AY332" s="53"/>
      <c r="AZ332" s="53"/>
      <c r="BA332" s="53"/>
      <c r="BB332" s="85"/>
      <c r="BC332" s="53"/>
      <c r="BD332" s="53"/>
      <c r="BE332" s="53"/>
    </row>
  </sheetData>
  <autoFilter ref="C29:BE332" xr:uid="{B5DE6D30-F474-449D-82A7-1262A8A8C8BB}">
    <filterColumn colId="43">
      <filters>
        <filter val="1.0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0.21428571428571427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</v>
      </c>
      <c r="U169" s="146">
        <f t="shared" ca="1" si="301"/>
        <v>0</v>
      </c>
      <c r="V169" s="146">
        <f t="shared" ca="1" si="302"/>
        <v>2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2</v>
      </c>
      <c r="AO169" s="146">
        <f t="shared" ca="1" si="309"/>
        <v>0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46">
        <f t="shared" ca="1" si="301"/>
        <v>0</v>
      </c>
      <c r="V172" s="146">
        <f t="shared" ca="1" si="302"/>
        <v>2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2</v>
      </c>
      <c r="AO172" s="146">
        <f t="shared" ca="1" si="309"/>
        <v>0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1</v>
      </c>
      <c r="X202" s="135">
        <f ca="1">SUMIFS(T:T,C:C,C202,AE:AE,"")/SUMIFS(L:L,C:C,C202,AE:AE,"",AB:AB,"")</f>
        <v>1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74"/>
        <v>0</v>
      </c>
      <c r="V205" s="146">
        <f t="shared" ca="1" si="375"/>
        <v>1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1</v>
      </c>
      <c r="AJ205" s="146">
        <f t="shared" ca="1" si="379"/>
        <v>0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1</v>
      </c>
      <c r="X220" s="135">
        <f ca="1">SUMIFS(T:T,C:C,C220,AE:AE,"")/SUMIFS(L:L,C:C,C220,AE:AE,"",AB:AB,"")</f>
        <v>1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146">
        <f t="shared" ca="1" si="428"/>
        <v>0</v>
      </c>
      <c r="V223" s="146">
        <f t="shared" ca="1" si="429"/>
        <v>1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1</v>
      </c>
      <c r="AJ223" s="146">
        <f t="shared" ca="1" si="433"/>
        <v>0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Q559"/>
  <sheetViews>
    <sheetView zoomScale="85" zoomScaleNormal="85" workbookViewId="0">
      <pane xSplit="13" ySplit="29" topLeftCell="AZ30" activePane="bottomRight" state="frozen"/>
      <selection activeCell="AJ30" sqref="AJ30"/>
      <selection pane="topRight" activeCell="AJ30" sqref="AJ30"/>
      <selection pane="bottomLeft" activeCell="AJ30" sqref="AJ30"/>
      <selection pane="bottomRight" activeCell="BF559" sqref="BF55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5" width="6.875" style="3" customWidth="1"/>
    <col min="56" max="56" width="7.25" style="3" customWidth="1"/>
    <col min="57" max="57" width="8.625" style="3" customWidth="1"/>
    <col min="58" max="58" width="9.875" style="3" customWidth="1"/>
    <col min="59" max="59" width="8.625" style="3" customWidth="1"/>
    <col min="60" max="60" width="8.75" style="3" customWidth="1"/>
    <col min="61" max="61" width="7.5" style="3" customWidth="1"/>
    <col min="62" max="62" width="11.125" style="3" customWidth="1"/>
    <col min="63" max="64" width="9" style="3" customWidth="1"/>
    <col min="65" max="65" width="8.75" style="3" customWidth="1"/>
    <col min="66" max="66" width="8.625" style="3" customWidth="1"/>
    <col min="67" max="68" width="9" style="3" customWidth="1"/>
    <col min="69" max="16384" width="8.75" style="3"/>
  </cols>
  <sheetData>
    <row r="1" spans="4:56" ht="19.5">
      <c r="D1" s="1" t="s">
        <v>951</v>
      </c>
      <c r="E1" s="2"/>
      <c r="F1" s="2"/>
      <c r="G1" s="2"/>
      <c r="H1" s="2"/>
    </row>
    <row r="2" spans="4:56" ht="13.5" thickBot="1"/>
    <row r="3" spans="4:56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</row>
    <row r="4" spans="4:56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5"/>
    </row>
    <row r="5" spans="4:56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96</v>
      </c>
      <c r="H5" s="26" cm="1">
        <f t="array" ref="H5">SUMPRODUCT(--($C$30:$C$556=$D5),$L$30:$L$556,$J$30:$J$556)</f>
        <v>1083.8867000000002</v>
      </c>
      <c r="I5" s="26" cm="1">
        <f t="array" ref="I5">SUMPRODUCT(--($C$30:$C$556=$D5),$M$30:$M$556)</f>
        <v>146</v>
      </c>
      <c r="J5" s="27" cm="1">
        <f t="array" ref="J5">SUMPRODUCT(--($C$30:$C$556=$D5),$M$30:$M$556,$J$30:$J$556)</f>
        <v>1556.7084199999999</v>
      </c>
      <c r="L5" s="28" t="s">
        <v>12</v>
      </c>
      <c r="M5" s="29">
        <f>G8</f>
        <v>990</v>
      </c>
      <c r="N5" s="30">
        <f>H8</f>
        <v>122493.75670000001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</row>
    <row r="6" spans="4:56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894</v>
      </c>
      <c r="H6" s="26" cm="1">
        <f t="array" ref="H6">SUMPRODUCT(--($C$30:$C$556=$D6),$L$30:$L$556,$J$30:$J$556)</f>
        <v>121409.87000000001</v>
      </c>
      <c r="I6" s="26" cm="1">
        <f t="array" ref="I6">SUMPRODUCT(--($C$30:$C$556=$D6),$M$30:$M$556)</f>
        <v>848</v>
      </c>
      <c r="J6" s="27" cm="1">
        <f t="array" ref="J6">SUMPRODUCT(--($C$30:$C$556=$D6),$M$30:$M$556,$J$30:$J$556)</f>
        <v>67651.288726114653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</row>
    <row r="7" spans="4:56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6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990</v>
      </c>
      <c r="H8" s="41">
        <f t="shared" si="0"/>
        <v>122493.75670000001</v>
      </c>
      <c r="I8" s="41">
        <f t="shared" si="0"/>
        <v>1103</v>
      </c>
      <c r="J8" s="42">
        <f t="shared" si="0"/>
        <v>71455.906746114648</v>
      </c>
    </row>
    <row r="9" spans="4:56" ht="13.5" hidden="1" outlineLevel="1" thickTop="1"/>
    <row r="10" spans="4:56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6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</row>
    <row r="12" spans="4:56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</row>
    <row r="13" spans="4:56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</row>
    <row r="14" spans="4:56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1520</v>
      </c>
      <c r="J14" s="50" cm="1">
        <f t="array" ref="J14">SUMPRODUCT(--($C$30:$C$556=$D$11),--($E$30:$E$556=J$11),$L$30:$L$556,$G$30:$G$556)</f>
        <v>376</v>
      </c>
      <c r="K14" s="50" cm="1">
        <f t="array" ref="K14">SUMPRODUCT(--($C$30:$C$556=$D$11),--($E$30:$E$556=K$11),$L$30:$L$556,$G$30:$G$556)</f>
        <v>1304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</row>
    <row r="15" spans="4:56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16</v>
      </c>
      <c r="J15" s="53" cm="1">
        <f t="array" ref="J15">SUMPRODUCT(--($C$30:$C$556=$D$11),--($E$30:$E$556=J$11),$L$30:$L$556)</f>
        <v>2</v>
      </c>
      <c r="K15" s="53" cm="1">
        <f t="array" ref="K15">SUMPRODUCT(--($C$30:$C$556=$D$11),--($E$30:$E$556=K$11),$L$30:$L$556)</f>
        <v>4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</row>
    <row r="16" spans="4:56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4560</v>
      </c>
      <c r="J16" s="50" cm="1">
        <f t="array" ref="J16">SUMPRODUCT(--($C$30:$C$556=$D$11),--($E$30:$E$556=J$11),$M$30:$M$556,$G$30:$G$556)</f>
        <v>376</v>
      </c>
      <c r="K16" s="50" cm="1">
        <f t="array" ref="K16">SUMPRODUCT(--($C$30:$C$556=$D$11),--($E$30:$E$556=K$11),$M$30:$M$556,$G$30:$G$556)</f>
        <v>1304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</row>
    <row r="17" spans="3:68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48</v>
      </c>
      <c r="J17" s="58" cm="1">
        <f t="array" ref="J17">SUMPRODUCT(--($C$30:$C$556=$D$11),--($E$30:$E$556=J$11),$M$30:$M$556)</f>
        <v>2</v>
      </c>
      <c r="K17" s="58" cm="1">
        <f t="array" ref="K17">SUMPRODUCT(--($C$30:$C$556=$D$11),--($E$30:$E$556=K$11),$M$30:$M$556)</f>
        <v>4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</row>
    <row r="18" spans="3:68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14.399999999999999</v>
      </c>
      <c r="J18" s="61" cm="1">
        <f t="array" ref="J18">SUMPRODUCT(--($C$30:$C$556=$D$11),--($E$30:$E$556=J$11),$M$30:$M$556,$J$30:$J$556)</f>
        <v>0.6</v>
      </c>
      <c r="K18" s="61" cm="1">
        <f t="array" ref="K18">SUMPRODUCT(--($C$30:$C$556=$D$11),--($E$30:$E$556=K$11),$M$30:$M$556,$J$30:$J$556)</f>
        <v>3.2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</row>
    <row r="19" spans="3:68" ht="13.5" hidden="1" outlineLevel="1" thickTop="1"/>
    <row r="20" spans="3:68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8" ht="13.5" hidden="1" outlineLevel="1" thickTop="1">
      <c r="D21" s="63" t="s">
        <v>13</v>
      </c>
      <c r="E21" s="64" t="str" cm="1">
        <f t="array" ref="E21:P21">_xlfn._xlws.SORT(MID(TRANSPOSE(_xlfn.UNIQUE(_xlfn._xlws.FILTER(BG30:BG556,(C30:C556=$D$21)*(M30:M556&lt;&gt;0)))),3,3),,1)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</row>
    <row r="22" spans="3:68" ht="30.75" hidden="1" customHeight="1" outlineLevel="2">
      <c r="D22" s="66" t="s">
        <v>24</v>
      </c>
      <c r="E22" s="67" cm="1">
        <f t="array" ref="E22">SUMPRODUCT(--($C$30:$C$556=$D$21),--($BG$30:$BG$556="PL"&amp;E$21),$J$30:$J$556,$I$30:$I$556)/(7.85*E$21)</f>
        <v>1.1627700920929855</v>
      </c>
      <c r="F22" s="67" cm="1">
        <f t="array" ref="F22">SUMPRODUCT(--($C$30:$C$556=$D$21),--($BG$30:$BG$556="PL"&amp;F$21),$J$30:$J$556,$I$30:$I$556)/(7.85*F$21)</f>
        <v>0.81188959660297255</v>
      </c>
      <c r="G22" s="67" cm="1">
        <f t="array" ref="G22">SUMPRODUCT(--($C$30:$C$556=$D$21),--($BG$30:$BG$556="PL"&amp;G$21),$J$30:$J$556,$I$30:$I$556)/(7.85*G$21)</f>
        <v>2.6751592356687901</v>
      </c>
      <c r="H22" s="67" cm="1">
        <f t="array" ref="H22">SUMPRODUCT(--($C$30:$C$556=$D$21),--($BG$30:$BG$556="PL"&amp;H$21),$J$30:$J$556,$I$30:$I$556)/(7.85*H$21)</f>
        <v>3.8471337579617839</v>
      </c>
      <c r="I22" s="67" cm="1">
        <f t="array" ref="I22">SUMPRODUCT(--($C$30:$C$556=$D$21),--($BG$30:$BG$556="PL"&amp;I$21),$J$30:$J$556,$I$30:$I$556)/(7.85*I$21)</f>
        <v>8.4920382165605055</v>
      </c>
      <c r="J22" s="67" cm="1">
        <f t="array" ref="J22">SUMPRODUCT(--($C$30:$C$556=$D$21),--($BG$30:$BG$556="PL"&amp;J$21),$J$30:$J$556,$I$30:$I$556)/(7.85*J$21)</f>
        <v>0.89171974522292996</v>
      </c>
      <c r="K22" s="67" cm="1">
        <f t="array" ref="K22">SUMPRODUCT(--($C$30:$C$556=$D$21),--($BG$30:$BG$556="PL"&amp;K$21),$J$30:$J$556,$I$30:$I$556)/(7.85*K$21)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</row>
    <row r="23" spans="3:68" ht="21" hidden="1" customHeight="1" outlineLevel="2">
      <c r="D23" s="66" t="s">
        <v>17</v>
      </c>
      <c r="E23" s="69" cm="1">
        <f t="array" ref="E23">SUMPRODUCT(--($C$30:$C$556=$D$21),--($BG$30:$BG$556="PL"&amp;E$21),$I$30:$I$556)</f>
        <v>52</v>
      </c>
      <c r="F23" s="69" cm="1">
        <f t="array" ref="F23">SUMPRODUCT(--($C$30:$C$556=$D$21),--($BG$30:$BG$556="PL"&amp;F$21),$I$30:$I$556)</f>
        <v>35</v>
      </c>
      <c r="G23" s="69" cm="1">
        <f t="array" ref="G23">SUMPRODUCT(--($C$30:$C$556=$D$21),--($BG$30:$BG$556="PL"&amp;G$21),$I$30:$I$556)</f>
        <v>111</v>
      </c>
      <c r="H23" s="69" cm="1">
        <f t="array" ref="H23">SUMPRODUCT(--($C$30:$C$556=$D$21),--($BG$30:$BG$556="PL"&amp;H$21),$I$30:$I$556)</f>
        <v>214</v>
      </c>
      <c r="I23" s="69" cm="1">
        <f t="array" ref="I23">SUMPRODUCT(--($C$30:$C$556=$D$21),--($BG$30:$BG$556="PL"&amp;I$21),$I$30:$I$556)</f>
        <v>296</v>
      </c>
      <c r="J23" s="69" cm="1">
        <f t="array" ref="J23">SUMPRODUCT(--($C$30:$C$556=$D$21),--($BG$30:$BG$556="PL"&amp;J$21),$I$30:$I$556)</f>
        <v>32</v>
      </c>
      <c r="K23" s="69" cm="1">
        <f t="array" ref="K23">SUMPRODUCT(--($C$30:$C$556=$D$21),--($BG$30:$BG$556="PL"&amp;K$21),$I$30:$I$556)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</row>
    <row r="24" spans="3:68" ht="25.9" hidden="1" customHeight="1" outlineLevel="2">
      <c r="D24" s="66" t="s">
        <v>25</v>
      </c>
      <c r="E24" s="67" cm="1">
        <f t="array" ref="E24">SUMPRODUCT(--($C$30:$C$556=$D$21),--($BG$30:$BG$556="PL"&amp;E$21),$J$30:$J$556,$M$30:$M$556)/(7.85*E$21)</f>
        <v>0.85703760801655227</v>
      </c>
      <c r="F24" s="67" cm="1">
        <f t="array" ref="F24">SUMPRODUCT(--($C$30:$C$556=$D$21),--($BG$30:$BG$556="PL"&amp;F$21),$J$30:$J$556,$M$30:$M$556)/(7.85*F$21)</f>
        <v>0.58598726114649691</v>
      </c>
      <c r="G24" s="67" cm="1">
        <f t="array" ref="G24">SUMPRODUCT(--($C$30:$C$556=$D$21),--($BG$30:$BG$556="PL"&amp;G$21),$J$30:$J$556,$M$30:$M$556)/(7.85*G$21)</f>
        <v>2.3598726114649682</v>
      </c>
      <c r="H24" s="67" cm="1">
        <f t="array" ref="H24">SUMPRODUCT(--($C$30:$C$556=$D$21),--($BG$30:$BG$556="PL"&amp;H$21),$J$30:$J$556,$M$30:$M$556)/(7.85*H$21)</f>
        <v>2.5987261146496814</v>
      </c>
      <c r="I24" s="67" cm="1">
        <f t="array" ref="I24">SUMPRODUCT(--($C$30:$C$556=$D$21),--($BG$30:$BG$556="PL"&amp;I$21),$J$30:$J$556,$M$30:$M$556)/(7.85*I$21)</f>
        <v>2.6122611464968157</v>
      </c>
      <c r="J24" s="67" cm="1">
        <f t="array" ref="J24">SUMPRODUCT(--($C$30:$C$556=$D$21),--($BG$30:$BG$556="PL"&amp;J$21),$J$30:$J$556,$M$30:$M$556)/(7.85*J$21)</f>
        <v>0.61305732484076436</v>
      </c>
      <c r="K24" s="67" cm="1">
        <f t="array" ref="K24">SUMPRODUCT(--($C$30:$C$556=$D$21),--($BG$30:$BG$556="PL"&amp;K$21),$J$30:$J$556,$M$30:$M$556)/(7.85*K$21)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</row>
    <row r="25" spans="3:68" ht="19.5" hidden="1" customHeight="1" outlineLevel="2">
      <c r="D25" s="71" t="s">
        <v>26</v>
      </c>
      <c r="E25" s="69" cm="1">
        <f t="array" ref="E25">SUMPRODUCT(--($C$30:$C$556=$D$21),--($BG$30:$BG$556="PL"&amp;E$21),$M$30:$M$556)</f>
        <v>36</v>
      </c>
      <c r="F25" s="69" cm="1">
        <f t="array" ref="F25">SUMPRODUCT(--($C$30:$C$556=$D$21),--($BG$30:$BG$556="PL"&amp;F$21),$M$30:$M$556)</f>
        <v>26</v>
      </c>
      <c r="G25" s="69" cm="1">
        <f t="array" ref="G25">SUMPRODUCT(--($C$30:$C$556=$D$21),--($BG$30:$BG$556="PL"&amp;G$21),$M$30:$M$556)</f>
        <v>81</v>
      </c>
      <c r="H25" s="69" cm="1">
        <f t="array" ref="H25">SUMPRODUCT(--($C$30:$C$556=$D$21),--($BG$30:$BG$556="PL"&amp;H$21),$M$30:$M$556)</f>
        <v>156</v>
      </c>
      <c r="I25" s="69" cm="1">
        <f t="array" ref="I25">SUMPRODUCT(--($C$30:$C$556=$D$21),--($BG$30:$BG$556="PL"&amp;I$21),$M$30:$M$556)</f>
        <v>87</v>
      </c>
      <c r="J25" s="69" cm="1">
        <f t="array" ref="J25">SUMPRODUCT(--($C$30:$C$556=$D$21),--($BG$30:$BG$556="PL"&amp;J$21),$M$30:$M$556)</f>
        <v>22</v>
      </c>
      <c r="K25" s="69" cm="1">
        <f t="array" ref="K25">SUMPRODUCT(--($C$30:$C$556=$D$21),--($BG$30:$BG$556="PL"&amp;K$21),$M$30:$M$556)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</row>
    <row r="26" spans="3:68" ht="25.9" hidden="1" customHeight="1" outlineLevel="1" collapsed="1" thickBot="1">
      <c r="D26" s="72" t="s">
        <v>27</v>
      </c>
      <c r="E26" s="67" cm="1">
        <f t="array" ref="E26">SUMPRODUCT(--($C$30:$C$556=$D$21),--($BG$30:$BG$556="PL"&amp;E$21),$J$30:$J$556,$M$30:$M$556)</f>
        <v>33.638726114649678</v>
      </c>
      <c r="F26" s="67" cm="1">
        <f t="array" ref="F26">SUMPRODUCT(--($C$30:$C$556=$D$21),--($BG$30:$BG$556="PL"&amp;F$21),$J$30:$J$556,$M$30:$M$556)</f>
        <v>13.8</v>
      </c>
      <c r="G26" s="67" cm="1">
        <f t="array" ref="G26">SUMPRODUCT(--($C$30:$C$556=$D$21),--($BG$30:$BG$556="PL"&amp;G$21),$J$30:$J$556,$M$30:$M$556)</f>
        <v>37.049999999999997</v>
      </c>
      <c r="H26" s="67" cm="1">
        <f t="array" ref="H26">SUMPRODUCT(--($C$30:$C$556=$D$21),--($BG$30:$BG$556="PL"&amp;H$21),$J$30:$J$556,$M$30:$M$556)</f>
        <v>20.399999999999999</v>
      </c>
      <c r="I26" s="67" cm="1">
        <f t="array" ref="I26">SUMPRODUCT(--($C$30:$C$556=$D$21),--($BG$30:$BG$556="PL"&amp;I$21),$J$30:$J$556,$M$30:$M$556)</f>
        <v>328.1</v>
      </c>
      <c r="J26" s="67" cm="1">
        <f t="array" ref="J26">SUMPRODUCT(--($C$30:$C$556=$D$21),--($BG$30:$BG$556="PL"&amp;J$21),$J$30:$J$556,$M$30:$M$556)</f>
        <v>192.5</v>
      </c>
      <c r="K26" s="67" cm="1">
        <f t="array" ref="K26">SUMPRODUCT(--($C$30:$C$556=$D$21),--($BG$30:$BG$556="PL"&amp;K$21),$J$30:$J$556,$M$30:$M$556)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</row>
    <row r="27" spans="3:68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134.19999999999999</v>
      </c>
      <c r="AY27" s="73" cm="1">
        <f t="array" ref="AY27">SUMPRODUCT($J$30:$J$556,AY30:AY556,--(AY30:AY556&lt;&gt;""))</f>
        <v>21.7</v>
      </c>
      <c r="AZ27" s="73" cm="1">
        <f t="array" ref="AZ27">SUMPRODUCT($J$30:$J$556,AZ30:AZ556,--(AZ30:AZ556&lt;&gt;""))</f>
        <v>316.8</v>
      </c>
      <c r="BA27" s="73" cm="1">
        <f t="array" ref="BA27">SUMPRODUCT($J$30:$J$556,BA30:BA556,--(BA30:BA556&lt;&gt;""))</f>
        <v>1209.3999999999999</v>
      </c>
      <c r="BB27" s="73" cm="1">
        <f t="array" ref="BB27">SUMPRODUCT($J$30:$J$556,BB30:BB556,--(BB30:BB556&lt;&gt;""))</f>
        <v>334.3</v>
      </c>
      <c r="BC27" s="73" cm="1">
        <f t="array" ref="BC27">SUMPRODUCT($J$30:$J$556,BC30:BC556,--(BC30:BC556&lt;&gt;""))</f>
        <v>6.8500000000000005</v>
      </c>
      <c r="BD27" s="73" cm="1">
        <f t="array" ref="BD27">SUMPRODUCT($J$30:$J$556,BD30:BD556,--(BD30:BD556&lt;&gt;""))</f>
        <v>316.88</v>
      </c>
      <c r="BE27" s="73" cm="1">
        <f t="array" ref="BE27">SUMPRODUCT($J$30:$J$556,BE30:BE556,--(BE30:BE556&lt;&gt;""))</f>
        <v>225.10000000000002</v>
      </c>
    </row>
    <row r="28" spans="3:6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 t="shared" ref="AX28:AY28" si="15">SUM(AX30:AX556)</f>
        <v>12</v>
      </c>
      <c r="AY28" s="75">
        <f t="shared" si="15"/>
        <v>4</v>
      </c>
      <c r="AZ28" s="75">
        <f t="shared" ref="AZ28:BA28" si="16">SUM(AZ30:AZ556)</f>
        <v>10</v>
      </c>
      <c r="BA28" s="75">
        <f t="shared" si="16"/>
        <v>26</v>
      </c>
      <c r="BB28" s="75">
        <f t="shared" ref="BB28:BC28" si="17">SUM(BB30:BB556)</f>
        <v>64</v>
      </c>
      <c r="BC28" s="75">
        <f t="shared" si="17"/>
        <v>25</v>
      </c>
      <c r="BD28" s="75">
        <f>SUM(BD30:BD556)</f>
        <v>7</v>
      </c>
      <c r="BE28" s="75">
        <f t="shared" ref="BE28" si="18">SUM(BE30:BE556)</f>
        <v>62</v>
      </c>
      <c r="BF28" s="74"/>
      <c r="BG28" s="74"/>
    </row>
    <row r="29" spans="3:68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9">
        <v>46301</v>
      </c>
      <c r="AY29" s="79">
        <v>46303</v>
      </c>
      <c r="AZ29" s="79">
        <v>46304</v>
      </c>
      <c r="BA29" s="79">
        <v>46305</v>
      </c>
      <c r="BB29" s="79">
        <v>46307</v>
      </c>
      <c r="BC29" s="79">
        <v>46339</v>
      </c>
      <c r="BD29" s="78" t="s">
        <v>34</v>
      </c>
      <c r="BE29" s="77" t="s">
        <v>35</v>
      </c>
      <c r="BF29" s="77" t="s">
        <v>36</v>
      </c>
      <c r="BG29" s="77" t="s">
        <v>37</v>
      </c>
      <c r="BH29" s="80" t="s">
        <v>38</v>
      </c>
      <c r="BI29" s="80" t="s">
        <v>39</v>
      </c>
      <c r="BJ29" s="80" t="s">
        <v>40</v>
      </c>
      <c r="BK29" s="80" t="s">
        <v>41</v>
      </c>
      <c r="BL29" s="80" t="s">
        <v>42</v>
      </c>
      <c r="BM29" s="80" t="s">
        <v>43</v>
      </c>
      <c r="BN29" s="81" t="s">
        <v>44</v>
      </c>
      <c r="BO29" s="80"/>
      <c r="BP29" s="80"/>
    </row>
    <row r="30" spans="3:68" ht="14.25" hidden="1" customHeight="1">
      <c r="C30" s="82" t="s">
        <v>13</v>
      </c>
      <c r="D30" s="82" t="s">
        <v>952</v>
      </c>
      <c r="E30" s="82" t="s">
        <v>953</v>
      </c>
      <c r="F30" s="82" t="s">
        <v>954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9">MIN(SUM(N30:BD30),I30)</f>
        <v>8</v>
      </c>
      <c r="M30" s="26">
        <f t="shared" ref="M30:M284" si="20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26"/>
      <c r="AZ30" s="26"/>
      <c r="BA30" s="26"/>
      <c r="BB30" s="26"/>
      <c r="BC30" s="26"/>
      <c r="BD30" s="26"/>
      <c r="BE30" s="67">
        <f>SUMIFS([1]Up!$J:$J,[1]Up!$D:$D,D30)</f>
        <v>0</v>
      </c>
      <c r="BF30" s="82"/>
      <c r="BG30" s="82" t="str">
        <f t="shared" ref="BG30:BG93" si="21">IFERROR(IF(C30="Plate",LEFT(E30,FIND("*",E30,1)-1),""),IF(C30="Plate",LEFT(E30,FIND("x",E30,1)-1),""))</f>
        <v>PL5</v>
      </c>
      <c r="BH30" s="53" t="str">
        <f t="shared" ref="BH30:BH93" si="22">IF(ROUND(SUM(N30:BD30)-I30,0)&gt;0,"Thừa "&amp;SUM(N30:BD30)-I30,"")</f>
        <v/>
      </c>
      <c r="BI30" s="53" t="s">
        <v>148</v>
      </c>
      <c r="BJ30" s="53" t="s">
        <v>955</v>
      </c>
      <c r="BK30" s="53" t="s">
        <v>956</v>
      </c>
      <c r="BL30" s="53" t="s">
        <v>957</v>
      </c>
      <c r="BM30" s="53">
        <v>8</v>
      </c>
      <c r="BN30" s="83" t="s">
        <v>2222</v>
      </c>
      <c r="BO30" s="53"/>
      <c r="BP30" s="53"/>
    </row>
    <row r="31" spans="3:68" ht="14.25" hidden="1" customHeight="1">
      <c r="C31" s="82" t="s">
        <v>13</v>
      </c>
      <c r="D31" s="82" t="s">
        <v>958</v>
      </c>
      <c r="E31" s="82" t="s">
        <v>959</v>
      </c>
      <c r="F31" s="82" t="s">
        <v>954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9"/>
        <v>8</v>
      </c>
      <c r="M31" s="26">
        <f t="shared" si="20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26"/>
      <c r="AZ31" s="26"/>
      <c r="BA31" s="26"/>
      <c r="BB31" s="26"/>
      <c r="BC31" s="26"/>
      <c r="BD31" s="26"/>
      <c r="BE31" s="67">
        <f>SUMIFS([1]Up!$J:$J,[1]Up!$D:$D,D31)</f>
        <v>0</v>
      </c>
      <c r="BF31" s="82"/>
      <c r="BG31" s="82" t="str">
        <f t="shared" si="21"/>
        <v>PL3</v>
      </c>
      <c r="BH31" s="53" t="str">
        <f t="shared" si="22"/>
        <v/>
      </c>
      <c r="BI31" s="53" t="s">
        <v>148</v>
      </c>
      <c r="BJ31" s="53" t="s">
        <v>960</v>
      </c>
      <c r="BK31" s="53" t="s">
        <v>961</v>
      </c>
      <c r="BL31" s="53" t="s">
        <v>962</v>
      </c>
      <c r="BM31" s="53">
        <v>8</v>
      </c>
      <c r="BN31" s="83" t="s">
        <v>2222</v>
      </c>
      <c r="BO31" s="53"/>
      <c r="BP31" s="53"/>
    </row>
    <row r="32" spans="3:68" ht="14.25" hidden="1" customHeight="1">
      <c r="C32" s="82" t="s">
        <v>13</v>
      </c>
      <c r="D32" s="82" t="s">
        <v>963</v>
      </c>
      <c r="E32" s="82" t="s">
        <v>964</v>
      </c>
      <c r="F32" s="82" t="s">
        <v>954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9"/>
        <v>24</v>
      </c>
      <c r="M32" s="26">
        <f t="shared" si="20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26"/>
      <c r="AZ32" s="26"/>
      <c r="BA32" s="26"/>
      <c r="BB32" s="26"/>
      <c r="BC32" s="26"/>
      <c r="BD32" s="26"/>
      <c r="BE32" s="67">
        <f>SUMIFS([1]Up!$J:$J,[1]Up!$D:$D,D32)</f>
        <v>0</v>
      </c>
      <c r="BF32" s="82"/>
      <c r="BG32" s="82" t="str">
        <f t="shared" si="21"/>
        <v>PL2</v>
      </c>
      <c r="BH32" s="53" t="str">
        <f t="shared" si="22"/>
        <v/>
      </c>
      <c r="BI32" s="53" t="s">
        <v>148</v>
      </c>
      <c r="BJ32" s="53" t="s">
        <v>965</v>
      </c>
      <c r="BK32" s="53" t="s">
        <v>966</v>
      </c>
      <c r="BL32" s="53" t="s">
        <v>967</v>
      </c>
      <c r="BM32" s="53">
        <v>24</v>
      </c>
      <c r="BN32" s="83" t="s">
        <v>2222</v>
      </c>
      <c r="BO32" s="53"/>
      <c r="BP32" s="53"/>
    </row>
    <row r="33" spans="3:69" ht="14.25" hidden="1" customHeight="1">
      <c r="C33" s="82" t="s">
        <v>13</v>
      </c>
      <c r="D33" s="82" t="s">
        <v>968</v>
      </c>
      <c r="E33" s="82" t="s">
        <v>969</v>
      </c>
      <c r="F33" s="82" t="s">
        <v>954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9"/>
        <v>48</v>
      </c>
      <c r="M33" s="26">
        <f t="shared" si="20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26"/>
      <c r="AZ33" s="26"/>
      <c r="BA33" s="26"/>
      <c r="BB33" s="26"/>
      <c r="BC33" s="26"/>
      <c r="BD33" s="26"/>
      <c r="BE33" s="67">
        <f>SUMIFS([1]Up!$J:$J,[1]Up!$D:$D,D33)</f>
        <v>0</v>
      </c>
      <c r="BF33" s="82"/>
      <c r="BG33" s="82" t="str">
        <f t="shared" si="21"/>
        <v>PL1</v>
      </c>
      <c r="BH33" s="53" t="str">
        <f t="shared" si="22"/>
        <v/>
      </c>
      <c r="BI33" s="53" t="s">
        <v>148</v>
      </c>
      <c r="BJ33" s="53" t="s">
        <v>970</v>
      </c>
      <c r="BK33" s="53" t="s">
        <v>971</v>
      </c>
      <c r="BL33" s="53" t="s">
        <v>972</v>
      </c>
      <c r="BM33" s="53">
        <v>48</v>
      </c>
      <c r="BN33" s="83" t="s">
        <v>2222</v>
      </c>
      <c r="BO33" s="53"/>
      <c r="BP33" s="53"/>
    </row>
    <row r="34" spans="3:69" ht="14.25" hidden="1" customHeight="1">
      <c r="C34" s="82" t="s">
        <v>14</v>
      </c>
      <c r="D34" s="82" t="s">
        <v>973</v>
      </c>
      <c r="E34" s="82" t="s">
        <v>974</v>
      </c>
      <c r="F34" s="82" t="s">
        <v>975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9"/>
        <v>0</v>
      </c>
      <c r="M34" s="26">
        <f t="shared" si="20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67">
        <f>SUMIFS([1]Up!$J:$J,[1]Up!$D:$D,D34)</f>
        <v>0</v>
      </c>
      <c r="BF34" s="82"/>
      <c r="BG34" s="82" t="str">
        <f t="shared" si="21"/>
        <v/>
      </c>
      <c r="BH34" s="53" t="str">
        <f t="shared" si="22"/>
        <v/>
      </c>
      <c r="BI34" s="53" t="s">
        <v>976</v>
      </c>
      <c r="BJ34" s="53"/>
      <c r="BK34" s="53"/>
      <c r="BL34" s="53"/>
      <c r="BM34" s="53"/>
      <c r="BN34" s="83"/>
      <c r="BO34" s="53"/>
      <c r="BP34" s="53"/>
    </row>
    <row r="35" spans="3:69" ht="14.25" customHeight="1">
      <c r="C35" s="82" t="s">
        <v>11</v>
      </c>
      <c r="D35" s="82" t="s">
        <v>977</v>
      </c>
      <c r="E35" s="82" t="s">
        <v>978</v>
      </c>
      <c r="F35" s="82" t="s">
        <v>979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9"/>
        <v>16</v>
      </c>
      <c r="M35" s="26">
        <f t="shared" si="20"/>
        <v>48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>
        <v>16</v>
      </c>
      <c r="BD35" s="26"/>
      <c r="BE35" s="67">
        <f>SUMIFS([1]Up!$J:$J,[1]Up!$D:$D,D35)</f>
        <v>0</v>
      </c>
      <c r="BF35" s="82"/>
      <c r="BG35" s="82" t="str">
        <f t="shared" si="21"/>
        <v/>
      </c>
      <c r="BH35" s="53" t="str">
        <f t="shared" si="22"/>
        <v/>
      </c>
      <c r="BI35" s="53" t="s">
        <v>154</v>
      </c>
      <c r="BJ35" s="53"/>
      <c r="BK35" s="53" t="s">
        <v>980</v>
      </c>
      <c r="BL35" s="53"/>
      <c r="BM35" s="53"/>
      <c r="BN35" s="83"/>
      <c r="BO35" s="53"/>
      <c r="BP35" s="53"/>
    </row>
    <row r="36" spans="3:69" ht="14.25" hidden="1" customHeight="1">
      <c r="C36" s="82" t="s">
        <v>14</v>
      </c>
      <c r="D36" s="82" t="s">
        <v>981</v>
      </c>
      <c r="E36" s="82" t="s">
        <v>982</v>
      </c>
      <c r="F36" s="82" t="s">
        <v>983</v>
      </c>
      <c r="G36" s="82"/>
      <c r="H36" s="82" t="s">
        <v>984</v>
      </c>
      <c r="I36" s="82">
        <v>16</v>
      </c>
      <c r="J36" s="82">
        <v>0.28160000000000007</v>
      </c>
      <c r="K36" s="82">
        <v>4.5056000000000012</v>
      </c>
      <c r="L36" s="26">
        <f t="shared" si="19"/>
        <v>0</v>
      </c>
      <c r="M36" s="26">
        <f t="shared" si="20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67">
        <f>SUMIFS([1]Up!$J:$J,[1]Up!$D:$D,D36)</f>
        <v>0</v>
      </c>
      <c r="BF36" s="82"/>
      <c r="BG36" s="82" t="str">
        <f t="shared" si="21"/>
        <v/>
      </c>
      <c r="BH36" s="53" t="str">
        <f t="shared" si="22"/>
        <v/>
      </c>
      <c r="BI36" s="53" t="s">
        <v>976</v>
      </c>
      <c r="BJ36" s="53"/>
      <c r="BK36" s="53"/>
      <c r="BL36" s="53"/>
      <c r="BM36" s="53"/>
      <c r="BN36" s="83"/>
      <c r="BO36" s="53"/>
      <c r="BP36" s="53"/>
    </row>
    <row r="37" spans="3:69" ht="14.25" hidden="1" customHeight="1">
      <c r="C37" s="82" t="s">
        <v>13</v>
      </c>
      <c r="D37" s="82" t="s">
        <v>985</v>
      </c>
      <c r="E37" s="82" t="s">
        <v>986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9"/>
        <v>4</v>
      </c>
      <c r="M37" s="26">
        <f t="shared" si="20"/>
        <v>12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>
        <v>3</v>
      </c>
      <c r="AZ37" s="26"/>
      <c r="BA37" s="26"/>
      <c r="BB37" s="26"/>
      <c r="BC37" s="26"/>
      <c r="BD37" s="26"/>
      <c r="BE37" s="67">
        <f>SUMIFS([1]Up!$J:$J,[1]Up!$D:$D,D37)</f>
        <v>0</v>
      </c>
      <c r="BF37" s="82"/>
      <c r="BG37" s="82" t="str">
        <f t="shared" si="21"/>
        <v>PL16</v>
      </c>
      <c r="BH37" s="53" t="str">
        <f t="shared" si="22"/>
        <v/>
      </c>
      <c r="BI37" s="53" t="s">
        <v>154</v>
      </c>
      <c r="BJ37" s="53" t="s">
        <v>987</v>
      </c>
      <c r="BK37" s="53" t="s">
        <v>988</v>
      </c>
      <c r="BL37" s="53" t="s">
        <v>989</v>
      </c>
      <c r="BM37" s="53">
        <v>4</v>
      </c>
      <c r="BN37" s="83" t="s">
        <v>2222</v>
      </c>
      <c r="BO37" s="53"/>
      <c r="BP37" s="53"/>
    </row>
    <row r="38" spans="3:69" ht="14.25" hidden="1" customHeight="1">
      <c r="C38" s="82" t="s">
        <v>13</v>
      </c>
      <c r="D38" s="82" t="s">
        <v>990</v>
      </c>
      <c r="E38" s="82" t="s">
        <v>991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9"/>
        <v>5</v>
      </c>
      <c r="M38" s="26">
        <f t="shared" si="20"/>
        <v>11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>
        <v>5</v>
      </c>
      <c r="AY38" s="26"/>
      <c r="AZ38" s="26"/>
      <c r="BA38" s="26"/>
      <c r="BB38" s="26"/>
      <c r="BC38" s="26"/>
      <c r="BD38" s="26"/>
      <c r="BE38" s="67">
        <f>SUMIFS([1]Up!$J:$J,[1]Up!$D:$D,D38)</f>
        <v>0</v>
      </c>
      <c r="BF38" s="82"/>
      <c r="BG38" s="82" t="str">
        <f t="shared" si="21"/>
        <v>PL40</v>
      </c>
      <c r="BH38" s="53" t="str">
        <f t="shared" si="22"/>
        <v/>
      </c>
      <c r="BI38" s="53" t="s">
        <v>148</v>
      </c>
      <c r="BJ38" s="53" t="s">
        <v>992</v>
      </c>
      <c r="BK38" s="53" t="s">
        <v>993</v>
      </c>
      <c r="BL38" s="53" t="s">
        <v>994</v>
      </c>
      <c r="BM38" s="53">
        <v>4</v>
      </c>
      <c r="BN38" s="83" t="s">
        <v>2222</v>
      </c>
      <c r="BO38" s="53"/>
      <c r="BP38" s="53"/>
    </row>
    <row r="39" spans="3:69" ht="14.25" hidden="1" customHeight="1">
      <c r="C39" s="82" t="s">
        <v>13</v>
      </c>
      <c r="D39" s="82" t="s">
        <v>995</v>
      </c>
      <c r="E39" s="82" t="s">
        <v>996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9"/>
        <v>5</v>
      </c>
      <c r="M39" s="26">
        <f t="shared" si="20"/>
        <v>11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>
        <v>5</v>
      </c>
      <c r="AY39" s="26"/>
      <c r="AZ39" s="26"/>
      <c r="BA39" s="26"/>
      <c r="BB39" s="26"/>
      <c r="BC39" s="26"/>
      <c r="BD39" s="26"/>
      <c r="BE39" s="67">
        <f>SUMIFS([1]Up!$J:$J,[1]Up!$D:$D,D39)</f>
        <v>0</v>
      </c>
      <c r="BF39" s="82"/>
      <c r="BG39" s="82" t="str">
        <f t="shared" si="21"/>
        <v>PL40</v>
      </c>
      <c r="BH39" s="53" t="str">
        <f t="shared" si="22"/>
        <v/>
      </c>
      <c r="BI39" s="53" t="s">
        <v>148</v>
      </c>
      <c r="BJ39" s="53" t="s">
        <v>992</v>
      </c>
      <c r="BK39" s="53" t="s">
        <v>993</v>
      </c>
      <c r="BL39" s="53" t="s">
        <v>994</v>
      </c>
      <c r="BM39" s="53">
        <v>4</v>
      </c>
      <c r="BN39" s="83" t="s">
        <v>2222</v>
      </c>
      <c r="BO39" s="53"/>
      <c r="BP39" s="53"/>
    </row>
    <row r="40" spans="3:69" ht="14.25" hidden="1" customHeight="1">
      <c r="C40" s="82" t="s">
        <v>13</v>
      </c>
      <c r="D40" s="82" t="s">
        <v>997</v>
      </c>
      <c r="E40" s="82" t="s">
        <v>998</v>
      </c>
      <c r="F40" s="82" t="s">
        <v>954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9"/>
        <v>10</v>
      </c>
      <c r="M40" s="26">
        <f t="shared" si="20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26"/>
      <c r="AZ40" s="26"/>
      <c r="BA40" s="26"/>
      <c r="BB40" s="26"/>
      <c r="BC40" s="26"/>
      <c r="BD40" s="26"/>
      <c r="BE40" s="67">
        <f>SUMIFS([1]Up!$J:$J,[1]Up!$D:$D,D40)</f>
        <v>0</v>
      </c>
      <c r="BF40" s="82"/>
      <c r="BG40" s="82" t="str">
        <f t="shared" si="21"/>
        <v>PL1</v>
      </c>
      <c r="BH40" s="53" t="str">
        <f t="shared" si="22"/>
        <v/>
      </c>
      <c r="BI40" s="53" t="s">
        <v>148</v>
      </c>
      <c r="BJ40" s="53" t="s">
        <v>970</v>
      </c>
      <c r="BK40" s="53" t="s">
        <v>971</v>
      </c>
      <c r="BL40" s="84" t="s">
        <v>999</v>
      </c>
      <c r="BM40" s="53">
        <v>10</v>
      </c>
      <c r="BN40" s="83" t="s">
        <v>2223</v>
      </c>
      <c r="BO40" s="53"/>
      <c r="BP40" s="53"/>
      <c r="BQ40" s="238"/>
    </row>
    <row r="41" spans="3:69" ht="14.25" hidden="1" customHeight="1">
      <c r="C41" s="82" t="s">
        <v>14</v>
      </c>
      <c r="D41" s="82" t="s">
        <v>1000</v>
      </c>
      <c r="E41" s="82" t="s">
        <v>1001</v>
      </c>
      <c r="F41" s="82" t="s">
        <v>983</v>
      </c>
      <c r="G41" s="82"/>
      <c r="H41" s="82" t="s">
        <v>984</v>
      </c>
      <c r="I41" s="82">
        <v>3</v>
      </c>
      <c r="J41" s="82">
        <v>0.1</v>
      </c>
      <c r="K41" s="82">
        <v>0.30000000000000004</v>
      </c>
      <c r="L41" s="26">
        <f t="shared" si="19"/>
        <v>0</v>
      </c>
      <c r="M41" s="26">
        <f t="shared" si="20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67">
        <f>SUMIFS([1]Up!$J:$J,[1]Up!$D:$D,D41)</f>
        <v>0</v>
      </c>
      <c r="BF41" s="82"/>
      <c r="BG41" s="82" t="str">
        <f t="shared" si="21"/>
        <v/>
      </c>
      <c r="BH41" s="53" t="str">
        <f t="shared" si="22"/>
        <v/>
      </c>
      <c r="BI41" s="53" t="s">
        <v>976</v>
      </c>
      <c r="BJ41" s="53"/>
      <c r="BK41" s="53"/>
      <c r="BL41" s="53"/>
      <c r="BM41" s="53"/>
      <c r="BN41" s="83"/>
      <c r="BO41" s="53"/>
      <c r="BP41" s="53"/>
    </row>
    <row r="42" spans="3:69" ht="14.25" hidden="1" customHeight="1">
      <c r="C42" s="82" t="s">
        <v>13</v>
      </c>
      <c r="D42" s="82" t="s">
        <v>1002</v>
      </c>
      <c r="E42" s="82" t="s">
        <v>1003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9"/>
        <v>0</v>
      </c>
      <c r="M42" s="26">
        <f t="shared" si="20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67">
        <f>SUMIFS([1]Up!$J:$J,[1]Up!$D:$D,D42)</f>
        <v>0</v>
      </c>
      <c r="BF42" s="82"/>
      <c r="BG42" s="82" t="str">
        <f t="shared" si="21"/>
        <v>PL2</v>
      </c>
      <c r="BH42" s="53" t="str">
        <f t="shared" si="22"/>
        <v/>
      </c>
      <c r="BI42" s="53" t="s">
        <v>154</v>
      </c>
      <c r="BJ42" s="53" t="s">
        <v>1004</v>
      </c>
      <c r="BK42" s="53" t="s">
        <v>1005</v>
      </c>
      <c r="BL42" s="53"/>
      <c r="BM42" s="53"/>
      <c r="BN42" s="83"/>
      <c r="BO42" s="53"/>
      <c r="BP42" s="53"/>
    </row>
    <row r="43" spans="3:69" ht="14.25" customHeight="1">
      <c r="C43" s="82" t="s">
        <v>13</v>
      </c>
      <c r="D43" s="82" t="s">
        <v>1006</v>
      </c>
      <c r="E43" s="82" t="s">
        <v>1003</v>
      </c>
      <c r="F43" s="82" t="s">
        <v>1007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9"/>
        <v>6</v>
      </c>
      <c r="M43" s="26">
        <f t="shared" si="20"/>
        <v>6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>
        <v>6</v>
      </c>
      <c r="BD43" s="26"/>
      <c r="BE43" s="67">
        <f>SUMIFS([1]Up!$J:$J,[1]Up!$D:$D,D43)</f>
        <v>0</v>
      </c>
      <c r="BF43" s="82"/>
      <c r="BG43" s="82" t="str">
        <f t="shared" si="21"/>
        <v>PL2</v>
      </c>
      <c r="BH43" s="53" t="str">
        <f t="shared" si="22"/>
        <v/>
      </c>
      <c r="BI43" s="53" t="s">
        <v>154</v>
      </c>
      <c r="BJ43" s="53" t="s">
        <v>965</v>
      </c>
      <c r="BK43" s="53" t="s">
        <v>966</v>
      </c>
      <c r="BL43" s="53" t="s">
        <v>967</v>
      </c>
      <c r="BM43" s="53">
        <v>4</v>
      </c>
      <c r="BN43" s="83" t="s">
        <v>2222</v>
      </c>
      <c r="BO43" s="53"/>
      <c r="BP43" s="53"/>
    </row>
    <row r="44" spans="3:69" ht="14.25" hidden="1" customHeight="1">
      <c r="C44" s="82" t="s">
        <v>13</v>
      </c>
      <c r="D44" s="82" t="s">
        <v>1008</v>
      </c>
      <c r="E44" s="82" t="s">
        <v>1009</v>
      </c>
      <c r="F44" s="82" t="s">
        <v>1010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9"/>
        <v>2</v>
      </c>
      <c r="M44" s="26">
        <f t="shared" si="20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67">
        <f>SUMIFS([1]Up!$J:$J,[1]Up!$D:$D,D44)</f>
        <v>0</v>
      </c>
      <c r="BF44" s="82"/>
      <c r="BG44" s="82" t="str">
        <f t="shared" si="21"/>
        <v>PL8</v>
      </c>
      <c r="BH44" s="53" t="str">
        <f t="shared" si="22"/>
        <v/>
      </c>
      <c r="BI44" s="53" t="s">
        <v>154</v>
      </c>
      <c r="BJ44" s="53" t="s">
        <v>1011</v>
      </c>
      <c r="BK44" s="53" t="s">
        <v>1012</v>
      </c>
      <c r="BL44" s="53" t="s">
        <v>1013</v>
      </c>
      <c r="BM44" s="53">
        <v>1</v>
      </c>
      <c r="BN44" s="83">
        <v>46088</v>
      </c>
      <c r="BO44" s="53"/>
      <c r="BP44" s="53"/>
    </row>
    <row r="45" spans="3:69" ht="14.25" hidden="1" customHeight="1">
      <c r="C45" s="82" t="s">
        <v>14</v>
      </c>
      <c r="D45" s="82" t="s">
        <v>1014</v>
      </c>
      <c r="E45" s="82" t="s">
        <v>1015</v>
      </c>
      <c r="F45" s="82" t="s">
        <v>1016</v>
      </c>
      <c r="G45" s="82"/>
      <c r="H45" s="82" t="s">
        <v>1017</v>
      </c>
      <c r="I45" s="82">
        <v>4</v>
      </c>
      <c r="J45" s="82">
        <v>100</v>
      </c>
      <c r="K45" s="82">
        <v>400</v>
      </c>
      <c r="L45" s="26">
        <f t="shared" si="19"/>
        <v>0</v>
      </c>
      <c r="M45" s="26">
        <f t="shared" si="20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67">
        <f>SUMIFS([1]Up!$J:$J,[1]Up!$D:$D,D45)</f>
        <v>0</v>
      </c>
      <c r="BF45" s="82"/>
      <c r="BG45" s="82" t="str">
        <f t="shared" si="21"/>
        <v/>
      </c>
      <c r="BH45" s="53" t="str">
        <f t="shared" si="22"/>
        <v/>
      </c>
      <c r="BI45" s="53" t="s">
        <v>976</v>
      </c>
      <c r="BJ45" s="53"/>
      <c r="BK45" s="53"/>
      <c r="BL45" s="53"/>
      <c r="BM45" s="53"/>
      <c r="BN45" s="83"/>
      <c r="BO45" s="53"/>
      <c r="BP45" s="53"/>
    </row>
    <row r="46" spans="3:69" ht="14.25" hidden="1" customHeight="1">
      <c r="C46" s="82" t="s">
        <v>13</v>
      </c>
      <c r="D46" s="82" t="s">
        <v>1018</v>
      </c>
      <c r="E46" s="82" t="s">
        <v>1019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9"/>
        <v>1</v>
      </c>
      <c r="M46" s="26">
        <f t="shared" si="20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>
        <v>1</v>
      </c>
      <c r="AZ46" s="26"/>
      <c r="BA46" s="26"/>
      <c r="BB46" s="26"/>
      <c r="BC46" s="26"/>
      <c r="BD46" s="26"/>
      <c r="BE46" s="67">
        <f>SUMIFS([1]Up!$J:$J,[1]Up!$D:$D,D46)</f>
        <v>0</v>
      </c>
      <c r="BF46" s="82"/>
      <c r="BG46" s="82" t="str">
        <f t="shared" si="21"/>
        <v>PL12</v>
      </c>
      <c r="BH46" s="53" t="str">
        <f t="shared" si="22"/>
        <v/>
      </c>
      <c r="BI46" s="53" t="s">
        <v>154</v>
      </c>
      <c r="BJ46" s="53" t="s">
        <v>1020</v>
      </c>
      <c r="BK46" s="53" t="s">
        <v>1021</v>
      </c>
      <c r="BL46" s="53" t="s">
        <v>1022</v>
      </c>
      <c r="BM46" s="53">
        <v>1</v>
      </c>
      <c r="BN46" s="83">
        <v>46088</v>
      </c>
      <c r="BO46" s="53"/>
      <c r="BP46" s="53"/>
    </row>
    <row r="47" spans="3:69" ht="14.25" hidden="1" customHeight="1">
      <c r="C47" s="82" t="s">
        <v>11</v>
      </c>
      <c r="D47" s="82" t="s">
        <v>1023</v>
      </c>
      <c r="E47" s="82" t="s">
        <v>1024</v>
      </c>
      <c r="F47" s="82" t="s">
        <v>1025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9"/>
        <v>1</v>
      </c>
      <c r="M47" s="26">
        <f t="shared" si="20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67">
        <f>SUMIFS([1]Up!$J:$J,[1]Up!$D:$D,D47)</f>
        <v>0</v>
      </c>
      <c r="BF47" s="82"/>
      <c r="BG47" s="82" t="str">
        <f t="shared" si="21"/>
        <v/>
      </c>
      <c r="BH47" s="53" t="str">
        <f t="shared" si="22"/>
        <v/>
      </c>
      <c r="BI47" s="53" t="s">
        <v>148</v>
      </c>
      <c r="BJ47" s="53" t="s">
        <v>1026</v>
      </c>
      <c r="BK47" s="53" t="s">
        <v>1027</v>
      </c>
      <c r="BL47" s="53" t="s">
        <v>1028</v>
      </c>
      <c r="BM47" s="53">
        <v>1</v>
      </c>
      <c r="BN47" s="83">
        <v>46362</v>
      </c>
      <c r="BO47" s="53"/>
      <c r="BP47" s="53"/>
    </row>
    <row r="48" spans="3:69" ht="14.25" hidden="1" customHeight="1">
      <c r="C48" s="82" t="s">
        <v>13</v>
      </c>
      <c r="D48" s="82" t="s">
        <v>1029</v>
      </c>
      <c r="E48" s="82" t="s">
        <v>1030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9"/>
        <v>1</v>
      </c>
      <c r="M48" s="26">
        <f t="shared" si="20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67">
        <f>SUMIFS([1]Up!$J:$J,[1]Up!$D:$D,D48)</f>
        <v>0</v>
      </c>
      <c r="BF48" s="82"/>
      <c r="BG48" s="82" t="str">
        <f t="shared" si="21"/>
        <v>PL12</v>
      </c>
      <c r="BH48" s="53" t="str">
        <f t="shared" si="22"/>
        <v/>
      </c>
      <c r="BI48" s="53" t="s">
        <v>148</v>
      </c>
      <c r="BJ48" s="53" t="s">
        <v>1020</v>
      </c>
      <c r="BK48" s="53" t="s">
        <v>1021</v>
      </c>
      <c r="BL48" s="53" t="s">
        <v>1022</v>
      </c>
      <c r="BM48" s="53">
        <v>1</v>
      </c>
      <c r="BN48" s="83">
        <v>46088</v>
      </c>
      <c r="BO48" s="53"/>
      <c r="BP48" s="53"/>
    </row>
    <row r="49" spans="3:68" ht="14.25" hidden="1" customHeight="1">
      <c r="C49" s="82" t="s">
        <v>11</v>
      </c>
      <c r="D49" s="82" t="s">
        <v>1031</v>
      </c>
      <c r="E49" s="82" t="s">
        <v>1032</v>
      </c>
      <c r="F49" s="82" t="s">
        <v>1007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9"/>
        <v>1</v>
      </c>
      <c r="M49" s="26">
        <f t="shared" si="20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67">
        <f>SUMIFS([1]Up!$J:$J,[1]Up!$D:$D,D49)</f>
        <v>0</v>
      </c>
      <c r="BF49" s="82"/>
      <c r="BG49" s="82" t="str">
        <f t="shared" si="21"/>
        <v/>
      </c>
      <c r="BH49" s="53" t="str">
        <f t="shared" si="22"/>
        <v/>
      </c>
      <c r="BI49" s="53" t="s">
        <v>154</v>
      </c>
      <c r="BJ49" s="53" t="s">
        <v>1033</v>
      </c>
      <c r="BK49" s="53" t="s">
        <v>1032</v>
      </c>
      <c r="BL49" s="53" t="s">
        <v>1034</v>
      </c>
      <c r="BM49" s="53">
        <v>1</v>
      </c>
      <c r="BN49" s="83">
        <v>46362</v>
      </c>
      <c r="BO49" s="53"/>
      <c r="BP49" s="53"/>
    </row>
    <row r="50" spans="3:68" ht="14.25" hidden="1" customHeight="1">
      <c r="C50" s="82" t="s">
        <v>14</v>
      </c>
      <c r="D50" s="82" t="s">
        <v>1035</v>
      </c>
      <c r="E50" s="82" t="s">
        <v>1874</v>
      </c>
      <c r="F50" s="82" t="s">
        <v>1873</v>
      </c>
      <c r="G50" s="82"/>
      <c r="H50" s="82" t="s">
        <v>1017</v>
      </c>
      <c r="I50" s="82">
        <v>6</v>
      </c>
      <c r="J50" s="82">
        <v>100</v>
      </c>
      <c r="K50" s="82">
        <v>600</v>
      </c>
      <c r="L50" s="26">
        <f t="shared" si="19"/>
        <v>0</v>
      </c>
      <c r="M50" s="26">
        <f t="shared" si="20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67">
        <f>SUMIFS([1]Up!$J:$J,[1]Up!$D:$D,D50)</f>
        <v>0</v>
      </c>
      <c r="BF50" s="82"/>
      <c r="BG50" s="82" t="str">
        <f t="shared" si="21"/>
        <v/>
      </c>
      <c r="BH50" s="53" t="str">
        <f t="shared" si="22"/>
        <v/>
      </c>
      <c r="BI50" s="53" t="s">
        <v>976</v>
      </c>
      <c r="BJ50" s="53"/>
      <c r="BK50" s="53"/>
      <c r="BL50" s="53"/>
      <c r="BM50" s="53"/>
      <c r="BN50" s="83"/>
      <c r="BO50" s="53"/>
      <c r="BP50" s="53"/>
    </row>
    <row r="51" spans="3:68" ht="14.25" customHeight="1">
      <c r="C51" s="82" t="s">
        <v>11</v>
      </c>
      <c r="D51" s="82" t="s">
        <v>1039</v>
      </c>
      <c r="E51" s="82" t="s">
        <v>1040</v>
      </c>
      <c r="F51" s="82" t="s">
        <v>1007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9"/>
        <v>4</v>
      </c>
      <c r="M51" s="26">
        <f t="shared" si="20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>
        <v>2</v>
      </c>
      <c r="BD51" s="26"/>
      <c r="BE51" s="67">
        <f>SUMIFS([1]Up!$J:$J,[1]Up!$D:$D,D51)</f>
        <v>0</v>
      </c>
      <c r="BF51" s="82"/>
      <c r="BG51" s="82" t="str">
        <f t="shared" si="21"/>
        <v/>
      </c>
      <c r="BH51" s="53" t="str">
        <f t="shared" si="22"/>
        <v/>
      </c>
      <c r="BI51" s="53" t="s">
        <v>154</v>
      </c>
      <c r="BJ51" s="53" t="s">
        <v>1041</v>
      </c>
      <c r="BK51" s="53" t="s">
        <v>1040</v>
      </c>
      <c r="BL51" s="53" t="s">
        <v>1042</v>
      </c>
      <c r="BM51" s="53">
        <v>2</v>
      </c>
      <c r="BN51" s="83">
        <v>46362</v>
      </c>
      <c r="BO51" s="53"/>
      <c r="BP51" s="53"/>
    </row>
    <row r="52" spans="3:68" ht="14.25" customHeight="1">
      <c r="C52" s="82" t="s">
        <v>11</v>
      </c>
      <c r="D52" s="82" t="s">
        <v>1043</v>
      </c>
      <c r="E52" s="82" t="s">
        <v>1044</v>
      </c>
      <c r="F52" s="82" t="s">
        <v>1007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9"/>
        <v>2</v>
      </c>
      <c r="M52" s="26">
        <f t="shared" si="20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>
        <v>1</v>
      </c>
      <c r="BD52" s="26"/>
      <c r="BE52" s="67">
        <f>SUMIFS([1]Up!$J:$J,[1]Up!$D:$D,D52)</f>
        <v>0</v>
      </c>
      <c r="BF52" s="82"/>
      <c r="BG52" s="82" t="str">
        <f t="shared" si="21"/>
        <v/>
      </c>
      <c r="BH52" s="53" t="str">
        <f t="shared" si="22"/>
        <v/>
      </c>
      <c r="BI52" s="53" t="s">
        <v>154</v>
      </c>
      <c r="BJ52" s="53" t="s">
        <v>1045</v>
      </c>
      <c r="BK52" s="53" t="s">
        <v>1044</v>
      </c>
      <c r="BL52" s="53" t="s">
        <v>1046</v>
      </c>
      <c r="BM52" s="53">
        <v>1</v>
      </c>
      <c r="BN52" s="83">
        <v>46362</v>
      </c>
      <c r="BO52" s="53"/>
      <c r="BP52" s="53"/>
    </row>
    <row r="53" spans="3:68" ht="14.25" hidden="1" customHeight="1">
      <c r="C53" s="82" t="s">
        <v>11</v>
      </c>
      <c r="D53" s="82" t="s">
        <v>1047</v>
      </c>
      <c r="E53" s="82" t="s">
        <v>1048</v>
      </c>
      <c r="F53" s="82" t="s">
        <v>1010</v>
      </c>
      <c r="G53" s="82">
        <v>761</v>
      </c>
      <c r="H53" s="82" t="s">
        <v>1049</v>
      </c>
      <c r="I53" s="82">
        <v>4</v>
      </c>
      <c r="J53" s="82">
        <v>125.45846</v>
      </c>
      <c r="K53" s="82">
        <v>501.83384000000001</v>
      </c>
      <c r="L53" s="26">
        <f t="shared" si="19"/>
        <v>1</v>
      </c>
      <c r="M53" s="26">
        <f t="shared" si="20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67">
        <f>SUMIFS([1]Up!$J:$J,[1]Up!$D:$D,D53)</f>
        <v>0</v>
      </c>
      <c r="BF53" s="82"/>
      <c r="BG53" s="82" t="str">
        <f t="shared" si="21"/>
        <v/>
      </c>
      <c r="BH53" s="53" t="str">
        <f t="shared" si="22"/>
        <v/>
      </c>
      <c r="BI53" s="53" t="s">
        <v>148</v>
      </c>
      <c r="BJ53" s="53" t="s">
        <v>1050</v>
      </c>
      <c r="BK53" s="53" t="s">
        <v>1048</v>
      </c>
      <c r="BL53" s="53" t="s">
        <v>1051</v>
      </c>
      <c r="BM53" s="53">
        <v>1</v>
      </c>
      <c r="BN53" s="83">
        <v>46362</v>
      </c>
      <c r="BO53" s="53"/>
      <c r="BP53" s="53"/>
    </row>
    <row r="54" spans="3:68" ht="14.25" hidden="1" customHeight="1">
      <c r="C54" s="82" t="s">
        <v>14</v>
      </c>
      <c r="D54" s="82" t="s">
        <v>1052</v>
      </c>
      <c r="E54" s="82" t="s">
        <v>1053</v>
      </c>
      <c r="F54" s="82" t="s">
        <v>1016</v>
      </c>
      <c r="G54" s="82"/>
      <c r="H54" s="82" t="s">
        <v>1017</v>
      </c>
      <c r="I54" s="82">
        <v>4</v>
      </c>
      <c r="J54" s="82">
        <v>155</v>
      </c>
      <c r="K54" s="82">
        <v>620</v>
      </c>
      <c r="L54" s="26">
        <f t="shared" si="19"/>
        <v>0</v>
      </c>
      <c r="M54" s="26">
        <f t="shared" si="20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67">
        <f>SUMIFS([1]Up!$J:$J,[1]Up!$D:$D,D54)</f>
        <v>0</v>
      </c>
      <c r="BF54" s="82"/>
      <c r="BG54" s="82" t="str">
        <f t="shared" si="21"/>
        <v/>
      </c>
      <c r="BH54" s="53" t="str">
        <f t="shared" si="22"/>
        <v/>
      </c>
      <c r="BI54" s="53" t="s">
        <v>976</v>
      </c>
      <c r="BJ54" s="53"/>
      <c r="BK54" s="53"/>
      <c r="BL54" s="53"/>
      <c r="BM54" s="53"/>
      <c r="BN54" s="83"/>
      <c r="BO54" s="53"/>
      <c r="BP54" s="53"/>
    </row>
    <row r="55" spans="3:68" ht="14.25" hidden="1" customHeight="1">
      <c r="C55" s="82" t="s">
        <v>14</v>
      </c>
      <c r="D55" s="82" t="s">
        <v>1054</v>
      </c>
      <c r="E55" s="82" t="s">
        <v>140</v>
      </c>
      <c r="F55" s="82" t="s">
        <v>1055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9"/>
        <v>0</v>
      </c>
      <c r="M55" s="26">
        <f t="shared" si="20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67">
        <f>SUMIFS([1]Up!$J:$J,[1]Up!$D:$D,D55)</f>
        <v>0</v>
      </c>
      <c r="BF55" s="82"/>
      <c r="BG55" s="82" t="str">
        <f t="shared" si="21"/>
        <v/>
      </c>
      <c r="BH55" s="53" t="str">
        <f t="shared" si="22"/>
        <v/>
      </c>
      <c r="BI55" s="53" t="s">
        <v>976</v>
      </c>
      <c r="BJ55" s="53"/>
      <c r="BK55" s="53"/>
      <c r="BL55" s="53"/>
      <c r="BM55" s="53"/>
      <c r="BN55" s="83"/>
      <c r="BO55" s="53"/>
      <c r="BP55" s="53"/>
    </row>
    <row r="56" spans="3:68" ht="14.25" hidden="1" customHeight="1">
      <c r="C56" s="82" t="s">
        <v>13</v>
      </c>
      <c r="D56" s="82" t="s">
        <v>1056</v>
      </c>
      <c r="E56" s="82" t="s">
        <v>1057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9"/>
        <v>1</v>
      </c>
      <c r="M56" s="26">
        <f t="shared" si="20"/>
        <v>3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>
        <v>1</v>
      </c>
      <c r="AY56" s="26"/>
      <c r="AZ56" s="26"/>
      <c r="BA56" s="26"/>
      <c r="BB56" s="26"/>
      <c r="BC56" s="26"/>
      <c r="BD56" s="26"/>
      <c r="BE56" s="67">
        <f>SUMIFS([1]Up!$J:$J,[1]Up!$D:$D,D56)</f>
        <v>0</v>
      </c>
      <c r="BF56" s="82"/>
      <c r="BG56" s="82" t="str">
        <f t="shared" si="21"/>
        <v>PL30</v>
      </c>
      <c r="BH56" s="53" t="str">
        <f t="shared" si="22"/>
        <v/>
      </c>
      <c r="BI56" s="53" t="s">
        <v>148</v>
      </c>
      <c r="BJ56" s="53" t="s">
        <v>1058</v>
      </c>
      <c r="BK56" s="53" t="s">
        <v>1059</v>
      </c>
      <c r="BL56" s="53" t="s">
        <v>1060</v>
      </c>
      <c r="BM56" s="53">
        <v>1</v>
      </c>
      <c r="BN56" s="83" t="s">
        <v>2222</v>
      </c>
      <c r="BO56" s="53"/>
      <c r="BP56" s="53"/>
    </row>
    <row r="57" spans="3:68" ht="14.25" hidden="1" customHeight="1">
      <c r="C57" s="82" t="s">
        <v>13</v>
      </c>
      <c r="D57" s="82" t="s">
        <v>1061</v>
      </c>
      <c r="E57" s="82" t="s">
        <v>1062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9"/>
        <v>4</v>
      </c>
      <c r="M57" s="26">
        <f t="shared" si="20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26"/>
      <c r="AZ57" s="26"/>
      <c r="BA57" s="26"/>
      <c r="BB57" s="26"/>
      <c r="BC57" s="26"/>
      <c r="BD57" s="26"/>
      <c r="BE57" s="67">
        <f>SUMIFS([1]Up!$J:$J,[1]Up!$D:$D,D57)</f>
        <v>0</v>
      </c>
      <c r="BF57" s="82"/>
      <c r="BG57" s="82" t="str">
        <f t="shared" si="21"/>
        <v>PL10</v>
      </c>
      <c r="BH57" s="53" t="str">
        <f t="shared" si="22"/>
        <v/>
      </c>
      <c r="BI57" s="53" t="s">
        <v>148</v>
      </c>
      <c r="BJ57" s="53" t="s">
        <v>1004</v>
      </c>
      <c r="BK57" s="53" t="s">
        <v>1005</v>
      </c>
      <c r="BL57" s="53" t="s">
        <v>1063</v>
      </c>
      <c r="BM57" s="53">
        <v>2</v>
      </c>
      <c r="BN57" s="83">
        <v>46088</v>
      </c>
      <c r="BO57" s="53"/>
      <c r="BP57" s="53"/>
    </row>
    <row r="58" spans="3:68" ht="14.25" hidden="1" customHeight="1">
      <c r="C58" s="82" t="s">
        <v>13</v>
      </c>
      <c r="D58" s="82" t="s">
        <v>1064</v>
      </c>
      <c r="E58" s="82" t="s">
        <v>1065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9"/>
        <v>2</v>
      </c>
      <c r="M58" s="26">
        <f t="shared" si="20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26"/>
      <c r="AZ58" s="26"/>
      <c r="BA58" s="26"/>
      <c r="BB58" s="26"/>
      <c r="BC58" s="26"/>
      <c r="BD58" s="26"/>
      <c r="BE58" s="67">
        <f>SUMIFS([1]Up!$J:$J,[1]Up!$D:$D,D58)</f>
        <v>0</v>
      </c>
      <c r="BF58" s="82"/>
      <c r="BG58" s="82" t="str">
        <f t="shared" si="21"/>
        <v>PL10</v>
      </c>
      <c r="BH58" s="53" t="str">
        <f t="shared" si="22"/>
        <v/>
      </c>
      <c r="BI58" s="53" t="s">
        <v>148</v>
      </c>
      <c r="BJ58" s="53" t="s">
        <v>1004</v>
      </c>
      <c r="BK58" s="53" t="s">
        <v>1005</v>
      </c>
      <c r="BL58" s="53" t="s">
        <v>1063</v>
      </c>
      <c r="BM58" s="53">
        <v>1</v>
      </c>
      <c r="BN58" s="83">
        <v>46088</v>
      </c>
      <c r="BO58" s="53"/>
      <c r="BP58" s="53"/>
    </row>
    <row r="59" spans="3:68" ht="14.25" hidden="1" customHeight="1">
      <c r="C59" s="82" t="s">
        <v>11</v>
      </c>
      <c r="D59" s="82" t="s">
        <v>1066</v>
      </c>
      <c r="E59" s="82" t="s">
        <v>1048</v>
      </c>
      <c r="F59" s="82" t="s">
        <v>1010</v>
      </c>
      <c r="G59" s="82">
        <v>604</v>
      </c>
      <c r="H59" s="82" t="s">
        <v>1049</v>
      </c>
      <c r="I59" s="82">
        <v>4</v>
      </c>
      <c r="J59" s="82">
        <v>99.57544</v>
      </c>
      <c r="K59" s="82">
        <v>398.30176</v>
      </c>
      <c r="L59" s="26">
        <f t="shared" si="19"/>
        <v>1</v>
      </c>
      <c r="M59" s="26">
        <f t="shared" si="20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67">
        <f>SUMIFS([1]Up!$J:$J,[1]Up!$D:$D,D59)</f>
        <v>0</v>
      </c>
      <c r="BF59" s="82"/>
      <c r="BG59" s="82" t="str">
        <f t="shared" si="21"/>
        <v/>
      </c>
      <c r="BH59" s="53" t="str">
        <f t="shared" si="22"/>
        <v/>
      </c>
      <c r="BI59" s="53" t="s">
        <v>148</v>
      </c>
      <c r="BJ59" s="53" t="s">
        <v>1050</v>
      </c>
      <c r="BK59" s="53" t="s">
        <v>1048</v>
      </c>
      <c r="BL59" s="53" t="s">
        <v>1051</v>
      </c>
      <c r="BM59" s="53">
        <v>1</v>
      </c>
      <c r="BN59" s="83">
        <v>46362</v>
      </c>
      <c r="BO59" s="53"/>
      <c r="BP59" s="53"/>
    </row>
    <row r="60" spans="3:68" ht="14.25" hidden="1" customHeight="1">
      <c r="C60" s="82" t="s">
        <v>14</v>
      </c>
      <c r="D60" s="82" t="s">
        <v>1067</v>
      </c>
      <c r="E60" s="82" t="s">
        <v>1053</v>
      </c>
      <c r="F60" s="82" t="s">
        <v>1016</v>
      </c>
      <c r="G60" s="82"/>
      <c r="H60" s="82" t="s">
        <v>1017</v>
      </c>
      <c r="I60" s="82">
        <v>4</v>
      </c>
      <c r="J60" s="82">
        <v>155</v>
      </c>
      <c r="K60" s="82">
        <v>620</v>
      </c>
      <c r="L60" s="26">
        <f t="shared" si="19"/>
        <v>0</v>
      </c>
      <c r="M60" s="26">
        <f t="shared" si="20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67">
        <f>SUMIFS([1]Up!$J:$J,[1]Up!$D:$D,D60)</f>
        <v>0</v>
      </c>
      <c r="BF60" s="82"/>
      <c r="BG60" s="82" t="str">
        <f t="shared" si="21"/>
        <v/>
      </c>
      <c r="BH60" s="53" t="str">
        <f t="shared" si="22"/>
        <v/>
      </c>
      <c r="BI60" s="53" t="s">
        <v>976</v>
      </c>
      <c r="BJ60" s="53"/>
      <c r="BK60" s="53"/>
      <c r="BL60" s="53"/>
      <c r="BM60" s="53"/>
      <c r="BN60" s="83"/>
      <c r="BO60" s="53"/>
      <c r="BP60" s="53"/>
    </row>
    <row r="61" spans="3:68" ht="14.25" hidden="1" customHeight="1">
      <c r="C61" s="82" t="s">
        <v>14</v>
      </c>
      <c r="D61" s="82" t="s">
        <v>1068</v>
      </c>
      <c r="E61" s="82" t="s">
        <v>140</v>
      </c>
      <c r="F61" s="82" t="s">
        <v>1055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9"/>
        <v>0</v>
      </c>
      <c r="M61" s="26">
        <f t="shared" si="20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67">
        <f>SUMIFS([1]Up!$J:$J,[1]Up!$D:$D,D61)</f>
        <v>0</v>
      </c>
      <c r="BF61" s="82"/>
      <c r="BG61" s="82" t="str">
        <f t="shared" si="21"/>
        <v/>
      </c>
      <c r="BH61" s="53" t="str">
        <f t="shared" si="22"/>
        <v/>
      </c>
      <c r="BI61" s="53" t="s">
        <v>976</v>
      </c>
      <c r="BJ61" s="53"/>
      <c r="BK61" s="53"/>
      <c r="BL61" s="53"/>
      <c r="BM61" s="53"/>
      <c r="BN61" s="83"/>
      <c r="BO61" s="53"/>
      <c r="BP61" s="53"/>
    </row>
    <row r="62" spans="3:68" ht="14.25" hidden="1" customHeight="1">
      <c r="C62" s="82" t="s">
        <v>13</v>
      </c>
      <c r="D62" s="82" t="s">
        <v>1069</v>
      </c>
      <c r="E62" s="82" t="s">
        <v>1070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9"/>
        <v>1</v>
      </c>
      <c r="M62" s="26">
        <f t="shared" si="20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67">
        <f>SUMIFS([1]Up!$J:$J,[1]Up!$D:$D,D62)</f>
        <v>0</v>
      </c>
      <c r="BF62" s="82"/>
      <c r="BG62" s="82" t="str">
        <f t="shared" si="21"/>
        <v>PL8</v>
      </c>
      <c r="BH62" s="53" t="str">
        <f t="shared" si="22"/>
        <v/>
      </c>
      <c r="BI62" s="53" t="s">
        <v>154</v>
      </c>
      <c r="BJ62" s="53" t="s">
        <v>1011</v>
      </c>
      <c r="BK62" s="53" t="s">
        <v>1012</v>
      </c>
      <c r="BL62" s="53" t="s">
        <v>1013</v>
      </c>
      <c r="BM62" s="53">
        <v>1</v>
      </c>
      <c r="BN62" s="83">
        <v>46088</v>
      </c>
      <c r="BO62" s="53"/>
      <c r="BP62" s="53"/>
    </row>
    <row r="63" spans="3:68" ht="14.25" hidden="1" customHeight="1">
      <c r="C63" s="82" t="s">
        <v>13</v>
      </c>
      <c r="D63" s="82" t="s">
        <v>1071</v>
      </c>
      <c r="E63" s="82" t="s">
        <v>1072</v>
      </c>
      <c r="F63" s="82" t="s">
        <v>1073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9"/>
        <v>4</v>
      </c>
      <c r="M63" s="26">
        <f t="shared" si="20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26"/>
      <c r="AZ63" s="26"/>
      <c r="BA63" s="26"/>
      <c r="BB63" s="26"/>
      <c r="BC63" s="26"/>
      <c r="BD63" s="26"/>
      <c r="BE63" s="67">
        <f>SUMIFS([1]Up!$J:$J,[1]Up!$D:$D,D63)</f>
        <v>0</v>
      </c>
      <c r="BF63" s="82"/>
      <c r="BG63" s="82" t="str">
        <f t="shared" si="21"/>
        <v>PL5</v>
      </c>
      <c r="BH63" s="53" t="str">
        <f t="shared" si="22"/>
        <v>Thừa 6</v>
      </c>
      <c r="BI63" s="53" t="s">
        <v>148</v>
      </c>
      <c r="BJ63" s="53" t="s">
        <v>955</v>
      </c>
      <c r="BK63" s="53" t="s">
        <v>956</v>
      </c>
      <c r="BL63" s="53" t="s">
        <v>957</v>
      </c>
      <c r="BM63" s="53">
        <v>1</v>
      </c>
      <c r="BN63" s="83" t="s">
        <v>2222</v>
      </c>
      <c r="BO63" s="53"/>
      <c r="BP63" s="53"/>
    </row>
    <row r="64" spans="3:68" ht="14.25" hidden="1" customHeight="1">
      <c r="C64" s="82" t="s">
        <v>11</v>
      </c>
      <c r="D64" s="82" t="s">
        <v>1074</v>
      </c>
      <c r="E64" s="82" t="s">
        <v>1075</v>
      </c>
      <c r="F64" s="82" t="s">
        <v>1076</v>
      </c>
      <c r="G64" s="82">
        <v>812</v>
      </c>
      <c r="H64" s="82" t="s">
        <v>1077</v>
      </c>
      <c r="I64" s="82">
        <v>5</v>
      </c>
      <c r="J64" s="82">
        <v>13.05696</v>
      </c>
      <c r="K64" s="82">
        <v>65.284800000000004</v>
      </c>
      <c r="L64" s="26">
        <f t="shared" si="19"/>
        <v>0</v>
      </c>
      <c r="M64" s="26">
        <f t="shared" si="20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67">
        <f>SUMIFS([1]Up!$J:$J,[1]Up!$D:$D,D64)</f>
        <v>0</v>
      </c>
      <c r="BF64" s="82"/>
      <c r="BG64" s="82" t="str">
        <f t="shared" si="21"/>
        <v/>
      </c>
      <c r="BH64" s="53" t="str">
        <f t="shared" si="22"/>
        <v/>
      </c>
      <c r="BI64" s="53" t="s">
        <v>148</v>
      </c>
      <c r="BJ64" s="53" t="s">
        <v>1078</v>
      </c>
      <c r="BK64" s="53" t="s">
        <v>1075</v>
      </c>
      <c r="BL64" s="53" t="s">
        <v>2104</v>
      </c>
      <c r="BM64" s="53">
        <v>5</v>
      </c>
      <c r="BN64" s="83">
        <v>46120</v>
      </c>
      <c r="BO64" s="53"/>
      <c r="BP64" s="53"/>
    </row>
    <row r="65" spans="3:68" ht="14.25" hidden="1" customHeight="1">
      <c r="C65" s="82" t="s">
        <v>11</v>
      </c>
      <c r="D65" s="82" t="s">
        <v>1079</v>
      </c>
      <c r="E65" s="82" t="s">
        <v>1080</v>
      </c>
      <c r="F65" s="82" t="s">
        <v>1076</v>
      </c>
      <c r="G65" s="82">
        <v>737</v>
      </c>
      <c r="H65" s="82" t="s">
        <v>1077</v>
      </c>
      <c r="I65" s="82">
        <v>1</v>
      </c>
      <c r="J65" s="82">
        <v>2.1</v>
      </c>
      <c r="K65" s="82">
        <v>2.1</v>
      </c>
      <c r="L65" s="26">
        <f t="shared" si="19"/>
        <v>0</v>
      </c>
      <c r="M65" s="26">
        <f t="shared" si="20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67">
        <f>SUMIFS([1]Up!$J:$J,[1]Up!$D:$D,D65)</f>
        <v>0</v>
      </c>
      <c r="BF65" s="82"/>
      <c r="BG65" s="82" t="str">
        <f t="shared" si="21"/>
        <v/>
      </c>
      <c r="BH65" s="53" t="str">
        <f t="shared" si="22"/>
        <v/>
      </c>
      <c r="BI65" s="53" t="s">
        <v>154</v>
      </c>
      <c r="BJ65" s="53" t="s">
        <v>1081</v>
      </c>
      <c r="BK65" s="53" t="s">
        <v>1080</v>
      </c>
      <c r="BL65" s="53" t="s">
        <v>2105</v>
      </c>
      <c r="BM65" s="53">
        <v>1</v>
      </c>
      <c r="BN65" s="83">
        <v>46120</v>
      </c>
      <c r="BO65" s="53"/>
      <c r="BP65" s="53"/>
    </row>
    <row r="66" spans="3:68" ht="14.25" hidden="1" customHeight="1">
      <c r="C66" s="82" t="s">
        <v>13</v>
      </c>
      <c r="D66" s="82" t="s">
        <v>1082</v>
      </c>
      <c r="E66" s="82" t="s">
        <v>1083</v>
      </c>
      <c r="F66" s="82" t="s">
        <v>1084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9"/>
        <v>0</v>
      </c>
      <c r="M66" s="26">
        <f t="shared" si="20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67">
        <f>SUMIFS([1]Up!$J:$J,[1]Up!$D:$D,D66)</f>
        <v>0</v>
      </c>
      <c r="BF66" s="82"/>
      <c r="BG66" s="82" t="str">
        <f t="shared" si="21"/>
        <v>PL12</v>
      </c>
      <c r="BH66" s="53" t="str">
        <f t="shared" si="22"/>
        <v/>
      </c>
      <c r="BI66" s="53" t="s">
        <v>154</v>
      </c>
      <c r="BJ66" s="53" t="s">
        <v>1020</v>
      </c>
      <c r="BK66" s="53" t="s">
        <v>1021</v>
      </c>
      <c r="BL66" s="53" t="s">
        <v>57</v>
      </c>
      <c r="BM66" s="53">
        <v>1</v>
      </c>
      <c r="BN66" s="83"/>
      <c r="BO66" s="53"/>
      <c r="BP66" s="53"/>
    </row>
    <row r="67" spans="3:68" ht="14.25" hidden="1" customHeight="1">
      <c r="C67" s="82" t="s">
        <v>13</v>
      </c>
      <c r="D67" s="82" t="s">
        <v>1085</v>
      </c>
      <c r="E67" s="82" t="s">
        <v>1086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9"/>
        <v>0</v>
      </c>
      <c r="M67" s="26">
        <f t="shared" si="20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67">
        <f>SUMIFS([1]Up!$J:$J,[1]Up!$D:$D,D67)</f>
        <v>0</v>
      </c>
      <c r="BF67" s="82"/>
      <c r="BG67" s="82" t="str">
        <f t="shared" si="21"/>
        <v>PL10</v>
      </c>
      <c r="BH67" s="53" t="str">
        <f t="shared" si="22"/>
        <v/>
      </c>
      <c r="BI67" s="53" t="s">
        <v>148</v>
      </c>
      <c r="BJ67" s="53" t="s">
        <v>1004</v>
      </c>
      <c r="BK67" s="53" t="s">
        <v>1005</v>
      </c>
      <c r="BL67" s="53"/>
      <c r="BM67" s="53"/>
      <c r="BN67" s="83"/>
      <c r="BO67" s="53"/>
      <c r="BP67" s="53"/>
    </row>
    <row r="68" spans="3:68" ht="14.25" hidden="1" customHeight="1">
      <c r="C68" s="82" t="s">
        <v>13</v>
      </c>
      <c r="D68" s="82" t="s">
        <v>1087</v>
      </c>
      <c r="E68" s="82" t="s">
        <v>1088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9"/>
        <v>0</v>
      </c>
      <c r="M68" s="26">
        <f t="shared" si="20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67">
        <f>SUMIFS([1]Up!$J:$J,[1]Up!$D:$D,D68)</f>
        <v>0</v>
      </c>
      <c r="BF68" s="82"/>
      <c r="BG68" s="82" t="str">
        <f t="shared" si="21"/>
        <v>PL12</v>
      </c>
      <c r="BH68" s="53" t="str">
        <f t="shared" si="22"/>
        <v/>
      </c>
      <c r="BI68" s="53" t="s">
        <v>148</v>
      </c>
      <c r="BJ68" s="53" t="s">
        <v>1020</v>
      </c>
      <c r="BK68" s="53" t="s">
        <v>1021</v>
      </c>
      <c r="BL68" s="53" t="s">
        <v>2099</v>
      </c>
      <c r="BM68" s="53">
        <v>10</v>
      </c>
      <c r="BN68" s="83">
        <v>46303</v>
      </c>
      <c r="BO68" s="53"/>
      <c r="BP68" s="53"/>
    </row>
    <row r="69" spans="3:68" ht="14.25" hidden="1" customHeight="1">
      <c r="C69" s="82" t="s">
        <v>13</v>
      </c>
      <c r="D69" s="82" t="s">
        <v>1089</v>
      </c>
      <c r="E69" s="82" t="s">
        <v>1090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9"/>
        <v>10</v>
      </c>
      <c r="M69" s="26">
        <f t="shared" si="20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>
        <v>10</v>
      </c>
      <c r="BC69" s="26"/>
      <c r="BD69" s="26"/>
      <c r="BE69" s="67">
        <f>SUMIFS([1]Up!$J:$J,[1]Up!$D:$D,D69)</f>
        <v>10</v>
      </c>
      <c r="BF69" s="82"/>
      <c r="BG69" s="82" t="str">
        <f t="shared" si="21"/>
        <v>PL16</v>
      </c>
      <c r="BH69" s="53" t="str">
        <f t="shared" si="22"/>
        <v/>
      </c>
      <c r="BI69" s="53" t="s">
        <v>148</v>
      </c>
      <c r="BJ69" s="53" t="s">
        <v>987</v>
      </c>
      <c r="BK69" s="53" t="s">
        <v>988</v>
      </c>
      <c r="BL69" s="53" t="s">
        <v>2103</v>
      </c>
      <c r="BM69" s="53">
        <v>10</v>
      </c>
      <c r="BN69" s="83">
        <v>46120</v>
      </c>
      <c r="BO69" s="53"/>
      <c r="BP69" s="53"/>
    </row>
    <row r="70" spans="3:68" ht="14.25" hidden="1" customHeight="1">
      <c r="C70" s="82" t="s">
        <v>13</v>
      </c>
      <c r="D70" s="82" t="s">
        <v>1091</v>
      </c>
      <c r="E70" s="82" t="s">
        <v>1092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9"/>
        <v>0</v>
      </c>
      <c r="M70" s="26">
        <f t="shared" si="20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67">
        <f>SUMIFS([1]Up!$J:$J,[1]Up!$D:$D,D70)</f>
        <v>0</v>
      </c>
      <c r="BF70" s="82"/>
      <c r="BG70" s="82" t="str">
        <f t="shared" si="21"/>
        <v>PL15</v>
      </c>
      <c r="BH70" s="53" t="str">
        <f t="shared" si="22"/>
        <v/>
      </c>
      <c r="BI70" s="53" t="s">
        <v>148</v>
      </c>
      <c r="BJ70" s="53" t="s">
        <v>1093</v>
      </c>
      <c r="BK70" s="53" t="s">
        <v>1094</v>
      </c>
      <c r="BL70" s="53" t="s">
        <v>2100</v>
      </c>
      <c r="BM70" s="53">
        <v>2</v>
      </c>
      <c r="BN70" s="83">
        <v>46120</v>
      </c>
      <c r="BO70" s="53"/>
      <c r="BP70" s="53"/>
    </row>
    <row r="71" spans="3:68" ht="14.25" hidden="1" customHeight="1">
      <c r="C71" s="82" t="s">
        <v>13</v>
      </c>
      <c r="D71" s="82" t="s">
        <v>1095</v>
      </c>
      <c r="E71" s="82" t="s">
        <v>1096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9"/>
        <v>0</v>
      </c>
      <c r="M71" s="26">
        <f t="shared" si="20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67">
        <f>SUMIFS([1]Up!$J:$J,[1]Up!$D:$D,D71)</f>
        <v>0</v>
      </c>
      <c r="BF71" s="82"/>
      <c r="BG71" s="82" t="str">
        <f t="shared" si="21"/>
        <v>PL10</v>
      </c>
      <c r="BH71" s="53" t="str">
        <f t="shared" si="22"/>
        <v/>
      </c>
      <c r="BI71" s="53" t="s">
        <v>154</v>
      </c>
      <c r="BJ71" s="53" t="s">
        <v>1004</v>
      </c>
      <c r="BK71" s="53" t="s">
        <v>1005</v>
      </c>
      <c r="BL71" s="53"/>
      <c r="BM71" s="53"/>
      <c r="BN71" s="83"/>
      <c r="BO71" s="53"/>
      <c r="BP71" s="53"/>
    </row>
    <row r="72" spans="3:68" ht="14.25" hidden="1" customHeight="1">
      <c r="C72" s="82" t="s">
        <v>13</v>
      </c>
      <c r="D72" s="82" t="s">
        <v>1097</v>
      </c>
      <c r="E72" s="82" t="s">
        <v>1098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9"/>
        <v>0</v>
      </c>
      <c r="M72" s="26">
        <f t="shared" si="20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67">
        <f>SUMIFS([1]Up!$J:$J,[1]Up!$D:$D,D72)</f>
        <v>0</v>
      </c>
      <c r="BF72" s="82"/>
      <c r="BG72" s="82" t="str">
        <f t="shared" si="21"/>
        <v>PL20</v>
      </c>
      <c r="BH72" s="53" t="str">
        <f t="shared" si="22"/>
        <v/>
      </c>
      <c r="BI72" s="53" t="s">
        <v>148</v>
      </c>
      <c r="BJ72" s="53" t="s">
        <v>1099</v>
      </c>
      <c r="BK72" s="53" t="s">
        <v>1100</v>
      </c>
      <c r="BL72" s="53" t="s">
        <v>2101</v>
      </c>
      <c r="BM72" s="53">
        <v>1</v>
      </c>
      <c r="BN72" s="83">
        <v>46303</v>
      </c>
      <c r="BO72" s="53"/>
      <c r="BP72" s="53"/>
    </row>
    <row r="73" spans="3:68" ht="14.25" hidden="1" customHeight="1">
      <c r="C73" s="82" t="s">
        <v>13</v>
      </c>
      <c r="D73" s="82" t="s">
        <v>1101</v>
      </c>
      <c r="E73" s="82" t="s">
        <v>1030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9"/>
        <v>0</v>
      </c>
      <c r="M73" s="26">
        <f t="shared" si="20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67">
        <f>SUMIFS([1]Up!$J:$J,[1]Up!$D:$D,D73)</f>
        <v>0</v>
      </c>
      <c r="BF73" s="82"/>
      <c r="BG73" s="82" t="str">
        <f t="shared" si="21"/>
        <v>PL12</v>
      </c>
      <c r="BH73" s="53" t="str">
        <f t="shared" si="22"/>
        <v/>
      </c>
      <c r="BI73" s="53" t="s">
        <v>148</v>
      </c>
      <c r="BJ73" s="53" t="s">
        <v>1020</v>
      </c>
      <c r="BK73" s="53" t="s">
        <v>1021</v>
      </c>
      <c r="BL73" s="53" t="s">
        <v>2099</v>
      </c>
      <c r="BM73" s="53">
        <v>4</v>
      </c>
      <c r="BN73" s="83">
        <v>46303</v>
      </c>
      <c r="BO73" s="53"/>
      <c r="BP73" s="53"/>
    </row>
    <row r="74" spans="3:68" ht="14.25" hidden="1" customHeight="1">
      <c r="C74" s="82" t="s">
        <v>13</v>
      </c>
      <c r="D74" s="82" t="s">
        <v>1102</v>
      </c>
      <c r="E74" s="82" t="s">
        <v>1030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9"/>
        <v>0</v>
      </c>
      <c r="M74" s="26">
        <f t="shared" si="20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67">
        <f>SUMIFS([1]Up!$J:$J,[1]Up!$D:$D,D74)</f>
        <v>0</v>
      </c>
      <c r="BF74" s="82"/>
      <c r="BG74" s="82" t="str">
        <f t="shared" si="21"/>
        <v>PL12</v>
      </c>
      <c r="BH74" s="53" t="str">
        <f t="shared" si="22"/>
        <v/>
      </c>
      <c r="BI74" s="53" t="s">
        <v>148</v>
      </c>
      <c r="BJ74" s="53" t="s">
        <v>1020</v>
      </c>
      <c r="BK74" s="53" t="s">
        <v>1021</v>
      </c>
      <c r="BL74" s="53" t="s">
        <v>2099</v>
      </c>
      <c r="BM74" s="53">
        <v>2</v>
      </c>
      <c r="BN74" s="83">
        <v>46303</v>
      </c>
      <c r="BO74" s="53"/>
      <c r="BP74" s="53"/>
    </row>
    <row r="75" spans="3:68" ht="14.25" hidden="1" customHeight="1">
      <c r="C75" s="82" t="s">
        <v>13</v>
      </c>
      <c r="D75" s="82" t="s">
        <v>1103</v>
      </c>
      <c r="E75" s="82" t="s">
        <v>1104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9"/>
        <v>0</v>
      </c>
      <c r="M75" s="26">
        <f t="shared" si="20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67">
        <f>SUMIFS([1]Up!$J:$J,[1]Up!$D:$D,D75)</f>
        <v>0</v>
      </c>
      <c r="BF75" s="82"/>
      <c r="BG75" s="82" t="str">
        <f t="shared" si="21"/>
        <v>PL20</v>
      </c>
      <c r="BH75" s="53" t="str">
        <f t="shared" si="22"/>
        <v/>
      </c>
      <c r="BI75" s="53" t="s">
        <v>148</v>
      </c>
      <c r="BJ75" s="53" t="s">
        <v>1099</v>
      </c>
      <c r="BK75" s="53" t="s">
        <v>1100</v>
      </c>
      <c r="BL75" s="53" t="s">
        <v>2101</v>
      </c>
      <c r="BM75" s="53">
        <v>1</v>
      </c>
      <c r="BN75" s="83">
        <v>46303</v>
      </c>
      <c r="BO75" s="53"/>
      <c r="BP75" s="53"/>
    </row>
    <row r="76" spans="3:68" ht="14.25" hidden="1" customHeight="1">
      <c r="C76" s="82" t="s">
        <v>13</v>
      </c>
      <c r="D76" s="82" t="s">
        <v>1105</v>
      </c>
      <c r="E76" s="82" t="s">
        <v>1106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9"/>
        <v>0</v>
      </c>
      <c r="M76" s="26">
        <f t="shared" si="20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67">
        <f>SUMIFS([1]Up!$J:$J,[1]Up!$D:$D,D76)</f>
        <v>0</v>
      </c>
      <c r="BF76" s="82"/>
      <c r="BG76" s="82" t="str">
        <f t="shared" si="21"/>
        <v>PL5</v>
      </c>
      <c r="BH76" s="53" t="str">
        <f t="shared" si="22"/>
        <v/>
      </c>
      <c r="BI76" s="53" t="s">
        <v>148</v>
      </c>
      <c r="BJ76" s="53" t="s">
        <v>1107</v>
      </c>
      <c r="BK76" s="53" t="s">
        <v>956</v>
      </c>
      <c r="BL76" s="53" t="s">
        <v>2102</v>
      </c>
      <c r="BM76" s="53">
        <v>2</v>
      </c>
      <c r="BN76" s="83">
        <v>46120</v>
      </c>
      <c r="BO76" s="53"/>
      <c r="BP76" s="53"/>
    </row>
    <row r="77" spans="3:68" ht="14.25" hidden="1" customHeight="1">
      <c r="C77" s="82" t="s">
        <v>13</v>
      </c>
      <c r="D77" s="82" t="s">
        <v>1108</v>
      </c>
      <c r="E77" s="82" t="s">
        <v>1109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9"/>
        <v>0</v>
      </c>
      <c r="M77" s="26">
        <f t="shared" si="20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67">
        <f>SUMIFS([1]Up!$J:$J,[1]Up!$D:$D,D77)</f>
        <v>0</v>
      </c>
      <c r="BF77" s="82"/>
      <c r="BG77" s="82" t="str">
        <f t="shared" si="21"/>
        <v>PL10</v>
      </c>
      <c r="BH77" s="53" t="str">
        <f t="shared" si="22"/>
        <v/>
      </c>
      <c r="BI77" s="53" t="s">
        <v>148</v>
      </c>
      <c r="BJ77" s="53" t="s">
        <v>1004</v>
      </c>
      <c r="BK77" s="53" t="s">
        <v>1005</v>
      </c>
      <c r="BL77" s="53"/>
      <c r="BM77" s="53"/>
      <c r="BN77" s="83"/>
      <c r="BO77" s="53"/>
      <c r="BP77" s="53"/>
    </row>
    <row r="78" spans="3:68" ht="14.25" hidden="1" customHeight="1">
      <c r="C78" s="82" t="s">
        <v>13</v>
      </c>
      <c r="D78" s="82" t="s">
        <v>1110</v>
      </c>
      <c r="E78" s="82" t="s">
        <v>1083</v>
      </c>
      <c r="F78" s="82" t="s">
        <v>1084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9"/>
        <v>0</v>
      </c>
      <c r="M78" s="26">
        <f t="shared" si="20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67">
        <f>SUMIFS([1]Up!$J:$J,[1]Up!$D:$D,D78)</f>
        <v>0</v>
      </c>
      <c r="BF78" s="82"/>
      <c r="BG78" s="82" t="str">
        <f t="shared" si="21"/>
        <v>PL12</v>
      </c>
      <c r="BH78" s="53" t="str">
        <f t="shared" si="22"/>
        <v/>
      </c>
      <c r="BI78" s="53" t="s">
        <v>154</v>
      </c>
      <c r="BJ78" s="53" t="s">
        <v>1020</v>
      </c>
      <c r="BK78" s="53" t="s">
        <v>1021</v>
      </c>
      <c r="BL78" s="53" t="s">
        <v>57</v>
      </c>
      <c r="BM78" s="53">
        <v>1</v>
      </c>
      <c r="BN78" s="83"/>
      <c r="BO78" s="53"/>
      <c r="BP78" s="53"/>
    </row>
    <row r="79" spans="3:68" ht="14.25" hidden="1" customHeight="1">
      <c r="C79" s="82" t="s">
        <v>13</v>
      </c>
      <c r="D79" s="82" t="s">
        <v>1111</v>
      </c>
      <c r="E79" s="82" t="s">
        <v>1096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9"/>
        <v>0</v>
      </c>
      <c r="M79" s="26">
        <f t="shared" si="20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67">
        <f>SUMIFS([1]Up!$J:$J,[1]Up!$D:$D,D79)</f>
        <v>0</v>
      </c>
      <c r="BF79" s="82"/>
      <c r="BG79" s="82" t="str">
        <f t="shared" si="21"/>
        <v>PL10</v>
      </c>
      <c r="BH79" s="53" t="str">
        <f t="shared" si="22"/>
        <v/>
      </c>
      <c r="BI79" s="53" t="s">
        <v>154</v>
      </c>
      <c r="BJ79" s="53" t="s">
        <v>1004</v>
      </c>
      <c r="BK79" s="53" t="s">
        <v>1005</v>
      </c>
      <c r="BL79" s="53"/>
      <c r="BM79" s="53"/>
      <c r="BN79" s="83"/>
      <c r="BO79" s="53"/>
      <c r="BP79" s="53"/>
    </row>
    <row r="80" spans="3:68" ht="14.25" hidden="1" customHeight="1">
      <c r="C80" s="82" t="s">
        <v>13</v>
      </c>
      <c r="D80" s="82" t="s">
        <v>1112</v>
      </c>
      <c r="E80" s="82" t="s">
        <v>1113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9"/>
        <v>1</v>
      </c>
      <c r="M80" s="26">
        <f t="shared" si="20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67">
        <f>SUMIFS([1]Up!$J:$J,[1]Up!$D:$D,D80)</f>
        <v>0</v>
      </c>
      <c r="BF80" s="82"/>
      <c r="BG80" s="82" t="str">
        <f t="shared" si="21"/>
        <v>PL20</v>
      </c>
      <c r="BH80" s="53" t="str">
        <f t="shared" si="22"/>
        <v/>
      </c>
      <c r="BI80" s="53" t="s">
        <v>148</v>
      </c>
      <c r="BJ80" s="53" t="s">
        <v>1099</v>
      </c>
      <c r="BK80" s="53" t="s">
        <v>1100</v>
      </c>
      <c r="BL80" s="53" t="s">
        <v>2101</v>
      </c>
      <c r="BM80" s="53">
        <v>1</v>
      </c>
      <c r="BN80" s="83">
        <v>46303</v>
      </c>
      <c r="BO80" s="53"/>
      <c r="BP80" s="53"/>
    </row>
    <row r="81" spans="3:68" ht="14.25" hidden="1" customHeight="1">
      <c r="C81" s="82" t="s">
        <v>13</v>
      </c>
      <c r="D81" s="82" t="s">
        <v>1114</v>
      </c>
      <c r="E81" s="82" t="s">
        <v>1115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9"/>
        <v>0</v>
      </c>
      <c r="M81" s="26">
        <f t="shared" si="20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67">
        <f>SUMIFS([1]Up!$J:$J,[1]Up!$D:$D,D81)</f>
        <v>0</v>
      </c>
      <c r="BF81" s="82"/>
      <c r="BG81" s="82" t="str">
        <f t="shared" si="21"/>
        <v>PL12</v>
      </c>
      <c r="BH81" s="53" t="str">
        <f t="shared" si="22"/>
        <v/>
      </c>
      <c r="BI81" s="53" t="s">
        <v>148</v>
      </c>
      <c r="BJ81" s="53" t="s">
        <v>1020</v>
      </c>
      <c r="BK81" s="53" t="s">
        <v>1021</v>
      </c>
      <c r="BL81" s="53" t="s">
        <v>2099</v>
      </c>
      <c r="BM81" s="53">
        <v>5</v>
      </c>
      <c r="BN81" s="83">
        <v>46303</v>
      </c>
      <c r="BO81" s="53"/>
      <c r="BP81" s="53"/>
    </row>
    <row r="82" spans="3:68" ht="14.25" hidden="1" customHeight="1">
      <c r="C82" s="82" t="s">
        <v>13</v>
      </c>
      <c r="D82" s="82" t="s">
        <v>1116</v>
      </c>
      <c r="E82" s="82" t="s">
        <v>1117</v>
      </c>
      <c r="F82" s="82" t="s">
        <v>1076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9"/>
        <v>0</v>
      </c>
      <c r="M82" s="26">
        <f t="shared" si="20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67">
        <f>SUMIFS([1]Up!$J:$J,[1]Up!$D:$D,D82)</f>
        <v>0</v>
      </c>
      <c r="BF82" s="82"/>
      <c r="BG82" s="82" t="str">
        <f t="shared" si="21"/>
        <v>PL15</v>
      </c>
      <c r="BH82" s="53" t="str">
        <f t="shared" si="22"/>
        <v/>
      </c>
      <c r="BI82" s="53" t="s">
        <v>148</v>
      </c>
      <c r="BJ82" s="53" t="s">
        <v>1093</v>
      </c>
      <c r="BK82" s="53" t="s">
        <v>1094</v>
      </c>
      <c r="BL82" s="53" t="s">
        <v>2100</v>
      </c>
      <c r="BM82" s="53">
        <v>1</v>
      </c>
      <c r="BN82" s="83">
        <v>46120</v>
      </c>
      <c r="BO82" s="53"/>
      <c r="BP82" s="53"/>
    </row>
    <row r="83" spans="3:68" ht="14.25" hidden="1" customHeight="1">
      <c r="C83" s="82" t="s">
        <v>13</v>
      </c>
      <c r="D83" s="82" t="s">
        <v>1118</v>
      </c>
      <c r="E83" s="82" t="s">
        <v>1083</v>
      </c>
      <c r="F83" s="82" t="s">
        <v>1084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9"/>
        <v>0</v>
      </c>
      <c r="M83" s="26">
        <f t="shared" si="20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67">
        <f>SUMIFS([1]Up!$J:$J,[1]Up!$D:$D,D83)</f>
        <v>0</v>
      </c>
      <c r="BF83" s="82"/>
      <c r="BG83" s="82" t="str">
        <f t="shared" si="21"/>
        <v>PL12</v>
      </c>
      <c r="BH83" s="53" t="str">
        <f t="shared" si="22"/>
        <v/>
      </c>
      <c r="BI83" s="53" t="s">
        <v>154</v>
      </c>
      <c r="BJ83" s="53" t="s">
        <v>1020</v>
      </c>
      <c r="BK83" s="53" t="s">
        <v>1021</v>
      </c>
      <c r="BL83" s="53" t="s">
        <v>57</v>
      </c>
      <c r="BM83" s="53">
        <v>1</v>
      </c>
      <c r="BN83" s="83"/>
      <c r="BO83" s="53"/>
      <c r="BP83" s="53"/>
    </row>
    <row r="84" spans="3:68" ht="14.25" hidden="1" customHeight="1">
      <c r="C84" s="82" t="s">
        <v>13</v>
      </c>
      <c r="D84" s="82" t="s">
        <v>1119</v>
      </c>
      <c r="E84" s="82" t="s">
        <v>1115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9"/>
        <v>0</v>
      </c>
      <c r="M84" s="26">
        <f t="shared" si="20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67">
        <f>SUMIFS([1]Up!$J:$J,[1]Up!$D:$D,D84)</f>
        <v>0</v>
      </c>
      <c r="BF84" s="82"/>
      <c r="BG84" s="82" t="str">
        <f t="shared" si="21"/>
        <v>PL12</v>
      </c>
      <c r="BH84" s="53" t="str">
        <f t="shared" si="22"/>
        <v/>
      </c>
      <c r="BI84" s="53" t="s">
        <v>148</v>
      </c>
      <c r="BJ84" s="53" t="s">
        <v>1020</v>
      </c>
      <c r="BK84" s="53" t="s">
        <v>1021</v>
      </c>
      <c r="BL84" s="53" t="s">
        <v>2099</v>
      </c>
      <c r="BM84" s="53">
        <v>5</v>
      </c>
      <c r="BN84" s="83">
        <v>46303</v>
      </c>
      <c r="BO84" s="53"/>
      <c r="BP84" s="53"/>
    </row>
    <row r="85" spans="3:68" ht="14.25" hidden="1" customHeight="1">
      <c r="C85" s="82" t="s">
        <v>13</v>
      </c>
      <c r="D85" s="82" t="s">
        <v>1120</v>
      </c>
      <c r="E85" s="82" t="s">
        <v>1121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9"/>
        <v>0</v>
      </c>
      <c r="M85" s="26">
        <f t="shared" si="20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67">
        <f>SUMIFS([1]Up!$J:$J,[1]Up!$D:$D,D85)</f>
        <v>0</v>
      </c>
      <c r="BF85" s="82"/>
      <c r="BG85" s="82" t="str">
        <f t="shared" si="21"/>
        <v>PL20</v>
      </c>
      <c r="BH85" s="53" t="str">
        <f t="shared" si="22"/>
        <v/>
      </c>
      <c r="BI85" s="53" t="s">
        <v>148</v>
      </c>
      <c r="BJ85" s="53" t="s">
        <v>1099</v>
      </c>
      <c r="BK85" s="53" t="s">
        <v>1100</v>
      </c>
      <c r="BL85" s="53" t="s">
        <v>2101</v>
      </c>
      <c r="BM85" s="53">
        <v>1</v>
      </c>
      <c r="BN85" s="83">
        <v>46303</v>
      </c>
      <c r="BO85" s="53"/>
      <c r="BP85" s="53"/>
    </row>
    <row r="86" spans="3:68" ht="14.25" hidden="1" customHeight="1">
      <c r="C86" s="82" t="s">
        <v>13</v>
      </c>
      <c r="D86" s="82" t="s">
        <v>1122</v>
      </c>
      <c r="E86" s="82" t="s">
        <v>1123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9"/>
        <v>0</v>
      </c>
      <c r="M86" s="26">
        <f t="shared" si="20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67">
        <f>SUMIFS([1]Up!$J:$J,[1]Up!$D:$D,D86)</f>
        <v>0</v>
      </c>
      <c r="BF86" s="82"/>
      <c r="BG86" s="82" t="str">
        <f t="shared" si="21"/>
        <v>PL20</v>
      </c>
      <c r="BH86" s="53" t="str">
        <f t="shared" si="22"/>
        <v/>
      </c>
      <c r="BI86" s="53" t="s">
        <v>148</v>
      </c>
      <c r="BJ86" s="53" t="s">
        <v>1099</v>
      </c>
      <c r="BK86" s="53" t="s">
        <v>1100</v>
      </c>
      <c r="BL86" s="53"/>
      <c r="BM86" s="53"/>
      <c r="BN86" s="83"/>
      <c r="BO86" s="53"/>
      <c r="BP86" s="53"/>
    </row>
    <row r="87" spans="3:68" ht="14.25" hidden="1" customHeight="1">
      <c r="C87" s="82" t="s">
        <v>13</v>
      </c>
      <c r="D87" s="82" t="s">
        <v>1124</v>
      </c>
      <c r="E87" s="82" t="s">
        <v>2108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9"/>
        <v>0</v>
      </c>
      <c r="M87" s="26">
        <f t="shared" si="20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67">
        <f>SUMIFS([1]Up!$J:$J,[1]Up!$D:$D,D87)</f>
        <v>0</v>
      </c>
      <c r="BF87" s="82"/>
      <c r="BG87" s="82" t="str">
        <f t="shared" si="21"/>
        <v>PL20</v>
      </c>
      <c r="BH87" s="53" t="str">
        <f t="shared" si="22"/>
        <v/>
      </c>
      <c r="BI87" s="53" t="s">
        <v>148</v>
      </c>
      <c r="BJ87" s="53" t="s">
        <v>1093</v>
      </c>
      <c r="BK87" s="53" t="s">
        <v>1094</v>
      </c>
      <c r="BL87" s="53" t="s">
        <v>2101</v>
      </c>
      <c r="BM87" s="53">
        <v>2</v>
      </c>
      <c r="BN87" s="83">
        <v>46303</v>
      </c>
      <c r="BO87" s="53"/>
      <c r="BP87" s="53"/>
    </row>
    <row r="88" spans="3:68" ht="14.25" hidden="1" customHeight="1">
      <c r="C88" s="82" t="s">
        <v>11</v>
      </c>
      <c r="D88" s="82" t="s">
        <v>1126</v>
      </c>
      <c r="E88" s="82" t="s">
        <v>1080</v>
      </c>
      <c r="F88" s="82" t="s">
        <v>1076</v>
      </c>
      <c r="G88" s="82">
        <v>737</v>
      </c>
      <c r="H88" s="82" t="s">
        <v>1077</v>
      </c>
      <c r="I88" s="82">
        <v>5</v>
      </c>
      <c r="J88" s="82">
        <v>2.1</v>
      </c>
      <c r="K88" s="82">
        <v>10.5</v>
      </c>
      <c r="L88" s="26">
        <f t="shared" si="19"/>
        <v>0</v>
      </c>
      <c r="M88" s="26">
        <f t="shared" si="20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67">
        <f>SUMIFS([1]Up!$J:$J,[1]Up!$D:$D,D88)</f>
        <v>0</v>
      </c>
      <c r="BF88" s="82"/>
      <c r="BG88" s="82" t="str">
        <f t="shared" si="21"/>
        <v/>
      </c>
      <c r="BH88" s="53" t="str">
        <f t="shared" si="22"/>
        <v/>
      </c>
      <c r="BI88" s="53" t="s">
        <v>154</v>
      </c>
      <c r="BJ88" s="53" t="s">
        <v>1081</v>
      </c>
      <c r="BK88" s="53" t="s">
        <v>1080</v>
      </c>
      <c r="BL88" s="53" t="s">
        <v>2105</v>
      </c>
      <c r="BM88" s="53">
        <v>5</v>
      </c>
      <c r="BN88" s="83">
        <v>46120</v>
      </c>
      <c r="BO88" s="53"/>
      <c r="BP88" s="53"/>
    </row>
    <row r="89" spans="3:68" ht="14.25" hidden="1" customHeight="1">
      <c r="C89" s="82" t="s">
        <v>11</v>
      </c>
      <c r="D89" s="82" t="s">
        <v>1127</v>
      </c>
      <c r="E89" s="82" t="s">
        <v>1128</v>
      </c>
      <c r="F89" s="82" t="s">
        <v>1129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9"/>
        <v>0</v>
      </c>
      <c r="M89" s="26">
        <f t="shared" si="20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67">
        <f>SUMIFS([1]Up!$J:$J,[1]Up!$D:$D,D89)</f>
        <v>0</v>
      </c>
      <c r="BF89" s="82"/>
      <c r="BG89" s="82" t="str">
        <f t="shared" si="21"/>
        <v/>
      </c>
      <c r="BH89" s="53" t="str">
        <f t="shared" si="22"/>
        <v/>
      </c>
      <c r="BI89" s="53" t="s">
        <v>154</v>
      </c>
      <c r="BJ89" s="53"/>
      <c r="BK89" s="53" t="s">
        <v>1128</v>
      </c>
      <c r="BL89" s="53" t="s">
        <v>2112</v>
      </c>
      <c r="BM89" s="53">
        <v>1</v>
      </c>
      <c r="BN89" s="83">
        <v>46120</v>
      </c>
      <c r="BO89" s="53"/>
      <c r="BP89" s="53"/>
    </row>
    <row r="90" spans="3:68" ht="14.25" hidden="1" customHeight="1">
      <c r="C90" s="82" t="s">
        <v>13</v>
      </c>
      <c r="D90" s="82" t="s">
        <v>1130</v>
      </c>
      <c r="E90" s="82" t="s">
        <v>1083</v>
      </c>
      <c r="F90" s="82" t="s">
        <v>1084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9"/>
        <v>0</v>
      </c>
      <c r="M90" s="26">
        <f t="shared" si="20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67">
        <f>SUMIFS([1]Up!$J:$J,[1]Up!$D:$D,D90)</f>
        <v>0</v>
      </c>
      <c r="BF90" s="82"/>
      <c r="BG90" s="82" t="str">
        <f t="shared" si="21"/>
        <v>PL12</v>
      </c>
      <c r="BH90" s="53" t="str">
        <f t="shared" si="22"/>
        <v/>
      </c>
      <c r="BI90" s="53" t="s">
        <v>154</v>
      </c>
      <c r="BJ90" s="53" t="s">
        <v>1020</v>
      </c>
      <c r="BK90" s="53" t="s">
        <v>1021</v>
      </c>
      <c r="BL90" s="53" t="s">
        <v>57</v>
      </c>
      <c r="BM90" s="53">
        <v>1</v>
      </c>
      <c r="BN90" s="83"/>
      <c r="BO90" s="53"/>
      <c r="BP90" s="53"/>
    </row>
    <row r="91" spans="3:68" ht="14.25" hidden="1" customHeight="1">
      <c r="C91" s="82" t="s">
        <v>13</v>
      </c>
      <c r="D91" s="82" t="s">
        <v>1131</v>
      </c>
      <c r="E91" s="82" t="s">
        <v>1132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9"/>
        <v>0</v>
      </c>
      <c r="M91" s="26">
        <f t="shared" si="20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67">
        <f>SUMIFS([1]Up!$J:$J,[1]Up!$D:$D,D91)</f>
        <v>0</v>
      </c>
      <c r="BF91" s="82"/>
      <c r="BG91" s="82" t="str">
        <f t="shared" si="21"/>
        <v>PL10</v>
      </c>
      <c r="BH91" s="53" t="str">
        <f t="shared" si="22"/>
        <v/>
      </c>
      <c r="BI91" s="53" t="s">
        <v>148</v>
      </c>
      <c r="BJ91" s="53" t="s">
        <v>1004</v>
      </c>
      <c r="BK91" s="53" t="s">
        <v>1005</v>
      </c>
      <c r="BL91" s="53"/>
      <c r="BM91" s="53"/>
      <c r="BN91" s="83"/>
      <c r="BO91" s="53"/>
      <c r="BP91" s="53"/>
    </row>
    <row r="92" spans="3:68" ht="14.25" hidden="1" customHeight="1">
      <c r="C92" s="82" t="s">
        <v>13</v>
      </c>
      <c r="D92" s="82" t="s">
        <v>1133</v>
      </c>
      <c r="E92" s="82" t="s">
        <v>1134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9"/>
        <v>0</v>
      </c>
      <c r="M92" s="26">
        <f t="shared" si="20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67">
        <f>SUMIFS([1]Up!$J:$J,[1]Up!$D:$D,D92)</f>
        <v>0</v>
      </c>
      <c r="BF92" s="82"/>
      <c r="BG92" s="82" t="str">
        <f t="shared" si="21"/>
        <v>PL10</v>
      </c>
      <c r="BH92" s="53" t="str">
        <f t="shared" si="22"/>
        <v/>
      </c>
      <c r="BI92" s="53" t="s">
        <v>148</v>
      </c>
      <c r="BJ92" s="53" t="s">
        <v>1004</v>
      </c>
      <c r="BK92" s="53" t="s">
        <v>1005</v>
      </c>
      <c r="BL92" s="53"/>
      <c r="BM92" s="53"/>
      <c r="BN92" s="83"/>
      <c r="BO92" s="53"/>
      <c r="BP92" s="53"/>
    </row>
    <row r="93" spans="3:68" ht="14.25" hidden="1" customHeight="1">
      <c r="C93" s="82" t="s">
        <v>13</v>
      </c>
      <c r="D93" s="82" t="s">
        <v>1135</v>
      </c>
      <c r="E93" s="82" t="s">
        <v>1096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9"/>
        <v>0</v>
      </c>
      <c r="M93" s="26">
        <f t="shared" si="20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67">
        <f>SUMIFS([1]Up!$J:$J,[1]Up!$D:$D,D93)</f>
        <v>0</v>
      </c>
      <c r="BF93" s="82"/>
      <c r="BG93" s="82" t="str">
        <f t="shared" si="21"/>
        <v>PL10</v>
      </c>
      <c r="BH93" s="53" t="str">
        <f t="shared" si="22"/>
        <v/>
      </c>
      <c r="BI93" s="53" t="s">
        <v>154</v>
      </c>
      <c r="BJ93" s="53" t="s">
        <v>1004</v>
      </c>
      <c r="BK93" s="53" t="s">
        <v>1005</v>
      </c>
      <c r="BL93" s="53"/>
      <c r="BM93" s="53"/>
      <c r="BN93" s="83"/>
      <c r="BO93" s="53"/>
      <c r="BP93" s="53"/>
    </row>
    <row r="94" spans="3:68" ht="14.25" hidden="1" customHeight="1">
      <c r="C94" s="82" t="s">
        <v>13</v>
      </c>
      <c r="D94" s="82" t="s">
        <v>1136</v>
      </c>
      <c r="E94" s="82" t="s">
        <v>1113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3">MIN(SUM(N94:BD94),I94)</f>
        <v>1</v>
      </c>
      <c r="M94" s="26">
        <f t="shared" si="20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67">
        <f>SUMIFS([1]Up!$J:$J,[1]Up!$D:$D,D94)</f>
        <v>0</v>
      </c>
      <c r="BF94" s="82"/>
      <c r="BG94" s="82" t="str">
        <f t="shared" ref="BG94:BG157" si="24">IFERROR(IF(C94="Plate",LEFT(E94,FIND("*",E94,1)-1),""),IF(C94="Plate",LEFT(E94,FIND("x",E94,1)-1),""))</f>
        <v>PL20</v>
      </c>
      <c r="BH94" s="53" t="str">
        <f t="shared" ref="BH94:BH157" si="25">IF(ROUND(SUM(N94:BD94)-I94,0)&gt;0,"Thừa "&amp;SUM(N94:BD94)-I94,"")</f>
        <v/>
      </c>
      <c r="BI94" s="53" t="s">
        <v>148</v>
      </c>
      <c r="BJ94" s="53" t="s">
        <v>1099</v>
      </c>
      <c r="BK94" s="53" t="s">
        <v>1100</v>
      </c>
      <c r="BL94" s="53" t="s">
        <v>2101</v>
      </c>
      <c r="BM94" s="53">
        <v>1</v>
      </c>
      <c r="BN94" s="83">
        <v>46303</v>
      </c>
      <c r="BO94" s="53"/>
      <c r="BP94" s="53"/>
    </row>
    <row r="95" spans="3:68" ht="14.25" hidden="1" customHeight="1">
      <c r="C95" s="82" t="s">
        <v>13</v>
      </c>
      <c r="D95" s="82" t="s">
        <v>1137</v>
      </c>
      <c r="E95" s="82" t="s">
        <v>1138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3"/>
        <v>0</v>
      </c>
      <c r="M95" s="26">
        <f t="shared" si="20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67">
        <f>SUMIFS([1]Up!$J:$J,[1]Up!$D:$D,D95)</f>
        <v>0</v>
      </c>
      <c r="BF95" s="82"/>
      <c r="BG95" s="82" t="str">
        <f t="shared" si="24"/>
        <v>PL10</v>
      </c>
      <c r="BH95" s="53" t="str">
        <f t="shared" si="25"/>
        <v/>
      </c>
      <c r="BI95" s="53" t="s">
        <v>154</v>
      </c>
      <c r="BJ95" s="53" t="s">
        <v>1004</v>
      </c>
      <c r="BK95" s="53" t="s">
        <v>1005</v>
      </c>
      <c r="BL95" s="53"/>
      <c r="BM95" s="53"/>
      <c r="BN95" s="83"/>
      <c r="BO95" s="53"/>
      <c r="BP95" s="53"/>
    </row>
    <row r="96" spans="3:68" ht="14.25" hidden="1" customHeight="1">
      <c r="C96" s="82" t="s">
        <v>13</v>
      </c>
      <c r="D96" s="82" t="s">
        <v>1139</v>
      </c>
      <c r="E96" s="82" t="s">
        <v>1140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3"/>
        <v>0</v>
      </c>
      <c r="M96" s="26">
        <f t="shared" si="20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67">
        <f>SUMIFS([1]Up!$J:$J,[1]Up!$D:$D,D96)</f>
        <v>0</v>
      </c>
      <c r="BF96" s="82"/>
      <c r="BG96" s="82" t="str">
        <f t="shared" si="24"/>
        <v>PL10</v>
      </c>
      <c r="BH96" s="53" t="str">
        <f t="shared" si="25"/>
        <v/>
      </c>
      <c r="BI96" s="53" t="s">
        <v>154</v>
      </c>
      <c r="BJ96" s="53" t="s">
        <v>1004</v>
      </c>
      <c r="BK96" s="53" t="s">
        <v>1005</v>
      </c>
      <c r="BL96" s="53"/>
      <c r="BM96" s="53"/>
      <c r="BN96" s="83"/>
      <c r="BO96" s="53"/>
      <c r="BP96" s="53"/>
    </row>
    <row r="97" spans="3:68" ht="14.25" hidden="1" customHeight="1">
      <c r="C97" s="82" t="s">
        <v>13</v>
      </c>
      <c r="D97" s="82" t="s">
        <v>1141</v>
      </c>
      <c r="E97" s="82" t="s">
        <v>1142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3"/>
        <v>0</v>
      </c>
      <c r="M97" s="26">
        <f t="shared" si="20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67">
        <f>SUMIFS([1]Up!$J:$J,[1]Up!$D:$D,D97)</f>
        <v>0</v>
      </c>
      <c r="BF97" s="82"/>
      <c r="BG97" s="82" t="str">
        <f t="shared" si="24"/>
        <v>PL10</v>
      </c>
      <c r="BH97" s="53" t="str">
        <f t="shared" si="25"/>
        <v/>
      </c>
      <c r="BI97" s="53" t="s">
        <v>154</v>
      </c>
      <c r="BJ97" s="53" t="s">
        <v>1004</v>
      </c>
      <c r="BK97" s="53" t="s">
        <v>1005</v>
      </c>
      <c r="BL97" s="53"/>
      <c r="BM97" s="53"/>
      <c r="BN97" s="83"/>
      <c r="BO97" s="53"/>
      <c r="BP97" s="53"/>
    </row>
    <row r="98" spans="3:68" ht="14.25" hidden="1" customHeight="1">
      <c r="C98" s="82" t="s">
        <v>13</v>
      </c>
      <c r="D98" s="82" t="s">
        <v>1143</v>
      </c>
      <c r="E98" s="82" t="s">
        <v>1115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3"/>
        <v>0</v>
      </c>
      <c r="M98" s="26">
        <f t="shared" si="20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67">
        <f>SUMIFS([1]Up!$J:$J,[1]Up!$D:$D,D98)</f>
        <v>0</v>
      </c>
      <c r="BF98" s="82"/>
      <c r="BG98" s="82" t="str">
        <f t="shared" si="24"/>
        <v>PL12</v>
      </c>
      <c r="BH98" s="53" t="str">
        <f t="shared" si="25"/>
        <v/>
      </c>
      <c r="BI98" s="53" t="s">
        <v>148</v>
      </c>
      <c r="BJ98" s="53" t="s">
        <v>1020</v>
      </c>
      <c r="BK98" s="53" t="s">
        <v>1021</v>
      </c>
      <c r="BL98" s="53" t="s">
        <v>2099</v>
      </c>
      <c r="BM98" s="53">
        <v>5</v>
      </c>
      <c r="BN98" s="83">
        <v>46303</v>
      </c>
      <c r="BO98" s="53"/>
      <c r="BP98" s="53"/>
    </row>
    <row r="99" spans="3:68" ht="14.25" hidden="1" customHeight="1">
      <c r="C99" s="82" t="s">
        <v>13</v>
      </c>
      <c r="D99" s="82" t="s">
        <v>1144</v>
      </c>
      <c r="E99" s="82" t="s">
        <v>1145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3"/>
        <v>0</v>
      </c>
      <c r="M99" s="26">
        <f t="shared" si="20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67">
        <f>SUMIFS([1]Up!$J:$J,[1]Up!$D:$D,D99)</f>
        <v>0</v>
      </c>
      <c r="BF99" s="82"/>
      <c r="BG99" s="82" t="str">
        <f t="shared" si="24"/>
        <v>PL15</v>
      </c>
      <c r="BH99" s="53" t="str">
        <f t="shared" si="25"/>
        <v/>
      </c>
      <c r="BI99" s="53" t="s">
        <v>148</v>
      </c>
      <c r="BJ99" s="53" t="s">
        <v>1093</v>
      </c>
      <c r="BK99" s="53" t="s">
        <v>1094</v>
      </c>
      <c r="BL99" s="53" t="s">
        <v>2100</v>
      </c>
      <c r="BM99" s="53">
        <v>1</v>
      </c>
      <c r="BN99" s="83">
        <v>46120</v>
      </c>
      <c r="BO99" s="53"/>
      <c r="BP99" s="53"/>
    </row>
    <row r="100" spans="3:68" ht="14.25" hidden="1" customHeight="1">
      <c r="C100" s="82" t="s">
        <v>13</v>
      </c>
      <c r="D100" s="82" t="s">
        <v>1146</v>
      </c>
      <c r="E100" s="82" t="s">
        <v>1147</v>
      </c>
      <c r="F100" s="82" t="s">
        <v>1076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3"/>
        <v>0</v>
      </c>
      <c r="M100" s="26">
        <f t="shared" si="20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67">
        <f>SUMIFS([1]Up!$J:$J,[1]Up!$D:$D,D100)</f>
        <v>0</v>
      </c>
      <c r="BF100" s="82"/>
      <c r="BG100" s="82" t="str">
        <f t="shared" si="24"/>
        <v>PL15</v>
      </c>
      <c r="BH100" s="53" t="str">
        <f t="shared" si="25"/>
        <v/>
      </c>
      <c r="BI100" s="53" t="s">
        <v>148</v>
      </c>
      <c r="BJ100" s="53" t="s">
        <v>1093</v>
      </c>
      <c r="BK100" s="53" t="s">
        <v>1094</v>
      </c>
      <c r="BL100" s="53" t="s">
        <v>2100</v>
      </c>
      <c r="BM100" s="53">
        <v>1</v>
      </c>
      <c r="BN100" s="83">
        <v>46120</v>
      </c>
      <c r="BO100" s="53"/>
      <c r="BP100" s="53"/>
    </row>
    <row r="101" spans="3:68" ht="14.25" hidden="1" customHeight="1">
      <c r="C101" s="82" t="s">
        <v>11</v>
      </c>
      <c r="D101" s="82" t="s">
        <v>1148</v>
      </c>
      <c r="E101" s="82" t="s">
        <v>1075</v>
      </c>
      <c r="F101" s="82" t="s">
        <v>1076</v>
      </c>
      <c r="G101" s="82">
        <v>812</v>
      </c>
      <c r="H101" s="82" t="s">
        <v>1077</v>
      </c>
      <c r="I101" s="82">
        <v>5</v>
      </c>
      <c r="J101" s="82">
        <v>13.05696</v>
      </c>
      <c r="K101" s="82">
        <v>65.284800000000004</v>
      </c>
      <c r="L101" s="26">
        <f t="shared" si="23"/>
        <v>0</v>
      </c>
      <c r="M101" s="26">
        <f t="shared" si="20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67">
        <f>SUMIFS([1]Up!$J:$J,[1]Up!$D:$D,D101)</f>
        <v>0</v>
      </c>
      <c r="BF101" s="82"/>
      <c r="BG101" s="82" t="str">
        <f t="shared" si="24"/>
        <v/>
      </c>
      <c r="BH101" s="53" t="str">
        <f t="shared" si="25"/>
        <v/>
      </c>
      <c r="BI101" s="53" t="s">
        <v>148</v>
      </c>
      <c r="BJ101" s="53" t="s">
        <v>1078</v>
      </c>
      <c r="BK101" s="53" t="s">
        <v>1075</v>
      </c>
      <c r="BL101" s="53" t="s">
        <v>2104</v>
      </c>
      <c r="BM101" s="53">
        <v>5</v>
      </c>
      <c r="BN101" s="83">
        <v>46120</v>
      </c>
      <c r="BO101" s="53"/>
      <c r="BP101" s="53"/>
    </row>
    <row r="102" spans="3:68" ht="14.25" hidden="1" customHeight="1">
      <c r="C102" s="82" t="s">
        <v>13</v>
      </c>
      <c r="D102" s="82" t="s">
        <v>1149</v>
      </c>
      <c r="E102" s="82" t="s">
        <v>1150</v>
      </c>
      <c r="F102" s="82" t="s">
        <v>1084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3"/>
        <v>0</v>
      </c>
      <c r="M102" s="26">
        <f t="shared" si="20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67">
        <f>SUMIFS([1]Up!$J:$J,[1]Up!$D:$D,D102)</f>
        <v>0</v>
      </c>
      <c r="BF102" s="82"/>
      <c r="BG102" s="82" t="str">
        <f t="shared" si="24"/>
        <v>PL10</v>
      </c>
      <c r="BH102" s="53" t="str">
        <f t="shared" si="25"/>
        <v/>
      </c>
      <c r="BI102" s="53" t="s">
        <v>154</v>
      </c>
      <c r="BJ102" s="53" t="s">
        <v>1004</v>
      </c>
      <c r="BK102" s="53" t="s">
        <v>1005</v>
      </c>
      <c r="BL102" s="53"/>
      <c r="BM102" s="53"/>
      <c r="BN102" s="83"/>
      <c r="BO102" s="53"/>
      <c r="BP102" s="53"/>
    </row>
    <row r="103" spans="3:68" ht="14.25" hidden="1" customHeight="1">
      <c r="C103" s="82" t="s">
        <v>13</v>
      </c>
      <c r="D103" s="82" t="s">
        <v>1151</v>
      </c>
      <c r="E103" s="82" t="s">
        <v>1152</v>
      </c>
      <c r="F103" s="82" t="s">
        <v>1084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3"/>
        <v>0</v>
      </c>
      <c r="M103" s="26">
        <f t="shared" si="20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67">
        <f>SUMIFS([1]Up!$J:$J,[1]Up!$D:$D,D103)</f>
        <v>0</v>
      </c>
      <c r="BF103" s="82"/>
      <c r="BG103" s="82" t="str">
        <f t="shared" si="24"/>
        <v>PL10</v>
      </c>
      <c r="BH103" s="53" t="str">
        <f t="shared" si="25"/>
        <v/>
      </c>
      <c r="BI103" s="53" t="s">
        <v>154</v>
      </c>
      <c r="BJ103" s="53" t="s">
        <v>1004</v>
      </c>
      <c r="BK103" s="53" t="s">
        <v>1005</v>
      </c>
      <c r="BL103" s="53"/>
      <c r="BM103" s="53"/>
      <c r="BN103" s="83"/>
      <c r="BO103" s="53"/>
      <c r="BP103" s="53"/>
    </row>
    <row r="104" spans="3:68" ht="14.25" hidden="1" customHeight="1">
      <c r="C104" s="82" t="s">
        <v>13</v>
      </c>
      <c r="D104" s="82" t="s">
        <v>1153</v>
      </c>
      <c r="E104" s="82" t="s">
        <v>1152</v>
      </c>
      <c r="F104" s="82" t="s">
        <v>1084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3"/>
        <v>0</v>
      </c>
      <c r="M104" s="26">
        <f t="shared" si="20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67">
        <f>SUMIFS([1]Up!$J:$J,[1]Up!$D:$D,D104)</f>
        <v>0</v>
      </c>
      <c r="BF104" s="82"/>
      <c r="BG104" s="82" t="str">
        <f t="shared" si="24"/>
        <v>PL10</v>
      </c>
      <c r="BH104" s="53" t="str">
        <f t="shared" si="25"/>
        <v/>
      </c>
      <c r="BI104" s="53" t="s">
        <v>154</v>
      </c>
      <c r="BJ104" s="53" t="s">
        <v>1004</v>
      </c>
      <c r="BK104" s="53" t="s">
        <v>1005</v>
      </c>
      <c r="BL104" s="53"/>
      <c r="BM104" s="53"/>
      <c r="BN104" s="83"/>
      <c r="BO104" s="53"/>
      <c r="BP104" s="53"/>
    </row>
    <row r="105" spans="3:68" ht="14.25" hidden="1" customHeight="1">
      <c r="C105" s="82" t="s">
        <v>13</v>
      </c>
      <c r="D105" s="82" t="s">
        <v>1154</v>
      </c>
      <c r="E105" s="82" t="s">
        <v>1155</v>
      </c>
      <c r="F105" s="82" t="s">
        <v>1084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3"/>
        <v>0</v>
      </c>
      <c r="M105" s="26">
        <f t="shared" si="20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67">
        <f>SUMIFS([1]Up!$J:$J,[1]Up!$D:$D,D105)</f>
        <v>0</v>
      </c>
      <c r="BF105" s="82"/>
      <c r="BG105" s="82" t="str">
        <f t="shared" si="24"/>
        <v>PL12</v>
      </c>
      <c r="BH105" s="53" t="str">
        <f t="shared" si="25"/>
        <v/>
      </c>
      <c r="BI105" s="53" t="s">
        <v>154</v>
      </c>
      <c r="BJ105" s="53" t="s">
        <v>1020</v>
      </c>
      <c r="BK105" s="53" t="s">
        <v>1021</v>
      </c>
      <c r="BL105" s="53" t="s">
        <v>2099</v>
      </c>
      <c r="BM105" s="53">
        <v>2</v>
      </c>
      <c r="BN105" s="83">
        <v>46303</v>
      </c>
      <c r="BO105" s="53"/>
      <c r="BP105" s="53"/>
    </row>
    <row r="106" spans="3:68" ht="14.25" hidden="1" customHeight="1">
      <c r="C106" s="82" t="s">
        <v>13</v>
      </c>
      <c r="D106" s="82" t="s">
        <v>1156</v>
      </c>
      <c r="E106" s="82" t="s">
        <v>1157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3"/>
        <v>0</v>
      </c>
      <c r="M106" s="26">
        <f t="shared" si="20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67">
        <f>SUMIFS([1]Up!$J:$J,[1]Up!$D:$D,D106)</f>
        <v>0</v>
      </c>
      <c r="BF106" s="82"/>
      <c r="BG106" s="82" t="str">
        <f t="shared" si="24"/>
        <v>PL15</v>
      </c>
      <c r="BH106" s="53" t="str">
        <f t="shared" si="25"/>
        <v/>
      </c>
      <c r="BI106" s="53" t="s">
        <v>148</v>
      </c>
      <c r="BJ106" s="53" t="s">
        <v>1093</v>
      </c>
      <c r="BK106" s="53" t="s">
        <v>1094</v>
      </c>
      <c r="BL106" s="53" t="s">
        <v>2100</v>
      </c>
      <c r="BM106" s="53">
        <v>2</v>
      </c>
      <c r="BN106" s="83">
        <v>46120</v>
      </c>
      <c r="BO106" s="53"/>
      <c r="BP106" s="53"/>
    </row>
    <row r="107" spans="3:68" ht="14.25" hidden="1" customHeight="1">
      <c r="C107" s="82" t="s">
        <v>13</v>
      </c>
      <c r="D107" s="82" t="s">
        <v>1158</v>
      </c>
      <c r="E107" s="82" t="s">
        <v>1159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3"/>
        <v>0</v>
      </c>
      <c r="M107" s="26">
        <f t="shared" si="20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67">
        <f>SUMIFS([1]Up!$J:$J,[1]Up!$D:$D,D107)</f>
        <v>0</v>
      </c>
      <c r="BF107" s="82"/>
      <c r="BG107" s="82" t="str">
        <f t="shared" si="24"/>
        <v>PL10</v>
      </c>
      <c r="BH107" s="53" t="str">
        <f t="shared" si="25"/>
        <v/>
      </c>
      <c r="BI107" s="53" t="s">
        <v>148</v>
      </c>
      <c r="BJ107" s="53" t="s">
        <v>1004</v>
      </c>
      <c r="BK107" s="53" t="s">
        <v>1005</v>
      </c>
      <c r="BL107" s="53"/>
      <c r="BM107" s="53"/>
      <c r="BN107" s="83"/>
      <c r="BO107" s="53"/>
      <c r="BP107" s="53"/>
    </row>
    <row r="108" spans="3:68" ht="14.25" hidden="1" customHeight="1">
      <c r="C108" s="82" t="s">
        <v>13</v>
      </c>
      <c r="D108" s="82" t="s">
        <v>1160</v>
      </c>
      <c r="E108" s="82" t="s">
        <v>1161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3"/>
        <v>0</v>
      </c>
      <c r="M108" s="26">
        <f t="shared" si="20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67">
        <f>SUMIFS([1]Up!$J:$J,[1]Up!$D:$D,D108)</f>
        <v>0</v>
      </c>
      <c r="BF108" s="82"/>
      <c r="BG108" s="82" t="str">
        <f t="shared" si="24"/>
        <v>PL12</v>
      </c>
      <c r="BH108" s="53" t="str">
        <f t="shared" si="25"/>
        <v/>
      </c>
      <c r="BI108" s="53" t="s">
        <v>148</v>
      </c>
      <c r="BJ108" s="53" t="s">
        <v>1020</v>
      </c>
      <c r="BK108" s="53" t="s">
        <v>1021</v>
      </c>
      <c r="BL108" s="53" t="s">
        <v>2099</v>
      </c>
      <c r="BM108" s="53">
        <v>2</v>
      </c>
      <c r="BN108" s="83">
        <v>46303</v>
      </c>
      <c r="BO108" s="53"/>
      <c r="BP108" s="53"/>
    </row>
    <row r="109" spans="3:68" ht="14.25" hidden="1" customHeight="1">
      <c r="C109" s="82" t="s">
        <v>13</v>
      </c>
      <c r="D109" s="82" t="s">
        <v>1162</v>
      </c>
      <c r="E109" s="82" t="s">
        <v>1163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3"/>
        <v>6</v>
      </c>
      <c r="M109" s="26">
        <f t="shared" si="20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>
        <v>6</v>
      </c>
      <c r="BC109" s="26"/>
      <c r="BD109" s="26"/>
      <c r="BE109" s="67">
        <f>SUMIFS([1]Up!$J:$J,[1]Up!$D:$D,D109)</f>
        <v>6</v>
      </c>
      <c r="BF109" s="82"/>
      <c r="BG109" s="82" t="str">
        <f t="shared" si="24"/>
        <v>PL16</v>
      </c>
      <c r="BH109" s="53" t="str">
        <f t="shared" si="25"/>
        <v/>
      </c>
      <c r="BI109" s="53" t="s">
        <v>148</v>
      </c>
      <c r="BJ109" s="53" t="s">
        <v>987</v>
      </c>
      <c r="BK109" s="53" t="s">
        <v>988</v>
      </c>
      <c r="BL109" s="53" t="s">
        <v>2103</v>
      </c>
      <c r="BM109" s="53">
        <v>6</v>
      </c>
      <c r="BN109" s="83">
        <v>46120</v>
      </c>
      <c r="BO109" s="53"/>
      <c r="BP109" s="53"/>
    </row>
    <row r="110" spans="3:68" ht="14.25" hidden="1" customHeight="1">
      <c r="C110" s="82" t="s">
        <v>13</v>
      </c>
      <c r="D110" s="82" t="s">
        <v>1164</v>
      </c>
      <c r="E110" s="82" t="s">
        <v>1090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3"/>
        <v>2</v>
      </c>
      <c r="M110" s="26">
        <f t="shared" si="20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>
        <v>2</v>
      </c>
      <c r="BC110" s="26"/>
      <c r="BD110" s="26"/>
      <c r="BE110" s="67">
        <f>SUMIFS([1]Up!$J:$J,[1]Up!$D:$D,D110)</f>
        <v>2</v>
      </c>
      <c r="BF110" s="82"/>
      <c r="BG110" s="82" t="str">
        <f t="shared" si="24"/>
        <v>PL16</v>
      </c>
      <c r="BH110" s="53" t="str">
        <f t="shared" si="25"/>
        <v/>
      </c>
      <c r="BI110" s="53" t="s">
        <v>148</v>
      </c>
      <c r="BJ110" s="53" t="s">
        <v>987</v>
      </c>
      <c r="BK110" s="53" t="s">
        <v>988</v>
      </c>
      <c r="BL110" s="53" t="s">
        <v>2103</v>
      </c>
      <c r="BM110" s="53">
        <v>2</v>
      </c>
      <c r="BN110" s="83">
        <v>46120</v>
      </c>
      <c r="BO110" s="53"/>
      <c r="BP110" s="53"/>
    </row>
    <row r="111" spans="3:68" ht="14.25" hidden="1" customHeight="1">
      <c r="C111" s="82" t="s">
        <v>13</v>
      </c>
      <c r="D111" s="82" t="s">
        <v>1165</v>
      </c>
      <c r="E111" s="82" t="s">
        <v>1166</v>
      </c>
      <c r="F111" s="82" t="s">
        <v>1084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3"/>
        <v>0</v>
      </c>
      <c r="M111" s="26">
        <f t="shared" si="20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67">
        <f>SUMIFS([1]Up!$J:$J,[1]Up!$D:$D,D111)</f>
        <v>0</v>
      </c>
      <c r="BF111" s="82"/>
      <c r="BG111" s="82" t="str">
        <f t="shared" si="24"/>
        <v>PL10</v>
      </c>
      <c r="BH111" s="53" t="str">
        <f t="shared" si="25"/>
        <v/>
      </c>
      <c r="BI111" s="53" t="s">
        <v>154</v>
      </c>
      <c r="BJ111" s="53" t="s">
        <v>1004</v>
      </c>
      <c r="BK111" s="53" t="s">
        <v>1005</v>
      </c>
      <c r="BL111" s="53"/>
      <c r="BM111" s="53"/>
      <c r="BN111" s="83"/>
      <c r="BO111" s="53"/>
      <c r="BP111" s="53"/>
    </row>
    <row r="112" spans="3:68" ht="14.25" hidden="1" customHeight="1">
      <c r="C112" s="82" t="s">
        <v>13</v>
      </c>
      <c r="D112" s="82" t="s">
        <v>1167</v>
      </c>
      <c r="E112" s="82" t="s">
        <v>1168</v>
      </c>
      <c r="F112" s="82" t="s">
        <v>1084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3"/>
        <v>0</v>
      </c>
      <c r="M112" s="26">
        <f t="shared" si="20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67">
        <f>SUMIFS([1]Up!$J:$J,[1]Up!$D:$D,D112)</f>
        <v>0</v>
      </c>
      <c r="BF112" s="82"/>
      <c r="BG112" s="82" t="str">
        <f t="shared" si="24"/>
        <v>PL12</v>
      </c>
      <c r="BH112" s="53" t="str">
        <f t="shared" si="25"/>
        <v/>
      </c>
      <c r="BI112" s="53" t="s">
        <v>154</v>
      </c>
      <c r="BJ112" s="53" t="s">
        <v>1020</v>
      </c>
      <c r="BK112" s="53" t="s">
        <v>1021</v>
      </c>
      <c r="BL112" s="53" t="s">
        <v>57</v>
      </c>
      <c r="BM112" s="53">
        <v>1</v>
      </c>
      <c r="BN112" s="83"/>
      <c r="BO112" s="53"/>
      <c r="BP112" s="53"/>
    </row>
    <row r="113" spans="3:68" ht="14.25" hidden="1" customHeight="1">
      <c r="C113" s="82" t="s">
        <v>13</v>
      </c>
      <c r="D113" s="82" t="s">
        <v>1169</v>
      </c>
      <c r="E113" s="82" t="s">
        <v>1170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3"/>
        <v>0</v>
      </c>
      <c r="M113" s="26">
        <f t="shared" si="20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67">
        <f>SUMIFS([1]Up!$J:$J,[1]Up!$D:$D,D113)</f>
        <v>0</v>
      </c>
      <c r="BF113" s="82"/>
      <c r="BG113" s="82" t="str">
        <f t="shared" si="24"/>
        <v>PL10</v>
      </c>
      <c r="BH113" s="53" t="str">
        <f t="shared" si="25"/>
        <v/>
      </c>
      <c r="BI113" s="53" t="s">
        <v>154</v>
      </c>
      <c r="BJ113" s="53" t="s">
        <v>1004</v>
      </c>
      <c r="BK113" s="53" t="s">
        <v>1005</v>
      </c>
      <c r="BL113" s="53"/>
      <c r="BM113" s="53"/>
      <c r="BN113" s="83"/>
      <c r="BO113" s="53"/>
      <c r="BP113" s="53"/>
    </row>
    <row r="114" spans="3:68" ht="14.25" hidden="1" customHeight="1">
      <c r="C114" s="82" t="s">
        <v>13</v>
      </c>
      <c r="D114" s="82" t="s">
        <v>1171</v>
      </c>
      <c r="E114" s="82" t="s">
        <v>1172</v>
      </c>
      <c r="F114" s="82" t="s">
        <v>1084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3"/>
        <v>0</v>
      </c>
      <c r="M114" s="26">
        <f t="shared" si="20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67">
        <f>SUMIFS([1]Up!$J:$J,[1]Up!$D:$D,D114)</f>
        <v>0</v>
      </c>
      <c r="BF114" s="82"/>
      <c r="BG114" s="82" t="str">
        <f t="shared" si="24"/>
        <v>PL10</v>
      </c>
      <c r="BH114" s="53" t="str">
        <f t="shared" si="25"/>
        <v/>
      </c>
      <c r="BI114" s="53" t="s">
        <v>148</v>
      </c>
      <c r="BJ114" s="53" t="s">
        <v>1004</v>
      </c>
      <c r="BK114" s="53" t="s">
        <v>1005</v>
      </c>
      <c r="BL114" s="53"/>
      <c r="BM114" s="53"/>
      <c r="BN114" s="83"/>
      <c r="BO114" s="53"/>
      <c r="BP114" s="53"/>
    </row>
    <row r="115" spans="3:68" ht="14.25" hidden="1" customHeight="1">
      <c r="C115" s="82" t="s">
        <v>13</v>
      </c>
      <c r="D115" s="82" t="s">
        <v>1173</v>
      </c>
      <c r="E115" s="82" t="s">
        <v>1174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3"/>
        <v>0</v>
      </c>
      <c r="M115" s="26">
        <f t="shared" si="20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67">
        <f>SUMIFS([1]Up!$J:$J,[1]Up!$D:$D,D115)</f>
        <v>0</v>
      </c>
      <c r="BF115" s="82"/>
      <c r="BG115" s="82" t="str">
        <f t="shared" si="24"/>
        <v>PL12</v>
      </c>
      <c r="BH115" s="53" t="str">
        <f t="shared" si="25"/>
        <v/>
      </c>
      <c r="BI115" s="53" t="s">
        <v>148</v>
      </c>
      <c r="BJ115" s="53" t="s">
        <v>1020</v>
      </c>
      <c r="BK115" s="53" t="s">
        <v>1021</v>
      </c>
      <c r="BL115" s="53" t="s">
        <v>2099</v>
      </c>
      <c r="BM115" s="53">
        <v>1</v>
      </c>
      <c r="BN115" s="83">
        <v>46303</v>
      </c>
      <c r="BO115" s="53"/>
      <c r="BP115" s="53"/>
    </row>
    <row r="116" spans="3:68" ht="14.25" hidden="1" customHeight="1">
      <c r="C116" s="82" t="s">
        <v>13</v>
      </c>
      <c r="D116" s="82" t="s">
        <v>1175</v>
      </c>
      <c r="E116" s="82" t="s">
        <v>1176</v>
      </c>
      <c r="F116" s="82" t="s">
        <v>1084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3"/>
        <v>0</v>
      </c>
      <c r="M116" s="26">
        <f t="shared" si="20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67">
        <f>SUMIFS([1]Up!$J:$J,[1]Up!$D:$D,D116)</f>
        <v>0</v>
      </c>
      <c r="BF116" s="82"/>
      <c r="BG116" s="82" t="str">
        <f t="shared" si="24"/>
        <v>PL10</v>
      </c>
      <c r="BH116" s="53" t="str">
        <f t="shared" si="25"/>
        <v/>
      </c>
      <c r="BI116" s="53" t="s">
        <v>154</v>
      </c>
      <c r="BJ116" s="53" t="s">
        <v>1004</v>
      </c>
      <c r="BK116" s="53" t="s">
        <v>1005</v>
      </c>
      <c r="BL116" s="53"/>
      <c r="BM116" s="53"/>
      <c r="BN116" s="83"/>
      <c r="BO116" s="53"/>
      <c r="BP116" s="53"/>
    </row>
    <row r="117" spans="3:68" ht="14.25" hidden="1" customHeight="1">
      <c r="C117" s="82" t="s">
        <v>13</v>
      </c>
      <c r="D117" s="82" t="s">
        <v>1177</v>
      </c>
      <c r="E117" s="82" t="s">
        <v>1178</v>
      </c>
      <c r="F117" s="82" t="s">
        <v>1084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3"/>
        <v>0</v>
      </c>
      <c r="M117" s="26">
        <f t="shared" si="20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67">
        <f>SUMIFS([1]Up!$J:$J,[1]Up!$D:$D,D117)</f>
        <v>0</v>
      </c>
      <c r="BF117" s="82"/>
      <c r="BG117" s="82" t="str">
        <f t="shared" si="24"/>
        <v>PL10</v>
      </c>
      <c r="BH117" s="53" t="str">
        <f t="shared" si="25"/>
        <v/>
      </c>
      <c r="BI117" s="53" t="s">
        <v>154</v>
      </c>
      <c r="BJ117" s="53" t="s">
        <v>1004</v>
      </c>
      <c r="BK117" s="53" t="s">
        <v>1005</v>
      </c>
      <c r="BL117" s="53"/>
      <c r="BM117" s="53"/>
      <c r="BN117" s="83"/>
      <c r="BO117" s="53"/>
      <c r="BP117" s="53"/>
    </row>
    <row r="118" spans="3:68" ht="14.25" hidden="1" customHeight="1">
      <c r="C118" s="82" t="s">
        <v>13</v>
      </c>
      <c r="D118" s="82" t="s">
        <v>1179</v>
      </c>
      <c r="E118" s="82" t="s">
        <v>1180</v>
      </c>
      <c r="F118" s="82" t="s">
        <v>1084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3"/>
        <v>0</v>
      </c>
      <c r="M118" s="26">
        <f t="shared" si="20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67">
        <f>SUMIFS([1]Up!$J:$J,[1]Up!$D:$D,D118)</f>
        <v>0</v>
      </c>
      <c r="BF118" s="82"/>
      <c r="BG118" s="82" t="str">
        <f t="shared" si="24"/>
        <v>PL12</v>
      </c>
      <c r="BH118" s="53" t="str">
        <f t="shared" si="25"/>
        <v/>
      </c>
      <c r="BI118" s="53" t="s">
        <v>154</v>
      </c>
      <c r="BJ118" s="53" t="s">
        <v>1020</v>
      </c>
      <c r="BK118" s="53" t="s">
        <v>1021</v>
      </c>
      <c r="BL118" s="53" t="s">
        <v>2099</v>
      </c>
      <c r="BM118" s="53">
        <v>1</v>
      </c>
      <c r="BN118" s="83">
        <v>46303</v>
      </c>
      <c r="BO118" s="53"/>
      <c r="BP118" s="53"/>
    </row>
    <row r="119" spans="3:68" ht="14.25" hidden="1" customHeight="1">
      <c r="C119" s="82" t="s">
        <v>13</v>
      </c>
      <c r="D119" s="82" t="s">
        <v>1181</v>
      </c>
      <c r="E119" s="82" t="s">
        <v>1182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3"/>
        <v>0</v>
      </c>
      <c r="M119" s="26">
        <f t="shared" si="20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67">
        <f>SUMIFS([1]Up!$J:$J,[1]Up!$D:$D,D119)</f>
        <v>0</v>
      </c>
      <c r="BF119" s="82"/>
      <c r="BG119" s="82" t="str">
        <f t="shared" si="24"/>
        <v>PL10</v>
      </c>
      <c r="BH119" s="53" t="str">
        <f t="shared" si="25"/>
        <v/>
      </c>
      <c r="BI119" s="53" t="s">
        <v>148</v>
      </c>
      <c r="BJ119" s="53" t="s">
        <v>1004</v>
      </c>
      <c r="BK119" s="53" t="s">
        <v>1005</v>
      </c>
      <c r="BL119" s="53"/>
      <c r="BM119" s="53"/>
      <c r="BN119" s="83"/>
      <c r="BO119" s="53"/>
      <c r="BP119" s="53"/>
    </row>
    <row r="120" spans="3:68" ht="14.25" hidden="1" customHeight="1">
      <c r="C120" s="82" t="s">
        <v>13</v>
      </c>
      <c r="D120" s="82" t="s">
        <v>1183</v>
      </c>
      <c r="E120" s="82" t="s">
        <v>1184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3"/>
        <v>0</v>
      </c>
      <c r="M120" s="26">
        <f t="shared" si="20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67">
        <f>SUMIFS([1]Up!$J:$J,[1]Up!$D:$D,D120)</f>
        <v>0</v>
      </c>
      <c r="BF120" s="82"/>
      <c r="BG120" s="82" t="str">
        <f t="shared" si="24"/>
        <v>PL12</v>
      </c>
      <c r="BH120" s="53" t="str">
        <f t="shared" si="25"/>
        <v/>
      </c>
      <c r="BI120" s="53" t="s">
        <v>148</v>
      </c>
      <c r="BJ120" s="53" t="s">
        <v>1020</v>
      </c>
      <c r="BK120" s="53" t="s">
        <v>1021</v>
      </c>
      <c r="BL120" s="53" t="s">
        <v>2099</v>
      </c>
      <c r="BM120" s="53">
        <v>1</v>
      </c>
      <c r="BN120" s="83">
        <v>46303</v>
      </c>
      <c r="BO120" s="53"/>
      <c r="BP120" s="53"/>
    </row>
    <row r="121" spans="3:68" ht="14.25" hidden="1" customHeight="1">
      <c r="C121" s="82" t="s">
        <v>13</v>
      </c>
      <c r="D121" s="82" t="s">
        <v>1185</v>
      </c>
      <c r="E121" s="82" t="s">
        <v>1123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3"/>
        <v>0</v>
      </c>
      <c r="M121" s="26">
        <f t="shared" si="20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67">
        <f>SUMIFS([1]Up!$J:$J,[1]Up!$D:$D,D121)</f>
        <v>0</v>
      </c>
      <c r="BF121" s="82"/>
      <c r="BG121" s="82" t="str">
        <f t="shared" si="24"/>
        <v>PL20</v>
      </c>
      <c r="BH121" s="53" t="str">
        <f t="shared" si="25"/>
        <v/>
      </c>
      <c r="BI121" s="53" t="s">
        <v>148</v>
      </c>
      <c r="BJ121" s="53" t="s">
        <v>1099</v>
      </c>
      <c r="BK121" s="53" t="s">
        <v>1100</v>
      </c>
      <c r="BL121" s="53" t="s">
        <v>2101</v>
      </c>
      <c r="BM121" s="53">
        <v>2</v>
      </c>
      <c r="BN121" s="83">
        <v>46303</v>
      </c>
      <c r="BO121" s="53"/>
      <c r="BP121" s="53"/>
    </row>
    <row r="122" spans="3:68" ht="14.25" hidden="1" customHeight="1">
      <c r="C122" s="82" t="s">
        <v>13</v>
      </c>
      <c r="D122" s="82" t="s">
        <v>1186</v>
      </c>
      <c r="E122" s="82" t="s">
        <v>1125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3"/>
        <v>0</v>
      </c>
      <c r="M122" s="26">
        <f t="shared" si="20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67">
        <f>SUMIFS([1]Up!$J:$J,[1]Up!$D:$D,D122)</f>
        <v>0</v>
      </c>
      <c r="BF122" s="82"/>
      <c r="BG122" s="82" t="str">
        <f t="shared" si="24"/>
        <v>PL15</v>
      </c>
      <c r="BH122" s="53" t="str">
        <f t="shared" si="25"/>
        <v/>
      </c>
      <c r="BI122" s="53" t="s">
        <v>148</v>
      </c>
      <c r="BJ122" s="53" t="s">
        <v>1093</v>
      </c>
      <c r="BK122" s="53" t="s">
        <v>1094</v>
      </c>
      <c r="BL122" s="53" t="s">
        <v>2100</v>
      </c>
      <c r="BM122" s="53">
        <v>2</v>
      </c>
      <c r="BN122" s="83">
        <v>46120</v>
      </c>
      <c r="BO122" s="53"/>
      <c r="BP122" s="53"/>
    </row>
    <row r="123" spans="3:68" ht="14.25" hidden="1" customHeight="1">
      <c r="C123" s="82" t="s">
        <v>13</v>
      </c>
      <c r="D123" s="82" t="s">
        <v>1187</v>
      </c>
      <c r="E123" s="82" t="s">
        <v>1166</v>
      </c>
      <c r="F123" s="82" t="s">
        <v>1084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3"/>
        <v>0</v>
      </c>
      <c r="M123" s="26">
        <f t="shared" si="20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67">
        <f>SUMIFS([1]Up!$J:$J,[1]Up!$D:$D,D123)</f>
        <v>0</v>
      </c>
      <c r="BF123" s="82"/>
      <c r="BG123" s="82" t="str">
        <f t="shared" si="24"/>
        <v>PL10</v>
      </c>
      <c r="BH123" s="53" t="str">
        <f t="shared" si="25"/>
        <v/>
      </c>
      <c r="BI123" s="53" t="s">
        <v>154</v>
      </c>
      <c r="BJ123" s="53" t="s">
        <v>1004</v>
      </c>
      <c r="BK123" s="53" t="s">
        <v>1005</v>
      </c>
      <c r="BL123" s="53"/>
      <c r="BM123" s="53"/>
      <c r="BN123" s="83"/>
      <c r="BO123" s="53"/>
      <c r="BP123" s="53"/>
    </row>
    <row r="124" spans="3:68" ht="14.25" hidden="1" customHeight="1">
      <c r="C124" s="82" t="s">
        <v>13</v>
      </c>
      <c r="D124" s="82" t="s">
        <v>1188</v>
      </c>
      <c r="E124" s="82" t="s">
        <v>1170</v>
      </c>
      <c r="F124" s="82" t="s">
        <v>1084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3"/>
        <v>0</v>
      </c>
      <c r="M124" s="26">
        <f t="shared" si="20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67">
        <f>SUMIFS([1]Up!$J:$J,[1]Up!$D:$D,D124)</f>
        <v>0</v>
      </c>
      <c r="BF124" s="82"/>
      <c r="BG124" s="82" t="str">
        <f t="shared" si="24"/>
        <v>PL10</v>
      </c>
      <c r="BH124" s="53" t="str">
        <f t="shared" si="25"/>
        <v/>
      </c>
      <c r="BI124" s="53" t="s">
        <v>154</v>
      </c>
      <c r="BJ124" s="53" t="s">
        <v>1004</v>
      </c>
      <c r="BK124" s="53" t="s">
        <v>1005</v>
      </c>
      <c r="BL124" s="53"/>
      <c r="BM124" s="53"/>
      <c r="BN124" s="83"/>
      <c r="BO124" s="53"/>
      <c r="BP124" s="53"/>
    </row>
    <row r="125" spans="3:68" ht="14.25" hidden="1" customHeight="1">
      <c r="C125" s="82" t="s">
        <v>13</v>
      </c>
      <c r="D125" s="82" t="s">
        <v>1189</v>
      </c>
      <c r="E125" s="82" t="s">
        <v>1168</v>
      </c>
      <c r="F125" s="82" t="s">
        <v>1084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3"/>
        <v>0</v>
      </c>
      <c r="M125" s="26">
        <f t="shared" si="20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67">
        <f>SUMIFS([1]Up!$J:$J,[1]Up!$D:$D,D125)</f>
        <v>0</v>
      </c>
      <c r="BF125" s="82"/>
      <c r="BG125" s="82" t="str">
        <f t="shared" si="24"/>
        <v>PL12</v>
      </c>
      <c r="BH125" s="53" t="str">
        <f t="shared" si="25"/>
        <v/>
      </c>
      <c r="BI125" s="53" t="s">
        <v>154</v>
      </c>
      <c r="BJ125" s="53" t="s">
        <v>1020</v>
      </c>
      <c r="BK125" s="53" t="s">
        <v>1021</v>
      </c>
      <c r="BL125" s="53" t="s">
        <v>57</v>
      </c>
      <c r="BM125" s="53">
        <v>1</v>
      </c>
      <c r="BN125" s="83"/>
      <c r="BO125" s="53"/>
      <c r="BP125" s="53"/>
    </row>
    <row r="126" spans="3:68" ht="14.25" hidden="1" customHeight="1">
      <c r="C126" s="82" t="s">
        <v>13</v>
      </c>
      <c r="D126" s="82" t="s">
        <v>1190</v>
      </c>
      <c r="E126" s="82" t="s">
        <v>1172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3"/>
        <v>0</v>
      </c>
      <c r="M126" s="26">
        <f t="shared" si="20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67">
        <f>SUMIFS([1]Up!$J:$J,[1]Up!$D:$D,D126)</f>
        <v>0</v>
      </c>
      <c r="BF126" s="82"/>
      <c r="BG126" s="82" t="str">
        <f t="shared" si="24"/>
        <v>PL10</v>
      </c>
      <c r="BH126" s="53" t="str">
        <f t="shared" si="25"/>
        <v/>
      </c>
      <c r="BI126" s="53" t="s">
        <v>148</v>
      </c>
      <c r="BJ126" s="53" t="s">
        <v>1004</v>
      </c>
      <c r="BK126" s="53" t="s">
        <v>1005</v>
      </c>
      <c r="BL126" s="53"/>
      <c r="BM126" s="53"/>
      <c r="BN126" s="83"/>
      <c r="BO126" s="53"/>
      <c r="BP126" s="53"/>
    </row>
    <row r="127" spans="3:68" ht="14.25" hidden="1" customHeight="1">
      <c r="C127" s="82" t="s">
        <v>13</v>
      </c>
      <c r="D127" s="82" t="s">
        <v>1191</v>
      </c>
      <c r="E127" s="82" t="s">
        <v>1174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3"/>
        <v>0</v>
      </c>
      <c r="M127" s="26">
        <f t="shared" si="20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67">
        <f>SUMIFS([1]Up!$J:$J,[1]Up!$D:$D,D127)</f>
        <v>0</v>
      </c>
      <c r="BF127" s="82"/>
      <c r="BG127" s="82" t="str">
        <f t="shared" si="24"/>
        <v>PL12</v>
      </c>
      <c r="BH127" s="53" t="str">
        <f t="shared" si="25"/>
        <v/>
      </c>
      <c r="BI127" s="53" t="s">
        <v>148</v>
      </c>
      <c r="BJ127" s="53" t="s">
        <v>1020</v>
      </c>
      <c r="BK127" s="53" t="s">
        <v>1021</v>
      </c>
      <c r="BL127" s="53" t="s">
        <v>2099</v>
      </c>
      <c r="BM127" s="53">
        <v>1</v>
      </c>
      <c r="BN127" s="83">
        <v>46303</v>
      </c>
      <c r="BO127" s="53"/>
      <c r="BP127" s="53"/>
    </row>
    <row r="128" spans="3:68" ht="14.25" hidden="1" customHeight="1">
      <c r="C128" s="82" t="s">
        <v>11</v>
      </c>
      <c r="D128" s="82" t="s">
        <v>1192</v>
      </c>
      <c r="E128" s="82" t="s">
        <v>1075</v>
      </c>
      <c r="F128" s="82" t="s">
        <v>1010</v>
      </c>
      <c r="G128" s="82">
        <v>812</v>
      </c>
      <c r="H128" s="82" t="s">
        <v>1077</v>
      </c>
      <c r="I128" s="82">
        <v>2</v>
      </c>
      <c r="J128" s="82">
        <v>13.05696</v>
      </c>
      <c r="K128" s="82">
        <v>26.11392</v>
      </c>
      <c r="L128" s="26">
        <f t="shared" si="23"/>
        <v>0</v>
      </c>
      <c r="M128" s="26">
        <f t="shared" si="20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67">
        <f>SUMIFS([1]Up!$J:$J,[1]Up!$D:$D,D128)</f>
        <v>0</v>
      </c>
      <c r="BF128" s="82"/>
      <c r="BG128" s="82" t="str">
        <f t="shared" si="24"/>
        <v/>
      </c>
      <c r="BH128" s="53" t="str">
        <f t="shared" si="25"/>
        <v/>
      </c>
      <c r="BI128" s="53" t="s">
        <v>148</v>
      </c>
      <c r="BJ128" s="53" t="s">
        <v>1078</v>
      </c>
      <c r="BK128" s="53" t="s">
        <v>1075</v>
      </c>
      <c r="BL128" s="53" t="s">
        <v>2104</v>
      </c>
      <c r="BM128" s="53">
        <v>2</v>
      </c>
      <c r="BN128" s="83">
        <v>46120</v>
      </c>
      <c r="BO128" s="53"/>
      <c r="BP128" s="53"/>
    </row>
    <row r="129" spans="3:68" ht="14.25" hidden="1" customHeight="1">
      <c r="C129" s="82" t="s">
        <v>13</v>
      </c>
      <c r="D129" s="82" t="s">
        <v>1193</v>
      </c>
      <c r="E129" s="82" t="s">
        <v>1194</v>
      </c>
      <c r="F129" s="82" t="s">
        <v>1195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3"/>
        <v>0</v>
      </c>
      <c r="M129" s="26">
        <f t="shared" si="20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67">
        <f>SUMIFS([1]Up!$J:$J,[1]Up!$D:$D,D129)</f>
        <v>0</v>
      </c>
      <c r="BF129" s="82"/>
      <c r="BG129" s="82" t="str">
        <f t="shared" si="24"/>
        <v>PL10</v>
      </c>
      <c r="BH129" s="53" t="str">
        <f t="shared" si="25"/>
        <v/>
      </c>
      <c r="BI129" s="53" t="s">
        <v>154</v>
      </c>
      <c r="BJ129" s="53" t="s">
        <v>1004</v>
      </c>
      <c r="BK129" s="53" t="s">
        <v>1005</v>
      </c>
      <c r="BL129" s="53"/>
      <c r="BM129" s="53"/>
      <c r="BN129" s="83"/>
      <c r="BO129" s="53"/>
      <c r="BP129" s="53"/>
    </row>
    <row r="130" spans="3:68" ht="14.25" hidden="1" customHeight="1">
      <c r="C130" s="82" t="s">
        <v>13</v>
      </c>
      <c r="D130" s="82" t="s">
        <v>1196</v>
      </c>
      <c r="E130" s="82" t="s">
        <v>1104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3"/>
        <v>0</v>
      </c>
      <c r="M130" s="26">
        <f t="shared" si="20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67">
        <f>SUMIFS([1]Up!$J:$J,[1]Up!$D:$D,D130)</f>
        <v>0</v>
      </c>
      <c r="BF130" s="82"/>
      <c r="BG130" s="82" t="str">
        <f t="shared" si="24"/>
        <v>PL20</v>
      </c>
      <c r="BH130" s="53" t="str">
        <f t="shared" si="25"/>
        <v/>
      </c>
      <c r="BI130" s="53" t="s">
        <v>148</v>
      </c>
      <c r="BJ130" s="53" t="s">
        <v>1099</v>
      </c>
      <c r="BK130" s="53" t="s">
        <v>1100</v>
      </c>
      <c r="BL130" s="53" t="s">
        <v>2101</v>
      </c>
      <c r="BM130" s="53">
        <v>2</v>
      </c>
      <c r="BN130" s="83">
        <v>46303</v>
      </c>
      <c r="BO130" s="53"/>
      <c r="BP130" s="53"/>
    </row>
    <row r="131" spans="3:68" ht="14.25" hidden="1" customHeight="1">
      <c r="C131" s="82"/>
      <c r="D131" s="82" t="s">
        <v>1197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3"/>
        <v>0</v>
      </c>
      <c r="M131" s="26">
        <f t="shared" si="20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67">
        <f>SUMIFS([1]Up!$J:$J,[1]Up!$D:$D,D131)</f>
        <v>0</v>
      </c>
      <c r="BF131" s="82"/>
      <c r="BG131" s="82" t="str">
        <f t="shared" si="24"/>
        <v/>
      </c>
      <c r="BH131" s="53" t="str">
        <f t="shared" si="25"/>
        <v/>
      </c>
      <c r="BI131" s="53" t="s">
        <v>148</v>
      </c>
      <c r="BJ131" s="53" t="s">
        <v>1099</v>
      </c>
      <c r="BK131" s="53" t="s">
        <v>1100</v>
      </c>
      <c r="BL131" s="53"/>
      <c r="BM131" s="53"/>
      <c r="BN131" s="83"/>
      <c r="BO131" s="53"/>
      <c r="BP131" s="53"/>
    </row>
    <row r="132" spans="3:68" ht="14.25" hidden="1" customHeight="1">
      <c r="C132" s="82" t="s">
        <v>13</v>
      </c>
      <c r="D132" s="82" t="s">
        <v>1198</v>
      </c>
      <c r="E132" s="82" t="s">
        <v>1199</v>
      </c>
      <c r="F132" s="82" t="s">
        <v>1200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3"/>
        <v>0</v>
      </c>
      <c r="M132" s="26">
        <f t="shared" si="20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67">
        <f>SUMIFS([1]Up!$J:$J,[1]Up!$D:$D,D132)</f>
        <v>0</v>
      </c>
      <c r="BF132" s="82"/>
      <c r="BG132" s="82" t="str">
        <f t="shared" si="24"/>
        <v>PL30</v>
      </c>
      <c r="BH132" s="53" t="str">
        <f t="shared" si="25"/>
        <v/>
      </c>
      <c r="BI132" s="53" t="s">
        <v>148</v>
      </c>
      <c r="BJ132" s="53" t="s">
        <v>1058</v>
      </c>
      <c r="BK132" s="53" t="s">
        <v>1059</v>
      </c>
      <c r="BL132" s="53" t="s">
        <v>2119</v>
      </c>
      <c r="BM132" s="53">
        <v>1</v>
      </c>
      <c r="BN132" s="83">
        <v>46120</v>
      </c>
      <c r="BO132" s="53"/>
      <c r="BP132" s="53"/>
    </row>
    <row r="133" spans="3:68" ht="14.25" hidden="1" customHeight="1">
      <c r="C133" s="82" t="s">
        <v>13</v>
      </c>
      <c r="D133" s="82" t="s">
        <v>1201</v>
      </c>
      <c r="E133" s="82" t="s">
        <v>1157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3"/>
        <v>0</v>
      </c>
      <c r="M133" s="26">
        <f t="shared" si="20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67">
        <f>SUMIFS([1]Up!$J:$J,[1]Up!$D:$D,D133)</f>
        <v>0</v>
      </c>
      <c r="BF133" s="82"/>
      <c r="BG133" s="82" t="str">
        <f t="shared" si="24"/>
        <v>PL15</v>
      </c>
      <c r="BH133" s="53" t="str">
        <f t="shared" si="25"/>
        <v/>
      </c>
      <c r="BI133" s="53" t="s">
        <v>148</v>
      </c>
      <c r="BJ133" s="53" t="s">
        <v>1093</v>
      </c>
      <c r="BK133" s="53" t="s">
        <v>1094</v>
      </c>
      <c r="BL133" s="53" t="s">
        <v>2100</v>
      </c>
      <c r="BM133" s="53">
        <v>2</v>
      </c>
      <c r="BN133" s="83">
        <v>46120</v>
      </c>
      <c r="BO133" s="53"/>
      <c r="BP133" s="53"/>
    </row>
    <row r="134" spans="3:68" ht="14.25" hidden="1" customHeight="1">
      <c r="C134" s="82" t="s">
        <v>13</v>
      </c>
      <c r="D134" s="82" t="s">
        <v>1202</v>
      </c>
      <c r="E134" s="82" t="s">
        <v>1203</v>
      </c>
      <c r="F134" s="82" t="s">
        <v>1204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3"/>
        <v>0</v>
      </c>
      <c r="M134" s="26">
        <f t="shared" si="20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67">
        <f>SUMIFS([1]Up!$J:$J,[1]Up!$D:$D,D134)</f>
        <v>0</v>
      </c>
      <c r="BF134" s="82"/>
      <c r="BG134" s="82" t="str">
        <f t="shared" si="24"/>
        <v>PL10</v>
      </c>
      <c r="BH134" s="53" t="str">
        <f t="shared" si="25"/>
        <v/>
      </c>
      <c r="BI134" s="53" t="s">
        <v>148</v>
      </c>
      <c r="BJ134" s="53" t="s">
        <v>1004</v>
      </c>
      <c r="BK134" s="53" t="s">
        <v>1005</v>
      </c>
      <c r="BL134" s="53"/>
      <c r="BM134" s="53"/>
      <c r="BN134" s="83"/>
      <c r="BO134" s="53"/>
      <c r="BP134" s="53"/>
    </row>
    <row r="135" spans="3:68" ht="14.25" hidden="1" customHeight="1">
      <c r="C135" s="82" t="s">
        <v>13</v>
      </c>
      <c r="D135" s="82" t="s">
        <v>1205</v>
      </c>
      <c r="E135" s="82" t="s">
        <v>1206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3"/>
        <v>4</v>
      </c>
      <c r="M135" s="26">
        <f t="shared" si="20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>
        <v>4</v>
      </c>
      <c r="BC135" s="26"/>
      <c r="BD135" s="26"/>
      <c r="BE135" s="67">
        <f>SUMIFS([1]Up!$J:$J,[1]Up!$D:$D,D135)</f>
        <v>4</v>
      </c>
      <c r="BF135" s="82"/>
      <c r="BG135" s="82" t="str">
        <f t="shared" si="24"/>
        <v>PL16</v>
      </c>
      <c r="BH135" s="53" t="str">
        <f t="shared" si="25"/>
        <v/>
      </c>
      <c r="BI135" s="53" t="s">
        <v>148</v>
      </c>
      <c r="BJ135" s="53" t="s">
        <v>987</v>
      </c>
      <c r="BK135" s="53" t="s">
        <v>988</v>
      </c>
      <c r="BL135" s="53" t="s">
        <v>2103</v>
      </c>
      <c r="BM135" s="53">
        <v>4</v>
      </c>
      <c r="BN135" s="83">
        <v>46120</v>
      </c>
      <c r="BO135" s="53"/>
      <c r="BP135" s="53"/>
    </row>
    <row r="136" spans="3:68" ht="14.25" hidden="1" customHeight="1">
      <c r="C136" s="82" t="s">
        <v>13</v>
      </c>
      <c r="D136" s="82" t="s">
        <v>1207</v>
      </c>
      <c r="E136" s="82" t="s">
        <v>1157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3"/>
        <v>0</v>
      </c>
      <c r="M136" s="26">
        <f t="shared" si="20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67">
        <f>SUMIFS([1]Up!$J:$J,[1]Up!$D:$D,D136)</f>
        <v>0</v>
      </c>
      <c r="BF136" s="82"/>
      <c r="BG136" s="82" t="str">
        <f t="shared" si="24"/>
        <v>PL15</v>
      </c>
      <c r="BH136" s="53" t="str">
        <f t="shared" si="25"/>
        <v/>
      </c>
      <c r="BI136" s="53" t="s">
        <v>148</v>
      </c>
      <c r="BJ136" s="53" t="s">
        <v>1093</v>
      </c>
      <c r="BK136" s="53" t="s">
        <v>1094</v>
      </c>
      <c r="BL136" s="53" t="s">
        <v>2100</v>
      </c>
      <c r="BM136" s="53">
        <v>2</v>
      </c>
      <c r="BN136" s="83">
        <v>46120</v>
      </c>
      <c r="BO136" s="53"/>
      <c r="BP136" s="53"/>
    </row>
    <row r="137" spans="3:68" ht="14.25" hidden="1" customHeight="1">
      <c r="C137" s="82" t="s">
        <v>13</v>
      </c>
      <c r="D137" s="82" t="s">
        <v>1208</v>
      </c>
      <c r="E137" s="82" t="s">
        <v>1206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3"/>
        <v>2</v>
      </c>
      <c r="M137" s="26">
        <f t="shared" si="20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>
        <v>2</v>
      </c>
      <c r="BC137" s="26"/>
      <c r="BD137" s="26"/>
      <c r="BE137" s="67">
        <f>SUMIFS([1]Up!$J:$J,[1]Up!$D:$D,D137)</f>
        <v>2</v>
      </c>
      <c r="BF137" s="82"/>
      <c r="BG137" s="82" t="str">
        <f t="shared" si="24"/>
        <v>PL16</v>
      </c>
      <c r="BH137" s="53" t="str">
        <f t="shared" si="25"/>
        <v/>
      </c>
      <c r="BI137" s="53" t="s">
        <v>148</v>
      </c>
      <c r="BJ137" s="53" t="s">
        <v>987</v>
      </c>
      <c r="BK137" s="53" t="s">
        <v>988</v>
      </c>
      <c r="BL137" s="53" t="s">
        <v>2103</v>
      </c>
      <c r="BM137" s="53">
        <v>2</v>
      </c>
      <c r="BN137" s="83">
        <v>46120</v>
      </c>
      <c r="BO137" s="53"/>
      <c r="BP137" s="53"/>
    </row>
    <row r="138" spans="3:68" ht="14.25" hidden="1" customHeight="1">
      <c r="C138" s="82" t="s">
        <v>13</v>
      </c>
      <c r="D138" s="82" t="s">
        <v>1209</v>
      </c>
      <c r="E138" s="82" t="s">
        <v>1123</v>
      </c>
      <c r="F138" s="82" t="s">
        <v>1210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3"/>
        <v>0</v>
      </c>
      <c r="M138" s="26">
        <f t="shared" si="20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67">
        <f>SUMIFS([1]Up!$J:$J,[1]Up!$D:$D,D138)</f>
        <v>0</v>
      </c>
      <c r="BF138" s="82"/>
      <c r="BG138" s="82" t="str">
        <f t="shared" si="24"/>
        <v>PL20</v>
      </c>
      <c r="BH138" s="53" t="str">
        <f t="shared" si="25"/>
        <v/>
      </c>
      <c r="BI138" s="53" t="s">
        <v>148</v>
      </c>
      <c r="BJ138" s="53" t="s">
        <v>1099</v>
      </c>
      <c r="BK138" s="53" t="s">
        <v>1100</v>
      </c>
      <c r="BL138" s="53" t="s">
        <v>2101</v>
      </c>
      <c r="BM138" s="53">
        <v>2</v>
      </c>
      <c r="BN138" s="83">
        <v>46303</v>
      </c>
      <c r="BO138" s="53"/>
      <c r="BP138" s="53"/>
    </row>
    <row r="139" spans="3:68" ht="14.25" hidden="1" customHeight="1">
      <c r="C139" s="82" t="s">
        <v>13</v>
      </c>
      <c r="D139" s="82" t="s">
        <v>1211</v>
      </c>
      <c r="E139" s="82" t="s">
        <v>1125</v>
      </c>
      <c r="F139" s="82" t="s">
        <v>1212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3"/>
        <v>0</v>
      </c>
      <c r="M139" s="26">
        <f t="shared" si="20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67">
        <f>SUMIFS([1]Up!$J:$J,[1]Up!$D:$D,D139)</f>
        <v>0</v>
      </c>
      <c r="BF139" s="82"/>
      <c r="BG139" s="82" t="str">
        <f t="shared" si="24"/>
        <v>PL15</v>
      </c>
      <c r="BH139" s="53" t="str">
        <f t="shared" si="25"/>
        <v/>
      </c>
      <c r="BI139" s="53" t="s">
        <v>148</v>
      </c>
      <c r="BJ139" s="53" t="s">
        <v>1093</v>
      </c>
      <c r="BK139" s="53" t="s">
        <v>1094</v>
      </c>
      <c r="BL139" s="53" t="s">
        <v>2100</v>
      </c>
      <c r="BM139" s="53">
        <v>2</v>
      </c>
      <c r="BN139" s="83">
        <v>46120</v>
      </c>
      <c r="BO139" s="53"/>
      <c r="BP139" s="53"/>
    </row>
    <row r="140" spans="3:68" ht="14.25" hidden="1" customHeight="1">
      <c r="C140" s="82" t="s">
        <v>13</v>
      </c>
      <c r="D140" s="82" t="s">
        <v>1213</v>
      </c>
      <c r="E140" s="82" t="s">
        <v>1214</v>
      </c>
      <c r="F140" s="82" t="s">
        <v>1195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3"/>
        <v>0</v>
      </c>
      <c r="M140" s="26">
        <f t="shared" si="20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67">
        <f>SUMIFS([1]Up!$J:$J,[1]Up!$D:$D,D140)</f>
        <v>0</v>
      </c>
      <c r="BF140" s="82"/>
      <c r="BG140" s="82" t="str">
        <f t="shared" si="24"/>
        <v>PL10</v>
      </c>
      <c r="BH140" s="53" t="str">
        <f t="shared" si="25"/>
        <v/>
      </c>
      <c r="BI140" s="53" t="s">
        <v>154</v>
      </c>
      <c r="BJ140" s="53" t="s">
        <v>1004</v>
      </c>
      <c r="BK140" s="53" t="s">
        <v>1005</v>
      </c>
      <c r="BL140" s="53"/>
      <c r="BM140" s="53"/>
      <c r="BN140" s="83"/>
      <c r="BO140" s="53"/>
      <c r="BP140" s="53"/>
    </row>
    <row r="141" spans="3:68" ht="14.25" hidden="1" customHeight="1">
      <c r="C141" s="82" t="s">
        <v>13</v>
      </c>
      <c r="D141" s="82" t="s">
        <v>1215</v>
      </c>
      <c r="E141" s="82" t="s">
        <v>1216</v>
      </c>
      <c r="F141" s="82" t="s">
        <v>1204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3"/>
        <v>0</v>
      </c>
      <c r="M141" s="26">
        <f t="shared" si="20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67">
        <f>SUMIFS([1]Up!$J:$J,[1]Up!$D:$D,D141)</f>
        <v>0</v>
      </c>
      <c r="BF141" s="82"/>
      <c r="BG141" s="82" t="str">
        <f t="shared" si="24"/>
        <v>PL10</v>
      </c>
      <c r="BH141" s="53" t="str">
        <f t="shared" si="25"/>
        <v/>
      </c>
      <c r="BI141" s="53" t="s">
        <v>148</v>
      </c>
      <c r="BJ141" s="53" t="s">
        <v>1004</v>
      </c>
      <c r="BK141" s="53" t="s">
        <v>1005</v>
      </c>
      <c r="BL141" s="53"/>
      <c r="BM141" s="53"/>
      <c r="BN141" s="83"/>
      <c r="BO141" s="53"/>
      <c r="BP141" s="53"/>
    </row>
    <row r="142" spans="3:68" ht="14.25" hidden="1" customHeight="1">
      <c r="C142" s="82" t="s">
        <v>13</v>
      </c>
      <c r="D142" s="82" t="s">
        <v>1217</v>
      </c>
      <c r="E142" s="82" t="s">
        <v>1218</v>
      </c>
      <c r="F142" s="82" t="s">
        <v>1204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3"/>
        <v>0</v>
      </c>
      <c r="M142" s="26">
        <f t="shared" si="20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67">
        <f>SUMIFS([1]Up!$J:$J,[1]Up!$D:$D,D142)</f>
        <v>0</v>
      </c>
      <c r="BF142" s="82"/>
      <c r="BG142" s="82" t="str">
        <f t="shared" si="24"/>
        <v>PL10</v>
      </c>
      <c r="BH142" s="53" t="str">
        <f t="shared" si="25"/>
        <v/>
      </c>
      <c r="BI142" s="53" t="s">
        <v>148</v>
      </c>
      <c r="BJ142" s="53" t="s">
        <v>1004</v>
      </c>
      <c r="BK142" s="53" t="s">
        <v>1005</v>
      </c>
      <c r="BL142" s="53"/>
      <c r="BM142" s="53"/>
      <c r="BN142" s="83"/>
      <c r="BO142" s="53"/>
      <c r="BP142" s="53"/>
    </row>
    <row r="143" spans="3:68" ht="14.25" hidden="1" customHeight="1">
      <c r="C143" s="82" t="s">
        <v>13</v>
      </c>
      <c r="D143" s="82" t="s">
        <v>1219</v>
      </c>
      <c r="E143" s="82" t="s">
        <v>1220</v>
      </c>
      <c r="F143" s="82" t="s">
        <v>1204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3"/>
        <v>0</v>
      </c>
      <c r="M143" s="26">
        <f t="shared" si="20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67">
        <f>SUMIFS([1]Up!$J:$J,[1]Up!$D:$D,D143)</f>
        <v>0</v>
      </c>
      <c r="BF143" s="82"/>
      <c r="BG143" s="82" t="str">
        <f t="shared" si="24"/>
        <v>PL10</v>
      </c>
      <c r="BH143" s="53" t="str">
        <f t="shared" si="25"/>
        <v/>
      </c>
      <c r="BI143" s="53" t="s">
        <v>148</v>
      </c>
      <c r="BJ143" s="53" t="s">
        <v>1004</v>
      </c>
      <c r="BK143" s="53" t="s">
        <v>1005</v>
      </c>
      <c r="BL143" s="53"/>
      <c r="BM143" s="53"/>
      <c r="BN143" s="83"/>
      <c r="BO143" s="53"/>
      <c r="BP143" s="53"/>
    </row>
    <row r="144" spans="3:68" ht="14.25" hidden="1" customHeight="1">
      <c r="C144" s="82" t="s">
        <v>13</v>
      </c>
      <c r="D144" s="82" t="s">
        <v>1221</v>
      </c>
      <c r="E144" s="82" t="s">
        <v>1222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3"/>
        <v>0</v>
      </c>
      <c r="M144" s="26">
        <f t="shared" si="20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67">
        <f>SUMIFS([1]Up!$J:$J,[1]Up!$D:$D,D144)</f>
        <v>0</v>
      </c>
      <c r="BF144" s="82"/>
      <c r="BG144" s="82" t="str">
        <f t="shared" si="24"/>
        <v>PL15</v>
      </c>
      <c r="BH144" s="53" t="str">
        <f t="shared" si="25"/>
        <v/>
      </c>
      <c r="BI144" s="53" t="s">
        <v>148</v>
      </c>
      <c r="BJ144" s="53" t="s">
        <v>1093</v>
      </c>
      <c r="BK144" s="53" t="s">
        <v>1094</v>
      </c>
      <c r="BL144" s="53" t="s">
        <v>2100</v>
      </c>
      <c r="BM144" s="53">
        <v>1</v>
      </c>
      <c r="BN144" s="83">
        <v>46120</v>
      </c>
      <c r="BO144" s="53"/>
      <c r="BP144" s="53"/>
    </row>
    <row r="145" spans="3:68" ht="14.25" hidden="1" customHeight="1">
      <c r="C145" s="82" t="s">
        <v>13</v>
      </c>
      <c r="D145" s="82" t="s">
        <v>1223</v>
      </c>
      <c r="E145" s="82" t="s">
        <v>1224</v>
      </c>
      <c r="F145" s="82" t="s">
        <v>1204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3"/>
        <v>0</v>
      </c>
      <c r="M145" s="26">
        <f t="shared" si="20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67">
        <f>SUMIFS([1]Up!$J:$J,[1]Up!$D:$D,D145)</f>
        <v>0</v>
      </c>
      <c r="BF145" s="82"/>
      <c r="BG145" s="82" t="str">
        <f t="shared" si="24"/>
        <v>PL10</v>
      </c>
      <c r="BH145" s="53" t="str">
        <f t="shared" si="25"/>
        <v/>
      </c>
      <c r="BI145" s="53" t="s">
        <v>148</v>
      </c>
      <c r="BJ145" s="53" t="s">
        <v>1004</v>
      </c>
      <c r="BK145" s="53" t="s">
        <v>1005</v>
      </c>
      <c r="BL145" s="53"/>
      <c r="BM145" s="53"/>
      <c r="BN145" s="83"/>
      <c r="BO145" s="53"/>
      <c r="BP145" s="53"/>
    </row>
    <row r="146" spans="3:68" ht="14.25" hidden="1" customHeight="1">
      <c r="C146" s="82" t="s">
        <v>13</v>
      </c>
      <c r="D146" s="82" t="s">
        <v>1225</v>
      </c>
      <c r="E146" s="82" t="s">
        <v>1226</v>
      </c>
      <c r="F146" s="82" t="s">
        <v>1204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3"/>
        <v>0</v>
      </c>
      <c r="M146" s="26">
        <f t="shared" si="20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67">
        <f>SUMIFS([1]Up!$J:$J,[1]Up!$D:$D,D146)</f>
        <v>0</v>
      </c>
      <c r="BF146" s="82"/>
      <c r="BG146" s="82" t="str">
        <f t="shared" si="24"/>
        <v>PL20</v>
      </c>
      <c r="BH146" s="53" t="str">
        <f t="shared" si="25"/>
        <v/>
      </c>
      <c r="BI146" s="53" t="s">
        <v>148</v>
      </c>
      <c r="BJ146" s="53" t="s">
        <v>1099</v>
      </c>
      <c r="BK146" s="53" t="s">
        <v>1100</v>
      </c>
      <c r="BL146" s="53" t="s">
        <v>57</v>
      </c>
      <c r="BM146" s="53">
        <v>2</v>
      </c>
      <c r="BN146" s="83"/>
      <c r="BO146" s="53"/>
      <c r="BP146" s="53"/>
    </row>
    <row r="147" spans="3:68" ht="14.25" hidden="1" customHeight="1">
      <c r="C147" s="82" t="s">
        <v>13</v>
      </c>
      <c r="D147" s="82" t="s">
        <v>1227</v>
      </c>
      <c r="E147" s="82" t="s">
        <v>1228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3"/>
        <v>0</v>
      </c>
      <c r="M147" s="26">
        <f t="shared" si="20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67">
        <f>SUMIFS([1]Up!$J:$J,[1]Up!$D:$D,D147)</f>
        <v>0</v>
      </c>
      <c r="BF147" s="82"/>
      <c r="BG147" s="82" t="str">
        <f t="shared" si="24"/>
        <v>PL10</v>
      </c>
      <c r="BH147" s="53" t="str">
        <f t="shared" si="25"/>
        <v/>
      </c>
      <c r="BI147" s="53" t="s">
        <v>154</v>
      </c>
      <c r="BJ147" s="53" t="s">
        <v>1004</v>
      </c>
      <c r="BK147" s="53" t="s">
        <v>1005</v>
      </c>
      <c r="BL147" s="53"/>
      <c r="BM147" s="53"/>
      <c r="BN147" s="83"/>
      <c r="BO147" s="53"/>
      <c r="BP147" s="53"/>
    </row>
    <row r="148" spans="3:68" ht="14.25" hidden="1" customHeight="1">
      <c r="C148" s="82" t="s">
        <v>11</v>
      </c>
      <c r="D148" s="82" t="s">
        <v>1229</v>
      </c>
      <c r="E148" s="82" t="s">
        <v>1075</v>
      </c>
      <c r="F148" s="82" t="s">
        <v>1010</v>
      </c>
      <c r="G148" s="82">
        <v>812</v>
      </c>
      <c r="H148" s="82" t="s">
        <v>1077</v>
      </c>
      <c r="I148" s="82">
        <v>6</v>
      </c>
      <c r="J148" s="82">
        <v>13.05696</v>
      </c>
      <c r="K148" s="82">
        <v>78.341759999999994</v>
      </c>
      <c r="L148" s="26">
        <f t="shared" si="23"/>
        <v>0</v>
      </c>
      <c r="M148" s="26">
        <f t="shared" si="20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67">
        <f>SUMIFS([1]Up!$J:$J,[1]Up!$D:$D,D148)</f>
        <v>0</v>
      </c>
      <c r="BF148" s="82"/>
      <c r="BG148" s="82" t="str">
        <f t="shared" si="24"/>
        <v/>
      </c>
      <c r="BH148" s="53" t="str">
        <f t="shared" si="25"/>
        <v/>
      </c>
      <c r="BI148" s="53" t="s">
        <v>148</v>
      </c>
      <c r="BJ148" s="53" t="s">
        <v>1078</v>
      </c>
      <c r="BK148" s="53" t="s">
        <v>1075</v>
      </c>
      <c r="BL148" s="53" t="s">
        <v>2104</v>
      </c>
      <c r="BM148" s="53">
        <v>6</v>
      </c>
      <c r="BN148" s="83">
        <v>46120</v>
      </c>
      <c r="BO148" s="53"/>
      <c r="BP148" s="53"/>
    </row>
    <row r="149" spans="3:68" ht="14.25" hidden="1" customHeight="1">
      <c r="C149" s="82" t="s">
        <v>13</v>
      </c>
      <c r="D149" s="82" t="s">
        <v>1230</v>
      </c>
      <c r="E149" s="82" t="s">
        <v>1231</v>
      </c>
      <c r="F149" s="82" t="s">
        <v>1195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3"/>
        <v>0</v>
      </c>
      <c r="M149" s="26">
        <f t="shared" si="20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67">
        <f>SUMIFS([1]Up!$J:$J,[1]Up!$D:$D,D149)</f>
        <v>0</v>
      </c>
      <c r="BF149" s="82"/>
      <c r="BG149" s="82" t="str">
        <f t="shared" si="24"/>
        <v>PL10</v>
      </c>
      <c r="BH149" s="53" t="str">
        <f t="shared" si="25"/>
        <v/>
      </c>
      <c r="BI149" s="53" t="s">
        <v>154</v>
      </c>
      <c r="BJ149" s="53" t="s">
        <v>1004</v>
      </c>
      <c r="BK149" s="53" t="s">
        <v>1005</v>
      </c>
      <c r="BL149" s="53"/>
      <c r="BM149" s="53"/>
      <c r="BN149" s="83"/>
      <c r="BO149" s="53"/>
      <c r="BP149" s="53"/>
    </row>
    <row r="150" spans="3:68" ht="14.25" hidden="1" customHeight="1">
      <c r="C150" s="82" t="s">
        <v>13</v>
      </c>
      <c r="D150" s="82" t="s">
        <v>1232</v>
      </c>
      <c r="E150" s="82" t="s">
        <v>1123</v>
      </c>
      <c r="F150" s="82" t="s">
        <v>1210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3"/>
        <v>0</v>
      </c>
      <c r="M150" s="26">
        <f t="shared" si="20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67">
        <f>SUMIFS([1]Up!$J:$J,[1]Up!$D:$D,D150)</f>
        <v>0</v>
      </c>
      <c r="BF150" s="82"/>
      <c r="BG150" s="82" t="str">
        <f t="shared" si="24"/>
        <v>PL20</v>
      </c>
      <c r="BH150" s="53" t="str">
        <f t="shared" si="25"/>
        <v/>
      </c>
      <c r="BI150" s="53" t="s">
        <v>148</v>
      </c>
      <c r="BJ150" s="53" t="s">
        <v>1099</v>
      </c>
      <c r="BK150" s="53" t="s">
        <v>1100</v>
      </c>
      <c r="BL150" s="53" t="s">
        <v>2101</v>
      </c>
      <c r="BM150" s="53">
        <v>2</v>
      </c>
      <c r="BN150" s="83">
        <v>46303</v>
      </c>
      <c r="BO150" s="53"/>
      <c r="BP150" s="53"/>
    </row>
    <row r="151" spans="3:68" ht="14.25" hidden="1" customHeight="1">
      <c r="C151" s="82" t="s">
        <v>13</v>
      </c>
      <c r="D151" s="82" t="s">
        <v>1233</v>
      </c>
      <c r="E151" s="82" t="s">
        <v>1125</v>
      </c>
      <c r="F151" s="82" t="s">
        <v>1212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3"/>
        <v>0</v>
      </c>
      <c r="M151" s="26">
        <f t="shared" si="20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67">
        <f>SUMIFS([1]Up!$J:$J,[1]Up!$D:$D,D151)</f>
        <v>0</v>
      </c>
      <c r="BF151" s="82"/>
      <c r="BG151" s="82" t="str">
        <f t="shared" si="24"/>
        <v>PL15</v>
      </c>
      <c r="BH151" s="53" t="str">
        <f t="shared" si="25"/>
        <v/>
      </c>
      <c r="BI151" s="53" t="s">
        <v>148</v>
      </c>
      <c r="BJ151" s="53" t="s">
        <v>1093</v>
      </c>
      <c r="BK151" s="53" t="s">
        <v>1094</v>
      </c>
      <c r="BL151" s="53" t="s">
        <v>2100</v>
      </c>
      <c r="BM151" s="53">
        <v>2</v>
      </c>
      <c r="BN151" s="83">
        <v>46120</v>
      </c>
      <c r="BO151" s="53"/>
      <c r="BP151" s="53"/>
    </row>
    <row r="152" spans="3:68" ht="14.25" hidden="1" customHeight="1">
      <c r="C152" s="82" t="s">
        <v>13</v>
      </c>
      <c r="D152" s="82" t="s">
        <v>1234</v>
      </c>
      <c r="E152" s="82" t="s">
        <v>1157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3"/>
        <v>0</v>
      </c>
      <c r="M152" s="26">
        <f t="shared" si="20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67">
        <f>SUMIFS([1]Up!$J:$J,[1]Up!$D:$D,D152)</f>
        <v>0</v>
      </c>
      <c r="BF152" s="82"/>
      <c r="BG152" s="82" t="str">
        <f t="shared" si="24"/>
        <v>PL15</v>
      </c>
      <c r="BH152" s="53" t="str">
        <f t="shared" si="25"/>
        <v/>
      </c>
      <c r="BI152" s="53" t="s">
        <v>148</v>
      </c>
      <c r="BJ152" s="53" t="s">
        <v>1093</v>
      </c>
      <c r="BK152" s="53" t="s">
        <v>1094</v>
      </c>
      <c r="BL152" s="53" t="s">
        <v>2100</v>
      </c>
      <c r="BM152" s="53">
        <v>2</v>
      </c>
      <c r="BN152" s="83">
        <v>46120</v>
      </c>
      <c r="BO152" s="53"/>
      <c r="BP152" s="53"/>
    </row>
    <row r="153" spans="3:68" ht="14.25" hidden="1" customHeight="1">
      <c r="C153" s="82" t="s">
        <v>13</v>
      </c>
      <c r="D153" s="82" t="s">
        <v>1235</v>
      </c>
      <c r="E153" s="82" t="s">
        <v>1216</v>
      </c>
      <c r="F153" s="82" t="s">
        <v>1204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3"/>
        <v>0</v>
      </c>
      <c r="M153" s="26">
        <f t="shared" si="20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67">
        <f>SUMIFS([1]Up!$J:$J,[1]Up!$D:$D,D153)</f>
        <v>0</v>
      </c>
      <c r="BF153" s="82"/>
      <c r="BG153" s="82" t="str">
        <f t="shared" si="24"/>
        <v>PL10</v>
      </c>
      <c r="BH153" s="53" t="str">
        <f t="shared" si="25"/>
        <v/>
      </c>
      <c r="BI153" s="53" t="s">
        <v>148</v>
      </c>
      <c r="BJ153" s="53" t="s">
        <v>1004</v>
      </c>
      <c r="BK153" s="53" t="s">
        <v>1005</v>
      </c>
      <c r="BL153" s="53"/>
      <c r="BM153" s="53"/>
      <c r="BN153" s="83"/>
      <c r="BO153" s="53"/>
      <c r="BP153" s="53"/>
    </row>
    <row r="154" spans="3:68" ht="14.25" hidden="1" customHeight="1">
      <c r="C154" s="82" t="s">
        <v>13</v>
      </c>
      <c r="D154" s="82" t="s">
        <v>1236</v>
      </c>
      <c r="E154" s="82" t="s">
        <v>1216</v>
      </c>
      <c r="F154" s="82" t="s">
        <v>1204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3"/>
        <v>0</v>
      </c>
      <c r="M154" s="26">
        <f t="shared" si="20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67">
        <f>SUMIFS([1]Up!$J:$J,[1]Up!$D:$D,D154)</f>
        <v>0</v>
      </c>
      <c r="BF154" s="82"/>
      <c r="BG154" s="82" t="str">
        <f t="shared" si="24"/>
        <v>PL10</v>
      </c>
      <c r="BH154" s="53" t="str">
        <f t="shared" si="25"/>
        <v/>
      </c>
      <c r="BI154" s="53" t="s">
        <v>148</v>
      </c>
      <c r="BJ154" s="53" t="s">
        <v>1004</v>
      </c>
      <c r="BK154" s="53" t="s">
        <v>1005</v>
      </c>
      <c r="BL154" s="53"/>
      <c r="BM154" s="53"/>
      <c r="BN154" s="83"/>
      <c r="BO154" s="53"/>
      <c r="BP154" s="53"/>
    </row>
    <row r="155" spans="3:68" ht="14.25" hidden="1" customHeight="1">
      <c r="C155" s="82" t="s">
        <v>13</v>
      </c>
      <c r="D155" s="82" t="s">
        <v>1237</v>
      </c>
      <c r="E155" s="82" t="s">
        <v>1238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3"/>
        <v>0</v>
      </c>
      <c r="M155" s="26">
        <f t="shared" si="20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67">
        <f>SUMIFS([1]Up!$J:$J,[1]Up!$D:$D,D155)</f>
        <v>0</v>
      </c>
      <c r="BF155" s="82"/>
      <c r="BG155" s="82" t="str">
        <f t="shared" si="24"/>
        <v>PL15</v>
      </c>
      <c r="BH155" s="53" t="str">
        <f t="shared" si="25"/>
        <v/>
      </c>
      <c r="BI155" s="53" t="s">
        <v>148</v>
      </c>
      <c r="BJ155" s="53" t="s">
        <v>1093</v>
      </c>
      <c r="BK155" s="53" t="s">
        <v>1094</v>
      </c>
      <c r="BL155" s="53" t="s">
        <v>2100</v>
      </c>
      <c r="BM155" s="53">
        <v>3</v>
      </c>
      <c r="BN155" s="83">
        <v>46120</v>
      </c>
      <c r="BO155" s="53"/>
      <c r="BP155" s="53"/>
    </row>
    <row r="156" spans="3:68" ht="14.25" hidden="1" customHeight="1">
      <c r="C156" s="82" t="s">
        <v>13</v>
      </c>
      <c r="D156" s="82" t="s">
        <v>1239</v>
      </c>
      <c r="E156" s="82" t="s">
        <v>1224</v>
      </c>
      <c r="F156" s="82" t="s">
        <v>1204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3"/>
        <v>0</v>
      </c>
      <c r="M156" s="26">
        <f t="shared" si="20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67">
        <f>SUMIFS([1]Up!$J:$J,[1]Up!$D:$D,D156)</f>
        <v>0</v>
      </c>
      <c r="BF156" s="82"/>
      <c r="BG156" s="82" t="str">
        <f t="shared" si="24"/>
        <v>PL10</v>
      </c>
      <c r="BH156" s="53" t="str">
        <f t="shared" si="25"/>
        <v/>
      </c>
      <c r="BI156" s="53" t="s">
        <v>148</v>
      </c>
      <c r="BJ156" s="53" t="s">
        <v>1093</v>
      </c>
      <c r="BK156" s="53" t="s">
        <v>1094</v>
      </c>
      <c r="BL156" s="53"/>
      <c r="BM156" s="53"/>
      <c r="BN156" s="83"/>
      <c r="BO156" s="53"/>
      <c r="BP156" s="53"/>
    </row>
    <row r="157" spans="3:68" ht="14.25" hidden="1" customHeight="1">
      <c r="C157" s="82" t="s">
        <v>13</v>
      </c>
      <c r="D157" s="82" t="s">
        <v>1240</v>
      </c>
      <c r="E157" s="82" t="s">
        <v>1216</v>
      </c>
      <c r="F157" s="82" t="s">
        <v>1204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3"/>
        <v>0</v>
      </c>
      <c r="M157" s="26">
        <f t="shared" si="20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67">
        <f>SUMIFS([1]Up!$J:$J,[1]Up!$D:$D,D157)</f>
        <v>0</v>
      </c>
      <c r="BF157" s="82"/>
      <c r="BG157" s="82" t="str">
        <f t="shared" si="24"/>
        <v>PL10</v>
      </c>
      <c r="BH157" s="53" t="str">
        <f t="shared" si="25"/>
        <v/>
      </c>
      <c r="BI157" s="53" t="s">
        <v>148</v>
      </c>
      <c r="BJ157" s="53" t="s">
        <v>1004</v>
      </c>
      <c r="BK157" s="53" t="s">
        <v>1005</v>
      </c>
      <c r="BL157" s="53"/>
      <c r="BM157" s="53"/>
      <c r="BN157" s="83"/>
      <c r="BO157" s="53"/>
      <c r="BP157" s="53"/>
    </row>
    <row r="158" spans="3:68" ht="14.25" hidden="1" customHeight="1">
      <c r="C158" s="82" t="s">
        <v>13</v>
      </c>
      <c r="D158" s="82" t="s">
        <v>1241</v>
      </c>
      <c r="E158" s="82" t="s">
        <v>1206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6">MIN(SUM(N158:BD158),I158)</f>
        <v>2</v>
      </c>
      <c r="M158" s="26">
        <f t="shared" si="20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>
        <v>2</v>
      </c>
      <c r="BC158" s="26"/>
      <c r="BD158" s="26"/>
      <c r="BE158" s="67">
        <f>SUMIFS([1]Up!$J:$J,[1]Up!$D:$D,D158)</f>
        <v>2</v>
      </c>
      <c r="BF158" s="82"/>
      <c r="BG158" s="82" t="str">
        <f t="shared" ref="BG158:BG221" si="27">IFERROR(IF(C158="Plate",LEFT(E158,FIND("*",E158,1)-1),""),IF(C158="Plate",LEFT(E158,FIND("x",E158,1)-1),""))</f>
        <v>PL16</v>
      </c>
      <c r="BH158" s="53" t="str">
        <f t="shared" ref="BH158:BH221" si="28">IF(ROUND(SUM(N158:BD158)-I158,0)&gt;0,"Thừa "&amp;SUM(N158:BD158)-I158,"")</f>
        <v/>
      </c>
      <c r="BI158" s="53" t="s">
        <v>148</v>
      </c>
      <c r="BJ158" s="53" t="s">
        <v>987</v>
      </c>
      <c r="BK158" s="53" t="s">
        <v>988</v>
      </c>
      <c r="BL158" s="53" t="s">
        <v>2103</v>
      </c>
      <c r="BM158" s="53">
        <v>2</v>
      </c>
      <c r="BN158" s="83">
        <v>46120</v>
      </c>
      <c r="BO158" s="53"/>
      <c r="BP158" s="53"/>
    </row>
    <row r="159" spans="3:68" ht="14.25" hidden="1" customHeight="1">
      <c r="C159" s="82" t="s">
        <v>13</v>
      </c>
      <c r="D159" s="82" t="s">
        <v>1242</v>
      </c>
      <c r="E159" s="82" t="s">
        <v>1206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6"/>
        <v>10</v>
      </c>
      <c r="M159" s="26">
        <f t="shared" si="20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>
        <v>10</v>
      </c>
      <c r="BC159" s="26"/>
      <c r="BD159" s="26"/>
      <c r="BE159" s="67">
        <f>SUMIFS([1]Up!$J:$J,[1]Up!$D:$D,D159)</f>
        <v>10</v>
      </c>
      <c r="BF159" s="82"/>
      <c r="BG159" s="82" t="str">
        <f t="shared" si="27"/>
        <v>PL16</v>
      </c>
      <c r="BH159" s="53" t="str">
        <f t="shared" si="28"/>
        <v/>
      </c>
      <c r="BI159" s="53" t="s">
        <v>148</v>
      </c>
      <c r="BJ159" s="53" t="s">
        <v>987</v>
      </c>
      <c r="BK159" s="53" t="s">
        <v>988</v>
      </c>
      <c r="BL159" s="53" t="s">
        <v>2103</v>
      </c>
      <c r="BM159" s="53">
        <v>10</v>
      </c>
      <c r="BN159" s="83">
        <v>46120</v>
      </c>
      <c r="BO159" s="53"/>
      <c r="BP159" s="53"/>
    </row>
    <row r="160" spans="3:68" ht="14.25" hidden="1" customHeight="1">
      <c r="C160" s="82" t="s">
        <v>11</v>
      </c>
      <c r="D160" s="82" t="s">
        <v>1243</v>
      </c>
      <c r="E160" s="82" t="s">
        <v>1075</v>
      </c>
      <c r="F160" s="82" t="s">
        <v>1010</v>
      </c>
      <c r="G160" s="82">
        <v>812</v>
      </c>
      <c r="H160" s="82" t="s">
        <v>1077</v>
      </c>
      <c r="I160" s="82">
        <v>3</v>
      </c>
      <c r="J160" s="82">
        <v>13.05696</v>
      </c>
      <c r="K160" s="82">
        <v>39.170879999999997</v>
      </c>
      <c r="L160" s="26">
        <f t="shared" si="26"/>
        <v>0</v>
      </c>
      <c r="M160" s="26">
        <f t="shared" si="20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67">
        <f>SUMIFS([1]Up!$J:$J,[1]Up!$D:$D,D160)</f>
        <v>0</v>
      </c>
      <c r="BF160" s="82"/>
      <c r="BG160" s="82" t="str">
        <f t="shared" si="27"/>
        <v/>
      </c>
      <c r="BH160" s="53" t="str">
        <f t="shared" si="28"/>
        <v/>
      </c>
      <c r="BI160" s="53" t="s">
        <v>148</v>
      </c>
      <c r="BJ160" s="53" t="s">
        <v>1078</v>
      </c>
      <c r="BK160" s="53" t="s">
        <v>1075</v>
      </c>
      <c r="BL160" s="53" t="s">
        <v>2104</v>
      </c>
      <c r="BM160" s="53">
        <v>3</v>
      </c>
      <c r="BN160" s="83">
        <v>46120</v>
      </c>
      <c r="BO160" s="53"/>
      <c r="BP160" s="53"/>
    </row>
    <row r="161" spans="3:68" ht="14.25" hidden="1" customHeight="1">
      <c r="C161" s="82" t="s">
        <v>13</v>
      </c>
      <c r="D161" s="82" t="s">
        <v>1244</v>
      </c>
      <c r="E161" s="82" t="s">
        <v>1245</v>
      </c>
      <c r="F161" s="82" t="s">
        <v>1195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6"/>
        <v>0</v>
      </c>
      <c r="M161" s="26">
        <f t="shared" si="20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67">
        <f>SUMIFS([1]Up!$J:$J,[1]Up!$D:$D,D161)</f>
        <v>0</v>
      </c>
      <c r="BF161" s="82"/>
      <c r="BG161" s="82" t="str">
        <f t="shared" si="27"/>
        <v>PL8</v>
      </c>
      <c r="BH161" s="53" t="str">
        <f t="shared" si="28"/>
        <v/>
      </c>
      <c r="BI161" s="53" t="s">
        <v>154</v>
      </c>
      <c r="BJ161" s="53" t="s">
        <v>1011</v>
      </c>
      <c r="BK161" s="53" t="s">
        <v>1012</v>
      </c>
      <c r="BL161" s="53" t="s">
        <v>57</v>
      </c>
      <c r="BM161" s="53">
        <v>1</v>
      </c>
      <c r="BN161" s="83"/>
      <c r="BO161" s="53"/>
      <c r="BP161" s="53"/>
    </row>
    <row r="162" spans="3:68" ht="14.25" hidden="1" customHeight="1">
      <c r="C162" s="82" t="s">
        <v>13</v>
      </c>
      <c r="D162" s="82" t="s">
        <v>1246</v>
      </c>
      <c r="E162" s="82" t="s">
        <v>1125</v>
      </c>
      <c r="F162" s="82" t="s">
        <v>1212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6"/>
        <v>0</v>
      </c>
      <c r="M162" s="26">
        <f t="shared" si="20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67">
        <f>SUMIFS([1]Up!$J:$J,[1]Up!$D:$D,D162)</f>
        <v>0</v>
      </c>
      <c r="BF162" s="82"/>
      <c r="BG162" s="82" t="str">
        <f t="shared" si="27"/>
        <v>PL15</v>
      </c>
      <c r="BH162" s="53" t="str">
        <f t="shared" si="28"/>
        <v/>
      </c>
      <c r="BI162" s="53" t="s">
        <v>148</v>
      </c>
      <c r="BJ162" s="53" t="s">
        <v>1093</v>
      </c>
      <c r="BK162" s="53" t="s">
        <v>1094</v>
      </c>
      <c r="BL162" s="53" t="s">
        <v>2100</v>
      </c>
      <c r="BM162" s="53">
        <v>2</v>
      </c>
      <c r="BN162" s="83">
        <v>46120</v>
      </c>
      <c r="BO162" s="53"/>
      <c r="BP162" s="53"/>
    </row>
    <row r="163" spans="3:68" ht="14.25" hidden="1" customHeight="1">
      <c r="C163" s="82" t="s">
        <v>13</v>
      </c>
      <c r="D163" s="82" t="s">
        <v>1247</v>
      </c>
      <c r="E163" s="82" t="s">
        <v>1248</v>
      </c>
      <c r="F163" s="82" t="s">
        <v>1195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6"/>
        <v>0</v>
      </c>
      <c r="M163" s="26">
        <f t="shared" si="20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67">
        <f>SUMIFS([1]Up!$J:$J,[1]Up!$D:$D,D163)</f>
        <v>0</v>
      </c>
      <c r="BF163" s="82"/>
      <c r="BG163" s="82" t="str">
        <f t="shared" si="27"/>
        <v>PL10</v>
      </c>
      <c r="BH163" s="53" t="str">
        <f t="shared" si="28"/>
        <v/>
      </c>
      <c r="BI163" s="53" t="s">
        <v>154</v>
      </c>
      <c r="BJ163" s="53" t="s">
        <v>1004</v>
      </c>
      <c r="BK163" s="53" t="s">
        <v>1005</v>
      </c>
      <c r="BL163" s="53"/>
      <c r="BM163" s="53"/>
      <c r="BN163" s="83"/>
      <c r="BO163" s="53"/>
      <c r="BP163" s="53"/>
    </row>
    <row r="164" spans="3:68" ht="14.25" hidden="1" customHeight="1">
      <c r="C164" s="82" t="s">
        <v>13</v>
      </c>
      <c r="D164" s="82" t="s">
        <v>1249</v>
      </c>
      <c r="E164" s="82" t="s">
        <v>1250</v>
      </c>
      <c r="F164" s="82" t="s">
        <v>1204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6"/>
        <v>0</v>
      </c>
      <c r="M164" s="26">
        <f t="shared" si="20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67">
        <f>SUMIFS([1]Up!$J:$J,[1]Up!$D:$D,D164)</f>
        <v>0</v>
      </c>
      <c r="BF164" s="82"/>
      <c r="BG164" s="82" t="str">
        <f t="shared" si="27"/>
        <v>PL8</v>
      </c>
      <c r="BH164" s="53" t="str">
        <f t="shared" si="28"/>
        <v/>
      </c>
      <c r="BI164" s="53" t="s">
        <v>148</v>
      </c>
      <c r="BJ164" s="53" t="s">
        <v>1011</v>
      </c>
      <c r="BK164" s="53" t="s">
        <v>1012</v>
      </c>
      <c r="BL164" s="53" t="s">
        <v>57</v>
      </c>
      <c r="BM164" s="53">
        <v>2</v>
      </c>
      <c r="BN164" s="83"/>
      <c r="BO164" s="53"/>
      <c r="BP164" s="53"/>
    </row>
    <row r="165" spans="3:68" ht="14.25" hidden="1" customHeight="1">
      <c r="C165" s="82" t="s">
        <v>13</v>
      </c>
      <c r="D165" s="82" t="s">
        <v>1251</v>
      </c>
      <c r="E165" s="82" t="s">
        <v>1250</v>
      </c>
      <c r="F165" s="82" t="s">
        <v>1204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6"/>
        <v>0</v>
      </c>
      <c r="M165" s="26">
        <f t="shared" si="20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67">
        <f>SUMIFS([1]Up!$J:$J,[1]Up!$D:$D,D165)</f>
        <v>0</v>
      </c>
      <c r="BF165" s="82"/>
      <c r="BG165" s="82" t="str">
        <f t="shared" si="27"/>
        <v>PL8</v>
      </c>
      <c r="BH165" s="53" t="str">
        <f t="shared" si="28"/>
        <v/>
      </c>
      <c r="BI165" s="53" t="s">
        <v>148</v>
      </c>
      <c r="BJ165" s="53" t="s">
        <v>1011</v>
      </c>
      <c r="BK165" s="53" t="s">
        <v>1012</v>
      </c>
      <c r="BL165" s="53" t="s">
        <v>57</v>
      </c>
      <c r="BM165" s="53">
        <v>1</v>
      </c>
      <c r="BN165" s="83"/>
      <c r="BO165" s="53"/>
      <c r="BP165" s="53"/>
    </row>
    <row r="166" spans="3:68" ht="14.25" hidden="1" customHeight="1">
      <c r="C166" s="82" t="s">
        <v>13</v>
      </c>
      <c r="D166" s="82" t="s">
        <v>1252</v>
      </c>
      <c r="E166" s="82" t="s">
        <v>1157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6"/>
        <v>0</v>
      </c>
      <c r="M166" s="26">
        <f t="shared" si="20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67">
        <f>SUMIFS([1]Up!$J:$J,[1]Up!$D:$D,D166)</f>
        <v>0</v>
      </c>
      <c r="BF166" s="82"/>
      <c r="BG166" s="82" t="str">
        <f t="shared" si="27"/>
        <v>PL15</v>
      </c>
      <c r="BH166" s="53" t="str">
        <f t="shared" si="28"/>
        <v/>
      </c>
      <c r="BI166" s="53" t="s">
        <v>148</v>
      </c>
      <c r="BJ166" s="53" t="s">
        <v>1093</v>
      </c>
      <c r="BK166" s="53" t="s">
        <v>1094</v>
      </c>
      <c r="BL166" s="53" t="s">
        <v>2100</v>
      </c>
      <c r="BM166" s="53">
        <v>2</v>
      </c>
      <c r="BN166" s="83">
        <v>46120</v>
      </c>
      <c r="BO166" s="53"/>
      <c r="BP166" s="53"/>
    </row>
    <row r="167" spans="3:68" ht="14.25" hidden="1" customHeight="1">
      <c r="C167" s="82" t="s">
        <v>13</v>
      </c>
      <c r="D167" s="82" t="s">
        <v>1253</v>
      </c>
      <c r="E167" s="82" t="s">
        <v>1254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6"/>
        <v>0</v>
      </c>
      <c r="M167" s="26">
        <f t="shared" si="20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67">
        <f>SUMIFS([1]Up!$J:$J,[1]Up!$D:$D,D167)</f>
        <v>0</v>
      </c>
      <c r="BF167" s="82"/>
      <c r="BG167" s="82" t="str">
        <f t="shared" si="27"/>
        <v>PL15</v>
      </c>
      <c r="BH167" s="53" t="str">
        <f t="shared" si="28"/>
        <v/>
      </c>
      <c r="BI167" s="53" t="s">
        <v>148</v>
      </c>
      <c r="BJ167" s="53" t="s">
        <v>1093</v>
      </c>
      <c r="BK167" s="53" t="s">
        <v>1094</v>
      </c>
      <c r="BL167" s="53" t="s">
        <v>2100</v>
      </c>
      <c r="BM167" s="53">
        <v>2</v>
      </c>
      <c r="BN167" s="83">
        <v>46120</v>
      </c>
      <c r="BO167" s="53"/>
      <c r="BP167" s="53"/>
    </row>
    <row r="168" spans="3:68" ht="14.25" hidden="1" customHeight="1">
      <c r="C168" s="82" t="s">
        <v>13</v>
      </c>
      <c r="D168" s="82" t="s">
        <v>1255</v>
      </c>
      <c r="E168" s="82" t="s">
        <v>1256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6"/>
        <v>4</v>
      </c>
      <c r="M168" s="26">
        <f t="shared" si="20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>
        <v>4</v>
      </c>
      <c r="BC168" s="26"/>
      <c r="BD168" s="26"/>
      <c r="BE168" s="67">
        <f>SUMIFS([1]Up!$J:$J,[1]Up!$D:$D,D168)</f>
        <v>4</v>
      </c>
      <c r="BF168" s="82"/>
      <c r="BG168" s="82" t="str">
        <f t="shared" si="27"/>
        <v>PL16</v>
      </c>
      <c r="BH168" s="53" t="str">
        <f t="shared" si="28"/>
        <v/>
      </c>
      <c r="BI168" s="53" t="s">
        <v>148</v>
      </c>
      <c r="BJ168" s="53" t="s">
        <v>987</v>
      </c>
      <c r="BK168" s="53" t="s">
        <v>988</v>
      </c>
      <c r="BL168" s="53" t="s">
        <v>2103</v>
      </c>
      <c r="BM168" s="53">
        <v>4</v>
      </c>
      <c r="BN168" s="83">
        <v>46120</v>
      </c>
      <c r="BO168" s="53"/>
      <c r="BP168" s="53"/>
    </row>
    <row r="169" spans="3:68" ht="14.25" hidden="1" customHeight="1">
      <c r="C169" s="82" t="s">
        <v>13</v>
      </c>
      <c r="D169" s="82" t="s">
        <v>1257</v>
      </c>
      <c r="E169" s="82" t="s">
        <v>1256</v>
      </c>
      <c r="F169" s="82" t="s">
        <v>13</v>
      </c>
      <c r="G169" s="82" t="s">
        <v>1258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6"/>
        <v>2</v>
      </c>
      <c r="M169" s="26">
        <f t="shared" si="20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>
        <v>2</v>
      </c>
      <c r="BC169" s="26"/>
      <c r="BD169" s="26"/>
      <c r="BE169" s="67">
        <f>SUMIFS([1]Up!$J:$J,[1]Up!$D:$D,D169)</f>
        <v>2</v>
      </c>
      <c r="BF169" s="82"/>
      <c r="BG169" s="82" t="str">
        <f t="shared" si="27"/>
        <v>PL16</v>
      </c>
      <c r="BH169" s="53" t="str">
        <f t="shared" si="28"/>
        <v/>
      </c>
      <c r="BI169" s="53" t="s">
        <v>148</v>
      </c>
      <c r="BJ169" s="53" t="s">
        <v>987</v>
      </c>
      <c r="BK169" s="53" t="s">
        <v>988</v>
      </c>
      <c r="BL169" s="53" t="s">
        <v>2103</v>
      </c>
      <c r="BM169" s="53">
        <v>2</v>
      </c>
      <c r="BN169" s="83">
        <v>46120</v>
      </c>
      <c r="BO169" s="53"/>
      <c r="BP169" s="53"/>
    </row>
    <row r="170" spans="3:68" ht="14.25" hidden="1" customHeight="1">
      <c r="C170" s="82" t="s">
        <v>13</v>
      </c>
      <c r="D170" s="82" t="s">
        <v>1259</v>
      </c>
      <c r="E170" s="82" t="s">
        <v>1123</v>
      </c>
      <c r="F170" s="82" t="s">
        <v>1210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6"/>
        <v>0</v>
      </c>
      <c r="M170" s="26">
        <f t="shared" si="20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67">
        <f>SUMIFS([1]Up!$J:$J,[1]Up!$D:$D,D170)</f>
        <v>0</v>
      </c>
      <c r="BF170" s="82"/>
      <c r="BG170" s="82" t="str">
        <f t="shared" si="27"/>
        <v>PL20</v>
      </c>
      <c r="BH170" s="53" t="str">
        <f t="shared" si="28"/>
        <v/>
      </c>
      <c r="BI170" s="53" t="s">
        <v>148</v>
      </c>
      <c r="BJ170" s="53" t="s">
        <v>1099</v>
      </c>
      <c r="BK170" s="53" t="s">
        <v>1100</v>
      </c>
      <c r="BL170" s="53" t="s">
        <v>2101</v>
      </c>
      <c r="BM170" s="53">
        <v>2</v>
      </c>
      <c r="BN170" s="83">
        <v>46303</v>
      </c>
      <c r="BO170" s="53"/>
      <c r="BP170" s="53"/>
    </row>
    <row r="171" spans="3:68" ht="14.25" hidden="1" customHeight="1">
      <c r="C171" s="82" t="s">
        <v>11</v>
      </c>
      <c r="D171" s="82" t="s">
        <v>1260</v>
      </c>
      <c r="E171" s="82" t="s">
        <v>1075</v>
      </c>
      <c r="F171" s="82" t="s">
        <v>1010</v>
      </c>
      <c r="G171" s="82">
        <v>812</v>
      </c>
      <c r="H171" s="82" t="s">
        <v>1077</v>
      </c>
      <c r="I171" s="82">
        <v>5</v>
      </c>
      <c r="J171" s="82">
        <v>13.05696</v>
      </c>
      <c r="K171" s="82">
        <v>65.284800000000004</v>
      </c>
      <c r="L171" s="26">
        <f t="shared" si="26"/>
        <v>0</v>
      </c>
      <c r="M171" s="26">
        <f t="shared" si="20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67">
        <f>SUMIFS([1]Up!$J:$J,[1]Up!$D:$D,D171)</f>
        <v>0</v>
      </c>
      <c r="BF171" s="82"/>
      <c r="BG171" s="82" t="str">
        <f t="shared" si="27"/>
        <v/>
      </c>
      <c r="BH171" s="53" t="str">
        <f t="shared" si="28"/>
        <v/>
      </c>
      <c r="BI171" s="53" t="s">
        <v>148</v>
      </c>
      <c r="BJ171" s="53" t="s">
        <v>1078</v>
      </c>
      <c r="BK171" s="53" t="s">
        <v>1075</v>
      </c>
      <c r="BL171" s="53" t="s">
        <v>2104</v>
      </c>
      <c r="BM171" s="53">
        <v>5</v>
      </c>
      <c r="BN171" s="83">
        <v>46120</v>
      </c>
      <c r="BO171" s="53"/>
      <c r="BP171" s="53"/>
    </row>
    <row r="172" spans="3:68" ht="14.25" hidden="1" customHeight="1">
      <c r="C172" s="82" t="s">
        <v>13</v>
      </c>
      <c r="D172" s="82" t="s">
        <v>1261</v>
      </c>
      <c r="E172" s="82" t="s">
        <v>1245</v>
      </c>
      <c r="F172" s="82" t="s">
        <v>1195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6"/>
        <v>0</v>
      </c>
      <c r="M172" s="26">
        <f t="shared" si="20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67">
        <f>SUMIFS([1]Up!$J:$J,[1]Up!$D:$D,D172)</f>
        <v>0</v>
      </c>
      <c r="BF172" s="82"/>
      <c r="BG172" s="82" t="str">
        <f t="shared" si="27"/>
        <v>PL8</v>
      </c>
      <c r="BH172" s="53" t="str">
        <f t="shared" si="28"/>
        <v/>
      </c>
      <c r="BI172" s="53" t="s">
        <v>154</v>
      </c>
      <c r="BJ172" s="53" t="s">
        <v>1011</v>
      </c>
      <c r="BK172" s="53" t="s">
        <v>1012</v>
      </c>
      <c r="BL172" s="53" t="s">
        <v>57</v>
      </c>
      <c r="BM172" s="53">
        <v>1</v>
      </c>
      <c r="BN172" s="83"/>
      <c r="BO172" s="53"/>
      <c r="BP172" s="53"/>
    </row>
    <row r="173" spans="3:68" ht="14.25" hidden="1" customHeight="1">
      <c r="C173" s="82" t="s">
        <v>13</v>
      </c>
      <c r="D173" s="82" t="s">
        <v>1262</v>
      </c>
      <c r="E173" s="82" t="s">
        <v>1263</v>
      </c>
      <c r="F173" s="82" t="s">
        <v>1204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6"/>
        <v>0</v>
      </c>
      <c r="M173" s="26">
        <f t="shared" si="20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67">
        <f>SUMIFS([1]Up!$J:$J,[1]Up!$D:$D,D173)</f>
        <v>0</v>
      </c>
      <c r="BF173" s="82"/>
      <c r="BG173" s="82" t="str">
        <f t="shared" si="27"/>
        <v>PL8</v>
      </c>
      <c r="BH173" s="53" t="str">
        <f t="shared" si="28"/>
        <v/>
      </c>
      <c r="BI173" s="53" t="s">
        <v>148</v>
      </c>
      <c r="BJ173" s="53" t="s">
        <v>1011</v>
      </c>
      <c r="BK173" s="53" t="s">
        <v>1012</v>
      </c>
      <c r="BL173" s="53" t="s">
        <v>57</v>
      </c>
      <c r="BM173" s="53">
        <v>2</v>
      </c>
      <c r="BN173" s="83"/>
      <c r="BO173" s="53"/>
      <c r="BP173" s="53"/>
    </row>
    <row r="174" spans="3:68" ht="14.25" hidden="1" customHeight="1">
      <c r="C174" s="82" t="s">
        <v>13</v>
      </c>
      <c r="D174" s="82" t="s">
        <v>1264</v>
      </c>
      <c r="E174" s="82" t="s">
        <v>1265</v>
      </c>
      <c r="F174" s="82" t="s">
        <v>1204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6"/>
        <v>0</v>
      </c>
      <c r="M174" s="26">
        <f t="shared" si="20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67">
        <f>SUMIFS([1]Up!$J:$J,[1]Up!$D:$D,D174)</f>
        <v>0</v>
      </c>
      <c r="BF174" s="82"/>
      <c r="BG174" s="82" t="str">
        <f t="shared" si="27"/>
        <v>PL8</v>
      </c>
      <c r="BH174" s="53" t="str">
        <f t="shared" si="28"/>
        <v/>
      </c>
      <c r="BI174" s="53" t="s">
        <v>148</v>
      </c>
      <c r="BJ174" s="53" t="s">
        <v>1011</v>
      </c>
      <c r="BK174" s="53" t="s">
        <v>1012</v>
      </c>
      <c r="BL174" s="53" t="s">
        <v>2123</v>
      </c>
      <c r="BM174" s="53">
        <v>2</v>
      </c>
      <c r="BN174" s="83">
        <v>46334</v>
      </c>
      <c r="BO174" s="53"/>
      <c r="BP174" s="53"/>
    </row>
    <row r="175" spans="3:68" ht="14.25" hidden="1" customHeight="1">
      <c r="C175" s="82" t="s">
        <v>13</v>
      </c>
      <c r="D175" s="82" t="s">
        <v>1266</v>
      </c>
      <c r="E175" s="82" t="s">
        <v>1267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6"/>
        <v>0</v>
      </c>
      <c r="M175" s="26">
        <f t="shared" si="20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67">
        <f>SUMIFS([1]Up!$J:$J,[1]Up!$D:$D,D175)</f>
        <v>0</v>
      </c>
      <c r="BF175" s="82"/>
      <c r="BG175" s="82" t="str">
        <f t="shared" si="27"/>
        <v>PL15</v>
      </c>
      <c r="BH175" s="53" t="str">
        <f t="shared" si="28"/>
        <v/>
      </c>
      <c r="BI175" s="53" t="s">
        <v>148</v>
      </c>
      <c r="BJ175" s="53" t="s">
        <v>1093</v>
      </c>
      <c r="BK175" s="53" t="s">
        <v>1094</v>
      </c>
      <c r="BL175" s="53" t="s">
        <v>2100</v>
      </c>
      <c r="BM175" s="53">
        <v>2</v>
      </c>
      <c r="BN175" s="83">
        <v>46120</v>
      </c>
      <c r="BO175" s="53"/>
      <c r="BP175" s="53"/>
    </row>
    <row r="176" spans="3:68" ht="14.25" hidden="1" customHeight="1">
      <c r="C176" s="82" t="s">
        <v>13</v>
      </c>
      <c r="D176" s="82" t="s">
        <v>1268</v>
      </c>
      <c r="E176" s="82" t="s">
        <v>1269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6"/>
        <v>0</v>
      </c>
      <c r="M176" s="26">
        <f t="shared" si="20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67">
        <f>SUMIFS([1]Up!$J:$J,[1]Up!$D:$D,D176)</f>
        <v>0</v>
      </c>
      <c r="BF176" s="82"/>
      <c r="BG176" s="82" t="str">
        <f t="shared" si="27"/>
        <v>PL15</v>
      </c>
      <c r="BH176" s="53" t="str">
        <f t="shared" si="28"/>
        <v/>
      </c>
      <c r="BI176" s="53" t="s">
        <v>148</v>
      </c>
      <c r="BJ176" s="53" t="s">
        <v>1093</v>
      </c>
      <c r="BK176" s="53" t="s">
        <v>1094</v>
      </c>
      <c r="BL176" s="53" t="s">
        <v>2100</v>
      </c>
      <c r="BM176" s="53">
        <v>2</v>
      </c>
      <c r="BN176" s="83">
        <v>46120</v>
      </c>
      <c r="BO176" s="53"/>
      <c r="BP176" s="53"/>
    </row>
    <row r="177" spans="3:68" ht="14.25" hidden="1" customHeight="1">
      <c r="C177" s="82" t="s">
        <v>13</v>
      </c>
      <c r="D177" s="82" t="s">
        <v>1270</v>
      </c>
      <c r="E177" s="82" t="s">
        <v>1123</v>
      </c>
      <c r="F177" s="82" t="s">
        <v>1210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6"/>
        <v>0</v>
      </c>
      <c r="M177" s="26">
        <f t="shared" si="20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67">
        <f>SUMIFS([1]Up!$J:$J,[1]Up!$D:$D,D177)</f>
        <v>0</v>
      </c>
      <c r="BF177" s="82"/>
      <c r="BG177" s="82" t="str">
        <f t="shared" si="27"/>
        <v>PL20</v>
      </c>
      <c r="BH177" s="53" t="str">
        <f t="shared" si="28"/>
        <v/>
      </c>
      <c r="BI177" s="53" t="s">
        <v>148</v>
      </c>
      <c r="BJ177" s="53" t="s">
        <v>1099</v>
      </c>
      <c r="BK177" s="53" t="s">
        <v>1100</v>
      </c>
      <c r="BL177" s="53" t="s">
        <v>2101</v>
      </c>
      <c r="BM177" s="53">
        <v>2</v>
      </c>
      <c r="BN177" s="83">
        <v>46303</v>
      </c>
      <c r="BO177" s="53"/>
      <c r="BP177" s="53"/>
    </row>
    <row r="178" spans="3:68" ht="14.25" hidden="1" customHeight="1">
      <c r="C178" s="82" t="s">
        <v>13</v>
      </c>
      <c r="D178" s="82" t="s">
        <v>1271</v>
      </c>
      <c r="E178" s="82" t="s">
        <v>1125</v>
      </c>
      <c r="F178" s="82" t="s">
        <v>1212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6"/>
        <v>0</v>
      </c>
      <c r="M178" s="26">
        <f t="shared" si="20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67">
        <f>SUMIFS([1]Up!$J:$J,[1]Up!$D:$D,D178)</f>
        <v>0</v>
      </c>
      <c r="BF178" s="82"/>
      <c r="BG178" s="82" t="str">
        <f t="shared" si="27"/>
        <v>PL15</v>
      </c>
      <c r="BH178" s="53" t="str">
        <f t="shared" si="28"/>
        <v/>
      </c>
      <c r="BI178" s="53" t="s">
        <v>148</v>
      </c>
      <c r="BJ178" s="53" t="s">
        <v>1093</v>
      </c>
      <c r="BK178" s="53" t="s">
        <v>1094</v>
      </c>
      <c r="BL178" s="53" t="s">
        <v>2100</v>
      </c>
      <c r="BM178" s="53">
        <v>2</v>
      </c>
      <c r="BN178" s="83">
        <v>46120</v>
      </c>
      <c r="BO178" s="53"/>
      <c r="BP178" s="53"/>
    </row>
    <row r="179" spans="3:68" ht="14.25" hidden="1" customHeight="1">
      <c r="C179" s="82" t="s">
        <v>13</v>
      </c>
      <c r="D179" s="82" t="s">
        <v>1272</v>
      </c>
      <c r="E179" s="82" t="s">
        <v>1273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6"/>
        <v>0</v>
      </c>
      <c r="M179" s="26">
        <f t="shared" si="20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67">
        <f>SUMIFS([1]Up!$J:$J,[1]Up!$D:$D,D179)</f>
        <v>0</v>
      </c>
      <c r="BF179" s="82"/>
      <c r="BG179" s="82" t="str">
        <f t="shared" si="27"/>
        <v>PL5</v>
      </c>
      <c r="BH179" s="53" t="str">
        <f t="shared" si="28"/>
        <v/>
      </c>
      <c r="BI179" s="53" t="s">
        <v>148</v>
      </c>
      <c r="BJ179" s="53" t="s">
        <v>1107</v>
      </c>
      <c r="BK179" s="53" t="s">
        <v>956</v>
      </c>
      <c r="BL179" s="53" t="s">
        <v>2102</v>
      </c>
      <c r="BM179" s="53">
        <v>2</v>
      </c>
      <c r="BN179" s="83">
        <v>46120</v>
      </c>
      <c r="BO179" s="53"/>
      <c r="BP179" s="53"/>
    </row>
    <row r="180" spans="3:68" ht="14.25" hidden="1" customHeight="1">
      <c r="C180" s="82" t="s">
        <v>13</v>
      </c>
      <c r="D180" s="82" t="s">
        <v>1274</v>
      </c>
      <c r="E180" s="82" t="s">
        <v>1275</v>
      </c>
      <c r="F180" s="82" t="s">
        <v>1204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6"/>
        <v>0</v>
      </c>
      <c r="M180" s="26">
        <f t="shared" si="20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67">
        <f>SUMIFS([1]Up!$J:$J,[1]Up!$D:$D,D180)</f>
        <v>0</v>
      </c>
      <c r="BF180" s="82"/>
      <c r="BG180" s="82" t="str">
        <f t="shared" si="27"/>
        <v>PL8</v>
      </c>
      <c r="BH180" s="53" t="str">
        <f t="shared" si="28"/>
        <v/>
      </c>
      <c r="BI180" s="53" t="s">
        <v>148</v>
      </c>
      <c r="BJ180" s="53" t="s">
        <v>1011</v>
      </c>
      <c r="BK180" s="53" t="s">
        <v>1012</v>
      </c>
      <c r="BL180" s="53" t="s">
        <v>57</v>
      </c>
      <c r="BM180" s="53">
        <v>3</v>
      </c>
      <c r="BN180" s="83"/>
      <c r="BO180" s="53"/>
      <c r="BP180" s="53"/>
    </row>
    <row r="181" spans="3:68" ht="14.25" hidden="1" customHeight="1">
      <c r="C181" s="82" t="s">
        <v>13</v>
      </c>
      <c r="D181" s="82" t="s">
        <v>1276</v>
      </c>
      <c r="E181" s="82" t="s">
        <v>1277</v>
      </c>
      <c r="F181" s="82" t="s">
        <v>1278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6"/>
        <v>0</v>
      </c>
      <c r="M181" s="26">
        <f t="shared" si="20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67">
        <f>SUMIFS([1]Up!$J:$J,[1]Up!$D:$D,D181)</f>
        <v>0</v>
      </c>
      <c r="BF181" s="82"/>
      <c r="BG181" s="82" t="str">
        <f t="shared" si="27"/>
        <v>PL20</v>
      </c>
      <c r="BH181" s="53" t="str">
        <f t="shared" si="28"/>
        <v/>
      </c>
      <c r="BI181" s="53" t="s">
        <v>148</v>
      </c>
      <c r="BJ181" s="53" t="s">
        <v>1099</v>
      </c>
      <c r="BK181" s="53" t="s">
        <v>1100</v>
      </c>
      <c r="BL181" s="53" t="s">
        <v>2101</v>
      </c>
      <c r="BM181" s="53">
        <v>1</v>
      </c>
      <c r="BN181" s="83">
        <v>46303</v>
      </c>
      <c r="BO181" s="53"/>
      <c r="BP181" s="53"/>
    </row>
    <row r="182" spans="3:68" ht="14.25" hidden="1" customHeight="1">
      <c r="C182" s="82" t="s">
        <v>13</v>
      </c>
      <c r="D182" s="82" t="s">
        <v>1279</v>
      </c>
      <c r="E182" s="82" t="s">
        <v>1280</v>
      </c>
      <c r="F182" s="82" t="s">
        <v>1200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6"/>
        <v>0</v>
      </c>
      <c r="M182" s="26">
        <f t="shared" si="20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67">
        <f>SUMIFS([1]Up!$J:$J,[1]Up!$D:$D,D182)</f>
        <v>0</v>
      </c>
      <c r="BF182" s="82"/>
      <c r="BG182" s="82" t="str">
        <f t="shared" si="27"/>
        <v>PL20</v>
      </c>
      <c r="BH182" s="53" t="str">
        <f t="shared" si="28"/>
        <v/>
      </c>
      <c r="BI182" s="53" t="s">
        <v>148</v>
      </c>
      <c r="BJ182" s="53" t="s">
        <v>1099</v>
      </c>
      <c r="BK182" s="53" t="s">
        <v>1100</v>
      </c>
      <c r="BL182" s="53" t="s">
        <v>2101</v>
      </c>
      <c r="BM182" s="53">
        <v>1</v>
      </c>
      <c r="BN182" s="83">
        <v>46303</v>
      </c>
      <c r="BO182" s="53"/>
      <c r="BP182" s="53"/>
    </row>
    <row r="183" spans="3:68" ht="14.25" hidden="1" customHeight="1">
      <c r="C183" s="82" t="s">
        <v>13</v>
      </c>
      <c r="D183" s="82" t="s">
        <v>1281</v>
      </c>
      <c r="E183" s="82" t="s">
        <v>1282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6"/>
        <v>3</v>
      </c>
      <c r="M183" s="26">
        <f t="shared" si="20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>
        <v>3</v>
      </c>
      <c r="BC183" s="26"/>
      <c r="BD183" s="26"/>
      <c r="BE183" s="67">
        <f>SUMIFS([1]Up!$J:$J,[1]Up!$D:$D,D183)</f>
        <v>3</v>
      </c>
      <c r="BF183" s="82"/>
      <c r="BG183" s="82" t="str">
        <f t="shared" si="27"/>
        <v>PL16</v>
      </c>
      <c r="BH183" s="53" t="str">
        <f t="shared" si="28"/>
        <v/>
      </c>
      <c r="BI183" s="53" t="s">
        <v>148</v>
      </c>
      <c r="BJ183" s="53" t="s">
        <v>987</v>
      </c>
      <c r="BK183" s="53" t="s">
        <v>988</v>
      </c>
      <c r="BL183" s="53" t="s">
        <v>2103</v>
      </c>
      <c r="BM183" s="53">
        <v>3</v>
      </c>
      <c r="BN183" s="83">
        <v>46120</v>
      </c>
      <c r="BO183" s="53"/>
      <c r="BP183" s="53"/>
    </row>
    <row r="184" spans="3:68" ht="14.25" hidden="1" customHeight="1">
      <c r="C184" s="82" t="s">
        <v>13</v>
      </c>
      <c r="D184" s="82" t="s">
        <v>1283</v>
      </c>
      <c r="E184" s="82" t="s">
        <v>1284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6"/>
        <v>1</v>
      </c>
      <c r="M184" s="26">
        <f t="shared" si="20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>
        <v>1</v>
      </c>
      <c r="BC184" s="26"/>
      <c r="BD184" s="26"/>
      <c r="BE184" s="67">
        <f>SUMIFS([1]Up!$J:$J,[1]Up!$D:$D,D184)</f>
        <v>1</v>
      </c>
      <c r="BF184" s="82"/>
      <c r="BG184" s="82" t="str">
        <f t="shared" si="27"/>
        <v>PL16</v>
      </c>
      <c r="BH184" s="53" t="str">
        <f t="shared" si="28"/>
        <v/>
      </c>
      <c r="BI184" s="53" t="s">
        <v>148</v>
      </c>
      <c r="BJ184" s="53" t="s">
        <v>987</v>
      </c>
      <c r="BK184" s="53" t="s">
        <v>988</v>
      </c>
      <c r="BL184" s="53" t="s">
        <v>2103</v>
      </c>
      <c r="BM184" s="53">
        <v>1</v>
      </c>
      <c r="BN184" s="83">
        <v>46120</v>
      </c>
      <c r="BO184" s="53"/>
      <c r="BP184" s="53"/>
    </row>
    <row r="185" spans="3:68" ht="14.25" hidden="1" customHeight="1">
      <c r="C185" s="82" t="s">
        <v>13</v>
      </c>
      <c r="D185" s="82" t="s">
        <v>1285</v>
      </c>
      <c r="E185" s="82" t="s">
        <v>1157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6"/>
        <v>0</v>
      </c>
      <c r="M185" s="26">
        <f t="shared" si="20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67">
        <f>SUMIFS([1]Up!$J:$J,[1]Up!$D:$D,D185)</f>
        <v>0</v>
      </c>
      <c r="BF185" s="82"/>
      <c r="BG185" s="82" t="str">
        <f t="shared" si="27"/>
        <v>PL15</v>
      </c>
      <c r="BH185" s="53" t="str">
        <f t="shared" si="28"/>
        <v/>
      </c>
      <c r="BI185" s="53" t="s">
        <v>148</v>
      </c>
      <c r="BJ185" s="53" t="s">
        <v>1093</v>
      </c>
      <c r="BK185" s="53" t="s">
        <v>1094</v>
      </c>
      <c r="BL185" s="53" t="s">
        <v>2100</v>
      </c>
      <c r="BM185" s="53">
        <v>2</v>
      </c>
      <c r="BN185" s="83">
        <v>46120</v>
      </c>
      <c r="BO185" s="53"/>
      <c r="BP185" s="53"/>
    </row>
    <row r="186" spans="3:68" ht="14.25" hidden="1" customHeight="1">
      <c r="C186" s="82" t="s">
        <v>13</v>
      </c>
      <c r="D186" s="82" t="s">
        <v>1286</v>
      </c>
      <c r="E186" s="82" t="s">
        <v>1284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6"/>
        <v>2</v>
      </c>
      <c r="M186" s="26">
        <f t="shared" si="20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>
        <v>2</v>
      </c>
      <c r="BC186" s="26"/>
      <c r="BD186" s="26"/>
      <c r="BE186" s="67">
        <f>SUMIFS([1]Up!$J:$J,[1]Up!$D:$D,D186)</f>
        <v>2</v>
      </c>
      <c r="BF186" s="82"/>
      <c r="BG186" s="82" t="str">
        <f t="shared" si="27"/>
        <v>PL16</v>
      </c>
      <c r="BH186" s="53" t="str">
        <f t="shared" si="28"/>
        <v/>
      </c>
      <c r="BI186" s="53" t="s">
        <v>148</v>
      </c>
      <c r="BJ186" s="53" t="s">
        <v>987</v>
      </c>
      <c r="BK186" s="53" t="s">
        <v>988</v>
      </c>
      <c r="BL186" s="53" t="s">
        <v>2103</v>
      </c>
      <c r="BM186" s="53">
        <v>2</v>
      </c>
      <c r="BN186" s="83">
        <v>46120</v>
      </c>
      <c r="BO186" s="53"/>
      <c r="BP186" s="53"/>
    </row>
    <row r="187" spans="3:68" ht="14.25" hidden="1" customHeight="1">
      <c r="C187" s="82" t="s">
        <v>13</v>
      </c>
      <c r="D187" s="82" t="s">
        <v>1287</v>
      </c>
      <c r="E187" s="82" t="s">
        <v>1256</v>
      </c>
      <c r="F187" s="82" t="s">
        <v>13</v>
      </c>
      <c r="G187" s="82" t="s">
        <v>1258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6"/>
        <v>10</v>
      </c>
      <c r="M187" s="26">
        <f t="shared" si="20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>
        <v>10</v>
      </c>
      <c r="BC187" s="26"/>
      <c r="BD187" s="26"/>
      <c r="BE187" s="67">
        <f>SUMIFS([1]Up!$J:$J,[1]Up!$D:$D,D187)</f>
        <v>10</v>
      </c>
      <c r="BF187" s="82"/>
      <c r="BG187" s="82" t="str">
        <f t="shared" si="27"/>
        <v>PL16</v>
      </c>
      <c r="BH187" s="53" t="str">
        <f t="shared" si="28"/>
        <v/>
      </c>
      <c r="BI187" s="53" t="s">
        <v>148</v>
      </c>
      <c r="BJ187" s="53" t="s">
        <v>987</v>
      </c>
      <c r="BK187" s="53" t="s">
        <v>988</v>
      </c>
      <c r="BL187" s="53" t="s">
        <v>2103</v>
      </c>
      <c r="BM187" s="53">
        <v>10</v>
      </c>
      <c r="BN187" s="83">
        <v>46120</v>
      </c>
      <c r="BO187" s="53"/>
      <c r="BP187" s="53"/>
    </row>
    <row r="188" spans="3:68" ht="14.25" hidden="1" customHeight="1">
      <c r="C188" s="82" t="s">
        <v>11</v>
      </c>
      <c r="D188" s="82" t="s">
        <v>1288</v>
      </c>
      <c r="E188" s="82" t="s">
        <v>1075</v>
      </c>
      <c r="F188" s="82" t="s">
        <v>1076</v>
      </c>
      <c r="G188" s="82">
        <v>812</v>
      </c>
      <c r="H188" s="82" t="s">
        <v>1077</v>
      </c>
      <c r="I188" s="82">
        <v>4</v>
      </c>
      <c r="J188" s="82">
        <v>13.05696</v>
      </c>
      <c r="K188" s="82">
        <v>52.22784</v>
      </c>
      <c r="L188" s="26">
        <f t="shared" si="26"/>
        <v>4</v>
      </c>
      <c r="M188" s="26">
        <f t="shared" si="20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67">
        <f>SUMIFS([1]Up!$J:$J,[1]Up!$D:$D,D188)</f>
        <v>0</v>
      </c>
      <c r="BF188" s="82"/>
      <c r="BG188" s="82" t="str">
        <f t="shared" si="27"/>
        <v/>
      </c>
      <c r="BH188" s="53" t="str">
        <f t="shared" si="28"/>
        <v/>
      </c>
      <c r="BI188" s="53" t="s">
        <v>148</v>
      </c>
      <c r="BJ188" s="53" t="s">
        <v>1078</v>
      </c>
      <c r="BK188" s="53" t="s">
        <v>1075</v>
      </c>
      <c r="BL188" s="53" t="s">
        <v>1289</v>
      </c>
      <c r="BM188" s="53">
        <v>4</v>
      </c>
      <c r="BN188" s="83">
        <v>46362</v>
      </c>
      <c r="BO188" s="53"/>
      <c r="BP188" s="53"/>
    </row>
    <row r="189" spans="3:68" ht="14.25" hidden="1" customHeight="1">
      <c r="C189" s="82" t="s">
        <v>11</v>
      </c>
      <c r="D189" s="82" t="s">
        <v>1290</v>
      </c>
      <c r="E189" s="82" t="s">
        <v>1080</v>
      </c>
      <c r="F189" s="82" t="s">
        <v>1076</v>
      </c>
      <c r="G189" s="82">
        <v>737</v>
      </c>
      <c r="H189" s="82" t="s">
        <v>1077</v>
      </c>
      <c r="I189" s="82">
        <v>2</v>
      </c>
      <c r="J189" s="82">
        <v>2.1</v>
      </c>
      <c r="K189" s="82">
        <v>4.2</v>
      </c>
      <c r="L189" s="26">
        <f t="shared" si="26"/>
        <v>2</v>
      </c>
      <c r="M189" s="26">
        <f t="shared" si="20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67">
        <f>SUMIFS([1]Up!$J:$J,[1]Up!$D:$D,D189)</f>
        <v>0</v>
      </c>
      <c r="BF189" s="82"/>
      <c r="BG189" s="82" t="str">
        <f t="shared" si="27"/>
        <v/>
      </c>
      <c r="BH189" s="53" t="str">
        <f t="shared" si="28"/>
        <v/>
      </c>
      <c r="BI189" s="53" t="s">
        <v>154</v>
      </c>
      <c r="BJ189" s="53" t="s">
        <v>1081</v>
      </c>
      <c r="BK189" s="53" t="s">
        <v>1080</v>
      </c>
      <c r="BL189" s="53" t="s">
        <v>1291</v>
      </c>
      <c r="BM189" s="53">
        <v>2</v>
      </c>
      <c r="BN189" s="83">
        <v>46362</v>
      </c>
      <c r="BO189" s="53"/>
      <c r="BP189" s="53"/>
    </row>
    <row r="190" spans="3:68" ht="14.25" hidden="1" customHeight="1">
      <c r="C190" s="82" t="s">
        <v>13</v>
      </c>
      <c r="D190" s="82" t="s">
        <v>1292</v>
      </c>
      <c r="E190" s="82" t="s">
        <v>1293</v>
      </c>
      <c r="F190" s="82" t="s">
        <v>1084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6"/>
        <v>1</v>
      </c>
      <c r="M190" s="26">
        <f t="shared" si="20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67">
        <f>SUMIFS([1]Up!$J:$J,[1]Up!$D:$D,D190)</f>
        <v>0</v>
      </c>
      <c r="BF190" s="82" t="s">
        <v>2231</v>
      </c>
      <c r="BG190" s="82" t="str">
        <f t="shared" si="27"/>
        <v>PL12</v>
      </c>
      <c r="BH190" s="53" t="str">
        <f t="shared" si="28"/>
        <v>Thừa 5</v>
      </c>
      <c r="BI190" s="53" t="s">
        <v>154</v>
      </c>
      <c r="BJ190" s="53" t="s">
        <v>1020</v>
      </c>
      <c r="BK190" s="53" t="s">
        <v>1021</v>
      </c>
      <c r="BL190" s="53" t="s">
        <v>57</v>
      </c>
      <c r="BM190" s="53">
        <v>1</v>
      </c>
      <c r="BN190" s="83"/>
      <c r="BO190" s="53"/>
      <c r="BP190" s="53"/>
    </row>
    <row r="191" spans="3:68" ht="14.25" hidden="1" customHeight="1">
      <c r="C191" s="82" t="s">
        <v>13</v>
      </c>
      <c r="D191" s="82" t="s">
        <v>1294</v>
      </c>
      <c r="E191" s="82" t="s">
        <v>1295</v>
      </c>
      <c r="F191" s="82" t="s">
        <v>1296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6"/>
        <v>2</v>
      </c>
      <c r="M191" s="26">
        <f t="shared" si="20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67">
        <f>SUMIFS([1]Up!$J:$J,[1]Up!$D:$D,D191)</f>
        <v>0</v>
      </c>
      <c r="BF191" s="82"/>
      <c r="BG191" s="82" t="str">
        <f t="shared" si="27"/>
        <v>PL10</v>
      </c>
      <c r="BH191" s="53" t="str">
        <f t="shared" si="28"/>
        <v/>
      </c>
      <c r="BI191" s="53" t="s">
        <v>148</v>
      </c>
      <c r="BJ191" s="53" t="s">
        <v>1004</v>
      </c>
      <c r="BK191" s="53" t="s">
        <v>1005</v>
      </c>
      <c r="BL191" s="53" t="s">
        <v>1063</v>
      </c>
      <c r="BM191" s="53">
        <v>2</v>
      </c>
      <c r="BN191" s="83">
        <v>46088</v>
      </c>
      <c r="BO191" s="53"/>
      <c r="BP191" s="53"/>
    </row>
    <row r="192" spans="3:68" ht="14.25" hidden="1" customHeight="1">
      <c r="C192" s="82" t="s">
        <v>13</v>
      </c>
      <c r="D192" s="82" t="s">
        <v>1297</v>
      </c>
      <c r="E192" s="82" t="s">
        <v>1298</v>
      </c>
      <c r="F192" s="82" t="s">
        <v>1296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6"/>
        <v>4</v>
      </c>
      <c r="M192" s="26">
        <f t="shared" si="20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67">
        <f>SUMIFS([1]Up!$J:$J,[1]Up!$D:$D,D192)</f>
        <v>0</v>
      </c>
      <c r="BF192" s="82"/>
      <c r="BG192" s="82" t="str">
        <f t="shared" si="27"/>
        <v>PL12</v>
      </c>
      <c r="BH192" s="53" t="str">
        <f t="shared" si="28"/>
        <v/>
      </c>
      <c r="BI192" s="53" t="s">
        <v>148</v>
      </c>
      <c r="BJ192" s="53" t="s">
        <v>1020</v>
      </c>
      <c r="BK192" s="53" t="s">
        <v>1021</v>
      </c>
      <c r="BL192" s="53" t="s">
        <v>1022</v>
      </c>
      <c r="BM192" s="53">
        <v>4</v>
      </c>
      <c r="BN192" s="83">
        <v>46088</v>
      </c>
      <c r="BO192" s="53"/>
      <c r="BP192" s="53"/>
    </row>
    <row r="193" spans="3:68" ht="14.25" hidden="1" customHeight="1">
      <c r="C193" s="82" t="s">
        <v>13</v>
      </c>
      <c r="D193" s="82" t="s">
        <v>1299</v>
      </c>
      <c r="E193" s="82" t="s">
        <v>1298</v>
      </c>
      <c r="F193" s="82" t="s">
        <v>1296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6"/>
        <v>4</v>
      </c>
      <c r="M193" s="26">
        <f t="shared" si="20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67">
        <f>SUMIFS([1]Up!$J:$J,[1]Up!$D:$D,D193)</f>
        <v>0</v>
      </c>
      <c r="BF193" s="82"/>
      <c r="BG193" s="82" t="str">
        <f t="shared" si="27"/>
        <v>PL12</v>
      </c>
      <c r="BH193" s="53" t="str">
        <f t="shared" si="28"/>
        <v/>
      </c>
      <c r="BI193" s="53" t="s">
        <v>148</v>
      </c>
      <c r="BJ193" s="53" t="s">
        <v>1020</v>
      </c>
      <c r="BK193" s="53" t="s">
        <v>1021</v>
      </c>
      <c r="BL193" s="53" t="s">
        <v>1022</v>
      </c>
      <c r="BM193" s="53">
        <v>4</v>
      </c>
      <c r="BN193" s="83">
        <v>46088</v>
      </c>
      <c r="BO193" s="53"/>
      <c r="BP193" s="53"/>
    </row>
    <row r="194" spans="3:68" ht="14.25" hidden="1" customHeight="1">
      <c r="C194" s="82" t="s">
        <v>13</v>
      </c>
      <c r="D194" s="82" t="s">
        <v>1300</v>
      </c>
      <c r="E194" s="82" t="s">
        <v>1090</v>
      </c>
      <c r="F194" s="82" t="s">
        <v>1296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6"/>
        <v>8</v>
      </c>
      <c r="M194" s="26">
        <f t="shared" si="20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67">
        <f>SUMIFS([1]Up!$J:$J,[1]Up!$D:$D,D194)</f>
        <v>0</v>
      </c>
      <c r="BF194" s="82"/>
      <c r="BG194" s="82" t="str">
        <f t="shared" si="27"/>
        <v>PL16</v>
      </c>
      <c r="BH194" s="53" t="str">
        <f t="shared" si="28"/>
        <v/>
      </c>
      <c r="BI194" s="53" t="s">
        <v>148</v>
      </c>
      <c r="BJ194" s="53" t="s">
        <v>987</v>
      </c>
      <c r="BK194" s="53" t="s">
        <v>988</v>
      </c>
      <c r="BL194" s="53" t="s">
        <v>989</v>
      </c>
      <c r="BM194" s="53">
        <v>8</v>
      </c>
      <c r="BN194" s="83" t="s">
        <v>2222</v>
      </c>
      <c r="BO194" s="53"/>
      <c r="BP194" s="53"/>
    </row>
    <row r="195" spans="3:68" ht="14.25" hidden="1" customHeight="1">
      <c r="C195" s="82" t="s">
        <v>13</v>
      </c>
      <c r="D195" s="82" t="s">
        <v>1301</v>
      </c>
      <c r="E195" s="82" t="s">
        <v>1302</v>
      </c>
      <c r="F195" s="82" t="s">
        <v>1296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6"/>
        <v>2</v>
      </c>
      <c r="M195" s="26">
        <f t="shared" si="20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67">
        <f>SUMIFS([1]Up!$J:$J,[1]Up!$D:$D,D195)</f>
        <v>0</v>
      </c>
      <c r="BF195" s="82"/>
      <c r="BG195" s="82" t="str">
        <f t="shared" si="27"/>
        <v>PL15</v>
      </c>
      <c r="BH195" s="53" t="str">
        <f t="shared" si="28"/>
        <v/>
      </c>
      <c r="BI195" s="53" t="s">
        <v>148</v>
      </c>
      <c r="BJ195" s="53" t="s">
        <v>1093</v>
      </c>
      <c r="BK195" s="53" t="s">
        <v>1094</v>
      </c>
      <c r="BL195" s="53" t="s">
        <v>1303</v>
      </c>
      <c r="BM195" s="53">
        <v>2</v>
      </c>
      <c r="BN195" s="83">
        <v>46088</v>
      </c>
      <c r="BO195" s="53"/>
      <c r="BP195" s="53"/>
    </row>
    <row r="196" spans="3:68" ht="14.25" hidden="1" customHeight="1">
      <c r="C196" s="82" t="s">
        <v>13</v>
      </c>
      <c r="D196" s="82" t="s">
        <v>1304</v>
      </c>
      <c r="E196" s="82" t="s">
        <v>1096</v>
      </c>
      <c r="F196" s="82" t="s">
        <v>1296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6"/>
        <v>1</v>
      </c>
      <c r="M196" s="26">
        <f t="shared" si="20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67">
        <f>SUMIFS([1]Up!$J:$J,[1]Up!$D:$D,D196)</f>
        <v>0</v>
      </c>
      <c r="BF196" s="82"/>
      <c r="BG196" s="82" t="str">
        <f t="shared" si="27"/>
        <v>PL10</v>
      </c>
      <c r="BH196" s="53" t="str">
        <f t="shared" si="28"/>
        <v/>
      </c>
      <c r="BI196" s="53" t="s">
        <v>154</v>
      </c>
      <c r="BJ196" s="53" t="s">
        <v>1004</v>
      </c>
      <c r="BK196" s="53" t="s">
        <v>1005</v>
      </c>
      <c r="BL196" s="53" t="s">
        <v>1063</v>
      </c>
      <c r="BM196" s="53">
        <v>1</v>
      </c>
      <c r="BN196" s="83">
        <v>46088</v>
      </c>
      <c r="BO196" s="53"/>
      <c r="BP196" s="53"/>
    </row>
    <row r="197" spans="3:68" ht="14.25" hidden="1" customHeight="1">
      <c r="C197" s="82" t="s">
        <v>13</v>
      </c>
      <c r="D197" s="82" t="s">
        <v>1305</v>
      </c>
      <c r="E197" s="82" t="s">
        <v>1306</v>
      </c>
      <c r="F197" s="82" t="s">
        <v>1296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6"/>
        <v>1</v>
      </c>
      <c r="M197" s="26">
        <f t="shared" si="20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67">
        <f>SUMIFS([1]Up!$J:$J,[1]Up!$D:$D,D197)</f>
        <v>0</v>
      </c>
      <c r="BF197" s="82"/>
      <c r="BG197" s="82" t="str">
        <f t="shared" si="27"/>
        <v>PL20</v>
      </c>
      <c r="BH197" s="53" t="str">
        <f t="shared" si="28"/>
        <v/>
      </c>
      <c r="BI197" s="53" t="s">
        <v>148</v>
      </c>
      <c r="BJ197" s="53" t="s">
        <v>1099</v>
      </c>
      <c r="BK197" s="53" t="s">
        <v>1100</v>
      </c>
      <c r="BL197" s="53" t="s">
        <v>1307</v>
      </c>
      <c r="BM197" s="53">
        <v>1</v>
      </c>
      <c r="BN197" s="83">
        <v>46242</v>
      </c>
      <c r="BO197" s="53"/>
      <c r="BP197" s="53"/>
    </row>
    <row r="198" spans="3:68" ht="14.25" hidden="1" customHeight="1">
      <c r="C198" s="82" t="s">
        <v>13</v>
      </c>
      <c r="D198" s="82" t="s">
        <v>1308</v>
      </c>
      <c r="E198" s="82" t="s">
        <v>1104</v>
      </c>
      <c r="F198" s="82" t="s">
        <v>1296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6"/>
        <v>1</v>
      </c>
      <c r="M198" s="26">
        <f t="shared" si="20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67">
        <f>SUMIFS([1]Up!$J:$J,[1]Up!$D:$D,D198)</f>
        <v>0</v>
      </c>
      <c r="BF198" s="82"/>
      <c r="BG198" s="82" t="str">
        <f t="shared" si="27"/>
        <v>PL20</v>
      </c>
      <c r="BH198" s="53" t="str">
        <f t="shared" si="28"/>
        <v/>
      </c>
      <c r="BI198" s="53" t="s">
        <v>148</v>
      </c>
      <c r="BJ198" s="53" t="s">
        <v>1099</v>
      </c>
      <c r="BK198" s="53" t="s">
        <v>1100</v>
      </c>
      <c r="BL198" s="53" t="s">
        <v>1307</v>
      </c>
      <c r="BM198" s="53">
        <v>1</v>
      </c>
      <c r="BN198" s="83">
        <v>46242</v>
      </c>
      <c r="BO198" s="53"/>
      <c r="BP198" s="53"/>
    </row>
    <row r="199" spans="3:68" ht="14.25" hidden="1" customHeight="1">
      <c r="C199" s="82" t="s">
        <v>13</v>
      </c>
      <c r="D199" s="82" t="s">
        <v>1309</v>
      </c>
      <c r="E199" s="82" t="s">
        <v>1310</v>
      </c>
      <c r="F199" s="82" t="s">
        <v>1296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6"/>
        <v>1</v>
      </c>
      <c r="M199" s="26">
        <f t="shared" si="20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67">
        <f>SUMIFS([1]Up!$J:$J,[1]Up!$D:$D,D199)</f>
        <v>0</v>
      </c>
      <c r="BF199" s="82"/>
      <c r="BG199" s="82" t="str">
        <f t="shared" si="27"/>
        <v>PL10</v>
      </c>
      <c r="BH199" s="53" t="str">
        <f t="shared" si="28"/>
        <v/>
      </c>
      <c r="BI199" s="53" t="s">
        <v>148</v>
      </c>
      <c r="BJ199" s="53" t="s">
        <v>1004</v>
      </c>
      <c r="BK199" s="53" t="s">
        <v>1005</v>
      </c>
      <c r="BL199" s="53" t="s">
        <v>1063</v>
      </c>
      <c r="BM199" s="53">
        <v>1</v>
      </c>
      <c r="BN199" s="83">
        <v>46088</v>
      </c>
      <c r="BO199" s="53"/>
      <c r="BP199" s="53"/>
    </row>
    <row r="200" spans="3:68" ht="14.25" hidden="1" customHeight="1">
      <c r="C200" s="82" t="s">
        <v>13</v>
      </c>
      <c r="D200" s="82" t="s">
        <v>1311</v>
      </c>
      <c r="E200" s="82" t="s">
        <v>1106</v>
      </c>
      <c r="F200" s="82" t="s">
        <v>1296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6"/>
        <v>2</v>
      </c>
      <c r="M200" s="26">
        <f t="shared" si="20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67">
        <f>SUMIFS([1]Up!$J:$J,[1]Up!$D:$D,D200)</f>
        <v>0</v>
      </c>
      <c r="BF200" s="82"/>
      <c r="BG200" s="82" t="str">
        <f t="shared" si="27"/>
        <v>PL5</v>
      </c>
      <c r="BH200" s="53" t="str">
        <f t="shared" si="28"/>
        <v/>
      </c>
      <c r="BI200" s="53" t="s">
        <v>148</v>
      </c>
      <c r="BJ200" s="53" t="s">
        <v>1107</v>
      </c>
      <c r="BK200" s="53" t="s">
        <v>956</v>
      </c>
      <c r="BL200" s="53" t="s">
        <v>1312</v>
      </c>
      <c r="BM200" s="53">
        <v>2</v>
      </c>
      <c r="BN200" s="83" t="s">
        <v>2222</v>
      </c>
      <c r="BO200" s="53"/>
      <c r="BP200" s="53"/>
    </row>
    <row r="201" spans="3:68" ht="14.25" hidden="1" customHeight="1">
      <c r="C201" s="82" t="s">
        <v>13</v>
      </c>
      <c r="D201" s="82" t="s">
        <v>1313</v>
      </c>
      <c r="E201" s="82" t="s">
        <v>1030</v>
      </c>
      <c r="F201" s="82" t="s">
        <v>1296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6"/>
        <v>4</v>
      </c>
      <c r="M201" s="26">
        <f t="shared" si="20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67">
        <f>SUMIFS([1]Up!$J:$J,[1]Up!$D:$D,D201)</f>
        <v>0</v>
      </c>
      <c r="BF201" s="82"/>
      <c r="BG201" s="82" t="str">
        <f t="shared" si="27"/>
        <v>PL12</v>
      </c>
      <c r="BH201" s="53" t="str">
        <f t="shared" si="28"/>
        <v/>
      </c>
      <c r="BI201" s="53" t="s">
        <v>148</v>
      </c>
      <c r="BJ201" s="53" t="s">
        <v>1020</v>
      </c>
      <c r="BK201" s="53" t="s">
        <v>1021</v>
      </c>
      <c r="BL201" s="53" t="s">
        <v>1022</v>
      </c>
      <c r="BM201" s="53">
        <v>4</v>
      </c>
      <c r="BN201" s="83">
        <v>46088</v>
      </c>
      <c r="BO201" s="53"/>
      <c r="BP201" s="53"/>
    </row>
    <row r="202" spans="3:68" ht="14.25" hidden="1" customHeight="1">
      <c r="C202" s="82" t="s">
        <v>13</v>
      </c>
      <c r="D202" s="82" t="s">
        <v>1314</v>
      </c>
      <c r="E202" s="82" t="s">
        <v>1030</v>
      </c>
      <c r="F202" s="82" t="s">
        <v>1076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6"/>
        <v>2</v>
      </c>
      <c r="M202" s="26">
        <f t="shared" si="20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67">
        <f>SUMIFS([1]Up!$J:$J,[1]Up!$D:$D,D202)</f>
        <v>0</v>
      </c>
      <c r="BF202" s="82"/>
      <c r="BG202" s="82" t="str">
        <f t="shared" si="27"/>
        <v>PL12</v>
      </c>
      <c r="BH202" s="53" t="str">
        <f t="shared" si="28"/>
        <v/>
      </c>
      <c r="BI202" s="53" t="s">
        <v>148</v>
      </c>
      <c r="BJ202" s="53" t="s">
        <v>1020</v>
      </c>
      <c r="BK202" s="53" t="s">
        <v>1021</v>
      </c>
      <c r="BL202" s="53" t="s">
        <v>1022</v>
      </c>
      <c r="BM202" s="53">
        <v>2</v>
      </c>
      <c r="BN202" s="83">
        <v>46088</v>
      </c>
      <c r="BO202" s="53"/>
      <c r="BP202" s="53"/>
    </row>
    <row r="203" spans="3:68" ht="14.25" hidden="1" customHeight="1">
      <c r="C203" s="82" t="s">
        <v>13</v>
      </c>
      <c r="D203" s="82" t="s">
        <v>1315</v>
      </c>
      <c r="E203" s="82" t="s">
        <v>1316</v>
      </c>
      <c r="F203" s="82" t="s">
        <v>1296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6"/>
        <v>1</v>
      </c>
      <c r="M203" s="26">
        <f t="shared" si="20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67">
        <f>SUMIFS([1]Up!$J:$J,[1]Up!$D:$D,D203)</f>
        <v>0</v>
      </c>
      <c r="BF203" s="82"/>
      <c r="BG203" s="82" t="str">
        <f t="shared" si="27"/>
        <v>PL20</v>
      </c>
      <c r="BH203" s="53" t="str">
        <f t="shared" si="28"/>
        <v/>
      </c>
      <c r="BI203" s="53" t="s">
        <v>148</v>
      </c>
      <c r="BJ203" s="53" t="s">
        <v>1099</v>
      </c>
      <c r="BK203" s="53" t="s">
        <v>1100</v>
      </c>
      <c r="BL203" s="53" t="s">
        <v>1317</v>
      </c>
      <c r="BM203" s="53">
        <v>1</v>
      </c>
      <c r="BN203" s="83">
        <v>46242</v>
      </c>
      <c r="BO203" s="53"/>
      <c r="BP203" s="53"/>
    </row>
    <row r="204" spans="3:68" ht="14.25" hidden="1" customHeight="1">
      <c r="C204" s="82" t="s">
        <v>13</v>
      </c>
      <c r="D204" s="82" t="s">
        <v>1318</v>
      </c>
      <c r="E204" s="82" t="s">
        <v>1319</v>
      </c>
      <c r="F204" s="82" t="s">
        <v>1296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6"/>
        <v>2</v>
      </c>
      <c r="M204" s="26">
        <f t="shared" si="20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67">
        <f>SUMIFS([1]Up!$J:$J,[1]Up!$D:$D,D204)</f>
        <v>0</v>
      </c>
      <c r="BF204" s="82"/>
      <c r="BG204" s="82" t="str">
        <f t="shared" si="27"/>
        <v>PL12</v>
      </c>
      <c r="BH204" s="53" t="str">
        <f t="shared" si="28"/>
        <v/>
      </c>
      <c r="BI204" s="53" t="s">
        <v>148</v>
      </c>
      <c r="BJ204" s="53" t="s">
        <v>1020</v>
      </c>
      <c r="BK204" s="53" t="s">
        <v>1021</v>
      </c>
      <c r="BL204" s="53" t="s">
        <v>1022</v>
      </c>
      <c r="BM204" s="53">
        <v>2</v>
      </c>
      <c r="BN204" s="83">
        <v>46088</v>
      </c>
      <c r="BO204" s="53"/>
      <c r="BP204" s="53"/>
    </row>
    <row r="205" spans="3:68" ht="14.25" hidden="1" customHeight="1">
      <c r="C205" s="82" t="s">
        <v>13</v>
      </c>
      <c r="D205" s="82" t="s">
        <v>1320</v>
      </c>
      <c r="E205" s="82" t="s">
        <v>1096</v>
      </c>
      <c r="F205" s="82" t="s">
        <v>1296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6"/>
        <v>2</v>
      </c>
      <c r="M205" s="26">
        <f t="shared" si="20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>
        <v>2</v>
      </c>
      <c r="BE205" s="67">
        <f>SUMIFS([1]Up!$J:$J,[1]Up!$D:$D,D205)</f>
        <v>0</v>
      </c>
      <c r="BF205" s="82"/>
      <c r="BG205" s="82" t="str">
        <f t="shared" si="27"/>
        <v>PL10</v>
      </c>
      <c r="BH205" s="53" t="str">
        <f t="shared" si="28"/>
        <v/>
      </c>
      <c r="BI205" s="53" t="s">
        <v>154</v>
      </c>
      <c r="BJ205" s="53" t="s">
        <v>1004</v>
      </c>
      <c r="BK205" s="53" t="s">
        <v>1005</v>
      </c>
      <c r="BL205" s="53" t="s">
        <v>1063</v>
      </c>
      <c r="BM205" s="53">
        <v>2</v>
      </c>
      <c r="BN205" s="83">
        <v>46088</v>
      </c>
      <c r="BO205" s="53"/>
      <c r="BP205" s="53"/>
    </row>
    <row r="206" spans="3:68" ht="14.25" hidden="1" customHeight="1">
      <c r="C206" s="82" t="s">
        <v>13</v>
      </c>
      <c r="D206" s="82" t="s">
        <v>1321</v>
      </c>
      <c r="E206" s="82" t="s">
        <v>1293</v>
      </c>
      <c r="F206" s="82" t="s">
        <v>1084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6"/>
        <v>1</v>
      </c>
      <c r="M206" s="26">
        <f t="shared" si="20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67">
        <f>SUMIFS([1]Up!$J:$J,[1]Up!$D:$D,D206)</f>
        <v>0</v>
      </c>
      <c r="BF206" s="82" t="s">
        <v>2070</v>
      </c>
      <c r="BG206" s="82" t="str">
        <f t="shared" si="27"/>
        <v>PL12</v>
      </c>
      <c r="BH206" s="53" t="str">
        <f t="shared" si="28"/>
        <v>Thừa 4</v>
      </c>
      <c r="BI206" s="53" t="s">
        <v>154</v>
      </c>
      <c r="BJ206" s="53" t="s">
        <v>1020</v>
      </c>
      <c r="BK206" s="53" t="s">
        <v>1021</v>
      </c>
      <c r="BL206" s="53" t="s">
        <v>57</v>
      </c>
      <c r="BM206" s="53">
        <v>1</v>
      </c>
      <c r="BN206" s="83"/>
      <c r="BO206" s="53"/>
      <c r="BP206" s="53"/>
    </row>
    <row r="207" spans="3:68" ht="14.25" hidden="1" customHeight="1">
      <c r="C207" s="82" t="s">
        <v>13</v>
      </c>
      <c r="D207" s="82" t="s">
        <v>1322</v>
      </c>
      <c r="E207" s="82" t="s">
        <v>1323</v>
      </c>
      <c r="F207" s="82" t="s">
        <v>1296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6"/>
        <v>2</v>
      </c>
      <c r="M207" s="26">
        <f t="shared" si="20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67">
        <f>SUMIFS([1]Up!$J:$J,[1]Up!$D:$D,D207)</f>
        <v>0</v>
      </c>
      <c r="BF207" s="82"/>
      <c r="BG207" s="82" t="str">
        <f t="shared" si="27"/>
        <v>PL12</v>
      </c>
      <c r="BH207" s="53" t="str">
        <f t="shared" si="28"/>
        <v/>
      </c>
      <c r="BI207" s="53" t="s">
        <v>148</v>
      </c>
      <c r="BJ207" s="53" t="s">
        <v>1020</v>
      </c>
      <c r="BK207" s="53" t="s">
        <v>1021</v>
      </c>
      <c r="BL207" s="53" t="s">
        <v>1022</v>
      </c>
      <c r="BM207" s="53">
        <v>2</v>
      </c>
      <c r="BN207" s="83">
        <v>46088</v>
      </c>
      <c r="BO207" s="53"/>
      <c r="BP207" s="53"/>
    </row>
    <row r="208" spans="3:68" ht="14.25" hidden="1" customHeight="1">
      <c r="C208" s="82" t="s">
        <v>13</v>
      </c>
      <c r="D208" s="82" t="s">
        <v>1324</v>
      </c>
      <c r="E208" s="82" t="s">
        <v>1325</v>
      </c>
      <c r="F208" s="82" t="s">
        <v>1296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6"/>
        <v>2</v>
      </c>
      <c r="M208" s="26">
        <f t="shared" si="20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67">
        <f>SUMIFS([1]Up!$J:$J,[1]Up!$D:$D,D208)</f>
        <v>0</v>
      </c>
      <c r="BF208" s="82"/>
      <c r="BG208" s="82" t="str">
        <f t="shared" si="27"/>
        <v>PL12</v>
      </c>
      <c r="BH208" s="53" t="str">
        <f t="shared" si="28"/>
        <v/>
      </c>
      <c r="BI208" s="53" t="s">
        <v>148</v>
      </c>
      <c r="BJ208" s="53" t="s">
        <v>1020</v>
      </c>
      <c r="BK208" s="53" t="s">
        <v>1021</v>
      </c>
      <c r="BL208" s="53" t="s">
        <v>1022</v>
      </c>
      <c r="BM208" s="53">
        <v>2</v>
      </c>
      <c r="BN208" s="83">
        <v>46088</v>
      </c>
      <c r="BO208" s="53"/>
      <c r="BP208" s="53"/>
    </row>
    <row r="209" spans="3:68" ht="14.25" hidden="1" customHeight="1">
      <c r="C209" s="82" t="s">
        <v>13</v>
      </c>
      <c r="D209" s="82" t="s">
        <v>1326</v>
      </c>
      <c r="E209" s="82" t="s">
        <v>1327</v>
      </c>
      <c r="F209" s="82" t="s">
        <v>1296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6"/>
        <v>2</v>
      </c>
      <c r="M209" s="26">
        <f t="shared" si="20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67">
        <f>SUMIFS([1]Up!$J:$J,[1]Up!$D:$D,D209)</f>
        <v>0</v>
      </c>
      <c r="BF209" s="82"/>
      <c r="BG209" s="82" t="str">
        <f t="shared" si="27"/>
        <v>PL15</v>
      </c>
      <c r="BH209" s="53" t="str">
        <f t="shared" si="28"/>
        <v/>
      </c>
      <c r="BI209" s="53" t="s">
        <v>148</v>
      </c>
      <c r="BJ209" s="53" t="s">
        <v>1093</v>
      </c>
      <c r="BK209" s="53" t="s">
        <v>1094</v>
      </c>
      <c r="BL209" s="53" t="s">
        <v>1303</v>
      </c>
      <c r="BM209" s="53">
        <v>2</v>
      </c>
      <c r="BN209" s="83">
        <v>46088</v>
      </c>
      <c r="BO209" s="53"/>
      <c r="BP209" s="53"/>
    </row>
    <row r="210" spans="3:68" ht="14.25" hidden="1" customHeight="1">
      <c r="C210" s="82" t="s">
        <v>13</v>
      </c>
      <c r="D210" s="82" t="s">
        <v>1328</v>
      </c>
      <c r="E210" s="82" t="s">
        <v>1329</v>
      </c>
      <c r="F210" s="82" t="s">
        <v>1296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6"/>
        <v>1</v>
      </c>
      <c r="M210" s="26">
        <f t="shared" si="20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67">
        <f>SUMIFS([1]Up!$J:$J,[1]Up!$D:$D,D210)</f>
        <v>0</v>
      </c>
      <c r="BF210" s="82"/>
      <c r="BG210" s="82" t="str">
        <f t="shared" si="27"/>
        <v>PL15</v>
      </c>
      <c r="BH210" s="53" t="str">
        <f t="shared" si="28"/>
        <v/>
      </c>
      <c r="BI210" s="53" t="s">
        <v>148</v>
      </c>
      <c r="BJ210" s="53" t="s">
        <v>1093</v>
      </c>
      <c r="BK210" s="53" t="s">
        <v>1094</v>
      </c>
      <c r="BL210" s="53" t="s">
        <v>1303</v>
      </c>
      <c r="BM210" s="53">
        <v>1</v>
      </c>
      <c r="BN210" s="83">
        <v>46088</v>
      </c>
      <c r="BO210" s="53"/>
      <c r="BP210" s="53"/>
    </row>
    <row r="211" spans="3:68" ht="14.25" hidden="1" customHeight="1">
      <c r="C211" s="82" t="s">
        <v>13</v>
      </c>
      <c r="D211" s="82" t="s">
        <v>1330</v>
      </c>
      <c r="E211" s="82" t="s">
        <v>1319</v>
      </c>
      <c r="F211" s="82" t="s">
        <v>1296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6"/>
        <v>4</v>
      </c>
      <c r="M211" s="26">
        <f t="shared" si="20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67">
        <f>SUMIFS([1]Up!$J:$J,[1]Up!$D:$D,D211)</f>
        <v>0</v>
      </c>
      <c r="BF211" s="82"/>
      <c r="BG211" s="82" t="str">
        <f t="shared" si="27"/>
        <v>PL12</v>
      </c>
      <c r="BH211" s="53" t="str">
        <f t="shared" si="28"/>
        <v/>
      </c>
      <c r="BI211" s="53" t="s">
        <v>148</v>
      </c>
      <c r="BJ211" s="53" t="s">
        <v>1020</v>
      </c>
      <c r="BK211" s="53" t="s">
        <v>1021</v>
      </c>
      <c r="BL211" s="53" t="s">
        <v>1022</v>
      </c>
      <c r="BM211" s="53">
        <v>4</v>
      </c>
      <c r="BN211" s="83">
        <v>46088</v>
      </c>
      <c r="BO211" s="53"/>
      <c r="BP211" s="53"/>
    </row>
    <row r="212" spans="3:68" ht="14.25" hidden="1" customHeight="1">
      <c r="C212" s="82" t="s">
        <v>13</v>
      </c>
      <c r="D212" s="82" t="s">
        <v>1331</v>
      </c>
      <c r="E212" s="82" t="s">
        <v>1293</v>
      </c>
      <c r="F212" s="82" t="s">
        <v>1084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6"/>
        <v>1</v>
      </c>
      <c r="M212" s="26">
        <f t="shared" si="20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67">
        <f>SUMIFS([1]Up!$J:$J,[1]Up!$D:$D,D212)</f>
        <v>0</v>
      </c>
      <c r="BF212" s="82" t="s">
        <v>2070</v>
      </c>
      <c r="BG212" s="82" t="str">
        <f t="shared" si="27"/>
        <v>PL12</v>
      </c>
      <c r="BH212" s="53" t="str">
        <f t="shared" si="28"/>
        <v>Thừa 4</v>
      </c>
      <c r="BI212" s="53" t="s">
        <v>154</v>
      </c>
      <c r="BJ212" s="53" t="s">
        <v>1020</v>
      </c>
      <c r="BK212" s="53" t="s">
        <v>1021</v>
      </c>
      <c r="BL212" s="53" t="s">
        <v>57</v>
      </c>
      <c r="BM212" s="53">
        <v>1</v>
      </c>
      <c r="BN212" s="83"/>
      <c r="BO212" s="53"/>
      <c r="BP212" s="53"/>
    </row>
    <row r="213" spans="3:68" ht="14.25" hidden="1" customHeight="1">
      <c r="C213" s="82" t="s">
        <v>13</v>
      </c>
      <c r="D213" s="82" t="s">
        <v>1332</v>
      </c>
      <c r="E213" s="82" t="s">
        <v>1125</v>
      </c>
      <c r="F213" s="82" t="s">
        <v>1296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6"/>
        <v>2</v>
      </c>
      <c r="M213" s="26">
        <f t="shared" si="20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67">
        <f>SUMIFS([1]Up!$J:$J,[1]Up!$D:$D,D213)</f>
        <v>0</v>
      </c>
      <c r="BF213" s="82"/>
      <c r="BG213" s="82" t="str">
        <f t="shared" si="27"/>
        <v>PL15</v>
      </c>
      <c r="BH213" s="53" t="str">
        <f t="shared" si="28"/>
        <v/>
      </c>
      <c r="BI213" s="53" t="s">
        <v>148</v>
      </c>
      <c r="BJ213" s="53" t="s">
        <v>1093</v>
      </c>
      <c r="BK213" s="53" t="s">
        <v>1094</v>
      </c>
      <c r="BL213" s="53" t="s">
        <v>1303</v>
      </c>
      <c r="BM213" s="53">
        <v>2</v>
      </c>
      <c r="BN213" s="83">
        <v>46088</v>
      </c>
      <c r="BO213" s="53"/>
      <c r="BP213" s="53"/>
    </row>
    <row r="214" spans="3:68" ht="14.25" hidden="1" customHeight="1">
      <c r="C214" s="82" t="s">
        <v>13</v>
      </c>
      <c r="D214" s="82" t="s">
        <v>1333</v>
      </c>
      <c r="E214" s="82" t="s">
        <v>1123</v>
      </c>
      <c r="F214" s="82" t="s">
        <v>1296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6"/>
        <v>2</v>
      </c>
      <c r="M214" s="26">
        <f t="shared" si="20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67">
        <f>SUMIFS([1]Up!$J:$J,[1]Up!$D:$D,D214)</f>
        <v>0</v>
      </c>
      <c r="BF214" s="82"/>
      <c r="BG214" s="82" t="str">
        <f t="shared" si="27"/>
        <v>PL20</v>
      </c>
      <c r="BH214" s="53" t="str">
        <f t="shared" si="28"/>
        <v/>
      </c>
      <c r="BI214" s="53" t="s">
        <v>148</v>
      </c>
      <c r="BJ214" s="53" t="s">
        <v>1099</v>
      </c>
      <c r="BK214" s="53" t="s">
        <v>1100</v>
      </c>
      <c r="BL214" s="53" t="s">
        <v>1307</v>
      </c>
      <c r="BM214" s="53">
        <v>2</v>
      </c>
      <c r="BN214" s="83">
        <v>46242</v>
      </c>
      <c r="BO214" s="53"/>
      <c r="BP214" s="53"/>
    </row>
    <row r="215" spans="3:68" ht="14.25" hidden="1" customHeight="1">
      <c r="C215" s="82" t="s">
        <v>13</v>
      </c>
      <c r="D215" s="82" t="s">
        <v>1334</v>
      </c>
      <c r="E215" s="82" t="s">
        <v>1335</v>
      </c>
      <c r="F215" s="82" t="s">
        <v>1296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6"/>
        <v>1</v>
      </c>
      <c r="M215" s="26">
        <f t="shared" si="20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67">
        <f>SUMIFS([1]Up!$J:$J,[1]Up!$D:$D,D215)</f>
        <v>0</v>
      </c>
      <c r="BF215" s="82"/>
      <c r="BG215" s="82" t="str">
        <f t="shared" si="27"/>
        <v>PL20</v>
      </c>
      <c r="BH215" s="53" t="str">
        <f t="shared" si="28"/>
        <v/>
      </c>
      <c r="BI215" s="53" t="s">
        <v>148</v>
      </c>
      <c r="BJ215" s="53" t="s">
        <v>1099</v>
      </c>
      <c r="BK215" s="53" t="s">
        <v>1100</v>
      </c>
      <c r="BL215" s="53" t="s">
        <v>1317</v>
      </c>
      <c r="BM215" s="53">
        <v>1</v>
      </c>
      <c r="BN215" s="83">
        <v>46242</v>
      </c>
      <c r="BO215" s="53"/>
      <c r="BP215" s="53"/>
    </row>
    <row r="216" spans="3:68" ht="14.25" hidden="1" customHeight="1">
      <c r="C216" s="82" t="s">
        <v>11</v>
      </c>
      <c r="D216" s="82" t="s">
        <v>1336</v>
      </c>
      <c r="E216" s="82" t="s">
        <v>1080</v>
      </c>
      <c r="F216" s="82" t="s">
        <v>1076</v>
      </c>
      <c r="G216" s="82">
        <v>737</v>
      </c>
      <c r="H216" s="82" t="s">
        <v>1077</v>
      </c>
      <c r="I216" s="82">
        <v>5</v>
      </c>
      <c r="J216" s="82">
        <v>2.1</v>
      </c>
      <c r="K216" s="82">
        <v>10.5</v>
      </c>
      <c r="L216" s="26">
        <f t="shared" si="26"/>
        <v>5</v>
      </c>
      <c r="M216" s="26">
        <f t="shared" si="20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67">
        <f>SUMIFS([1]Up!$J:$J,[1]Up!$D:$D,D216)</f>
        <v>0</v>
      </c>
      <c r="BF216" s="82"/>
      <c r="BG216" s="82" t="str">
        <f t="shared" si="27"/>
        <v/>
      </c>
      <c r="BH216" s="53" t="str">
        <f t="shared" si="28"/>
        <v/>
      </c>
      <c r="BI216" s="53" t="s">
        <v>154</v>
      </c>
      <c r="BJ216" s="53" t="s">
        <v>1081</v>
      </c>
      <c r="BK216" s="53" t="s">
        <v>1080</v>
      </c>
      <c r="BL216" s="53" t="s">
        <v>1291</v>
      </c>
      <c r="BM216" s="53">
        <v>5</v>
      </c>
      <c r="BN216" s="83">
        <v>46362</v>
      </c>
      <c r="BO216" s="53"/>
      <c r="BP216" s="53"/>
    </row>
    <row r="217" spans="3:68" ht="14.25" hidden="1" customHeight="1">
      <c r="C217" s="82" t="s">
        <v>11</v>
      </c>
      <c r="D217" s="82" t="s">
        <v>1337</v>
      </c>
      <c r="E217" s="82" t="s">
        <v>1128</v>
      </c>
      <c r="F217" s="82" t="s">
        <v>1129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6"/>
        <v>1</v>
      </c>
      <c r="M217" s="26">
        <f t="shared" si="20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67">
        <f>SUMIFS([1]Up!$J:$J,[1]Up!$D:$D,D217)</f>
        <v>0</v>
      </c>
      <c r="BF217" s="82"/>
      <c r="BG217" s="82" t="str">
        <f t="shared" si="27"/>
        <v/>
      </c>
      <c r="BH217" s="53" t="str">
        <f t="shared" si="28"/>
        <v/>
      </c>
      <c r="BI217" s="53" t="s">
        <v>154</v>
      </c>
      <c r="BJ217" s="53"/>
      <c r="BK217" s="53" t="s">
        <v>1128</v>
      </c>
      <c r="BL217" s="53" t="s">
        <v>1338</v>
      </c>
      <c r="BM217" s="53">
        <v>1</v>
      </c>
      <c r="BN217" s="83" t="s">
        <v>2223</v>
      </c>
      <c r="BO217" s="53"/>
      <c r="BP217" s="53"/>
    </row>
    <row r="218" spans="3:68" ht="14.25" hidden="1" customHeight="1">
      <c r="C218" s="82" t="s">
        <v>13</v>
      </c>
      <c r="D218" s="82" t="s">
        <v>1339</v>
      </c>
      <c r="E218" s="82" t="s">
        <v>1293</v>
      </c>
      <c r="F218" s="82" t="s">
        <v>1084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6"/>
        <v>1</v>
      </c>
      <c r="M218" s="26">
        <f t="shared" si="20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67">
        <f>SUMIFS([1]Up!$J:$J,[1]Up!$D:$D,D218)</f>
        <v>0</v>
      </c>
      <c r="BF218" s="82" t="s">
        <v>2084</v>
      </c>
      <c r="BG218" s="82" t="str">
        <f t="shared" si="27"/>
        <v>PL12</v>
      </c>
      <c r="BH218" s="53" t="str">
        <f t="shared" si="28"/>
        <v>Thừa 4</v>
      </c>
      <c r="BI218" s="53" t="s">
        <v>154</v>
      </c>
      <c r="BJ218" s="53" t="s">
        <v>1020</v>
      </c>
      <c r="BK218" s="53" t="s">
        <v>1021</v>
      </c>
      <c r="BL218" s="53" t="s">
        <v>57</v>
      </c>
      <c r="BM218" s="53">
        <v>1</v>
      </c>
      <c r="BN218" s="83"/>
      <c r="BO218" s="53"/>
      <c r="BP218" s="53"/>
    </row>
    <row r="219" spans="3:68" ht="14.25" hidden="1" customHeight="1">
      <c r="C219" s="82" t="s">
        <v>13</v>
      </c>
      <c r="D219" s="82" t="s">
        <v>1340</v>
      </c>
      <c r="E219" s="82" t="s">
        <v>1316</v>
      </c>
      <c r="F219" s="82" t="s">
        <v>1296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6"/>
        <v>1</v>
      </c>
      <c r="M219" s="26">
        <f t="shared" si="20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67">
        <f>SUMIFS([1]Up!$J:$J,[1]Up!$D:$D,D219)</f>
        <v>0</v>
      </c>
      <c r="BF219" s="82"/>
      <c r="BG219" s="82" t="str">
        <f t="shared" si="27"/>
        <v>PL20</v>
      </c>
      <c r="BH219" s="53" t="str">
        <f t="shared" si="28"/>
        <v/>
      </c>
      <c r="BI219" s="53" t="s">
        <v>148</v>
      </c>
      <c r="BJ219" s="53" t="s">
        <v>1099</v>
      </c>
      <c r="BK219" s="53" t="s">
        <v>1100</v>
      </c>
      <c r="BL219" s="53" t="s">
        <v>1317</v>
      </c>
      <c r="BM219" s="53">
        <v>1</v>
      </c>
      <c r="BN219" s="83">
        <v>46242</v>
      </c>
      <c r="BO219" s="53"/>
      <c r="BP219" s="53"/>
    </row>
    <row r="220" spans="3:68" ht="14.25" hidden="1" customHeight="1">
      <c r="C220" s="82" t="s">
        <v>13</v>
      </c>
      <c r="D220" s="82" t="s">
        <v>1341</v>
      </c>
      <c r="E220" s="82" t="s">
        <v>1319</v>
      </c>
      <c r="F220" s="82" t="s">
        <v>1296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6"/>
        <v>4</v>
      </c>
      <c r="M220" s="26">
        <f t="shared" si="20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67">
        <f>SUMIFS([1]Up!$J:$J,[1]Up!$D:$D,D220)</f>
        <v>0</v>
      </c>
      <c r="BF220" s="82"/>
      <c r="BG220" s="82" t="str">
        <f t="shared" si="27"/>
        <v>PL12</v>
      </c>
      <c r="BH220" s="53" t="str">
        <f t="shared" si="28"/>
        <v/>
      </c>
      <c r="BI220" s="53" t="s">
        <v>148</v>
      </c>
      <c r="BJ220" s="53" t="s">
        <v>1020</v>
      </c>
      <c r="BK220" s="53" t="s">
        <v>1021</v>
      </c>
      <c r="BL220" s="53" t="s">
        <v>1022</v>
      </c>
      <c r="BM220" s="53">
        <v>4</v>
      </c>
      <c r="BN220" s="83">
        <v>46088</v>
      </c>
      <c r="BO220" s="53"/>
      <c r="BP220" s="53"/>
    </row>
    <row r="221" spans="3:68" ht="14.25" hidden="1" customHeight="1">
      <c r="C221" s="82" t="s">
        <v>13</v>
      </c>
      <c r="D221" s="82" t="s">
        <v>1342</v>
      </c>
      <c r="E221" s="82" t="s">
        <v>1343</v>
      </c>
      <c r="F221" s="82" t="s">
        <v>1076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6"/>
        <v>1</v>
      </c>
      <c r="M221" s="26">
        <f t="shared" si="20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>
        <v>1</v>
      </c>
      <c r="BE221" s="67">
        <f>SUMIFS([1]Up!$J:$J,[1]Up!$D:$D,D221)</f>
        <v>0</v>
      </c>
      <c r="BF221" s="82"/>
      <c r="BG221" s="82" t="str">
        <f t="shared" si="27"/>
        <v>PL10</v>
      </c>
      <c r="BH221" s="53" t="str">
        <f t="shared" si="28"/>
        <v/>
      </c>
      <c r="BI221" s="53" t="s">
        <v>154</v>
      </c>
      <c r="BJ221" s="53" t="s">
        <v>1004</v>
      </c>
      <c r="BK221" s="53" t="s">
        <v>1005</v>
      </c>
      <c r="BL221" s="53" t="s">
        <v>1344</v>
      </c>
      <c r="BM221" s="53">
        <v>1</v>
      </c>
      <c r="BN221" s="83" t="s">
        <v>2223</v>
      </c>
      <c r="BO221" s="53"/>
      <c r="BP221" s="53"/>
    </row>
    <row r="222" spans="3:68" ht="14.25" hidden="1" customHeight="1">
      <c r="C222" s="82" t="s">
        <v>13</v>
      </c>
      <c r="D222" s="82" t="s">
        <v>1345</v>
      </c>
      <c r="E222" s="82" t="s">
        <v>1346</v>
      </c>
      <c r="F222" s="82" t="s">
        <v>1076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9">MIN(SUM(N222:BD222),I222)</f>
        <v>1</v>
      </c>
      <c r="M222" s="26">
        <f t="shared" si="20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>
        <v>1</v>
      </c>
      <c r="BE222" s="67">
        <f>SUMIFS([1]Up!$J:$J,[1]Up!$D:$D,D222)</f>
        <v>0</v>
      </c>
      <c r="BF222" s="82"/>
      <c r="BG222" s="82" t="str">
        <f t="shared" ref="BG222:BG285" si="30">IFERROR(IF(C222="Plate",LEFT(E222,FIND("*",E222,1)-1),""),IF(C222="Plate",LEFT(E222,FIND("x",E222,1)-1),""))</f>
        <v>PL10</v>
      </c>
      <c r="BH222" s="53" t="str">
        <f t="shared" ref="BH222:BH285" si="31">IF(ROUND(SUM(N222:BD222)-I222,0)&gt;0,"Thừa "&amp;SUM(N222:BD222)-I222,"")</f>
        <v/>
      </c>
      <c r="BI222" s="53" t="s">
        <v>154</v>
      </c>
      <c r="BJ222" s="53" t="s">
        <v>1004</v>
      </c>
      <c r="BK222" s="53" t="s">
        <v>1005</v>
      </c>
      <c r="BL222" s="53" t="s">
        <v>1344</v>
      </c>
      <c r="BM222" s="53">
        <v>1</v>
      </c>
      <c r="BN222" s="83" t="s">
        <v>2223</v>
      </c>
      <c r="BO222" s="53"/>
      <c r="BP222" s="53"/>
    </row>
    <row r="223" spans="3:68" ht="14.25" hidden="1" customHeight="1">
      <c r="C223" s="82" t="s">
        <v>13</v>
      </c>
      <c r="D223" s="82" t="s">
        <v>1347</v>
      </c>
      <c r="E223" s="82" t="s">
        <v>1096</v>
      </c>
      <c r="F223" s="82" t="s">
        <v>1296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9"/>
        <v>1</v>
      </c>
      <c r="M223" s="26">
        <f t="shared" si="20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>
        <v>1</v>
      </c>
      <c r="BE223" s="67">
        <f>SUMIFS([1]Up!$J:$J,[1]Up!$D:$D,D223)</f>
        <v>0</v>
      </c>
      <c r="BF223" s="82"/>
      <c r="BG223" s="82" t="str">
        <f t="shared" si="30"/>
        <v>PL10</v>
      </c>
      <c r="BH223" s="53" t="str">
        <f t="shared" si="31"/>
        <v/>
      </c>
      <c r="BI223" s="53" t="s">
        <v>154</v>
      </c>
      <c r="BJ223" s="53" t="s">
        <v>1004</v>
      </c>
      <c r="BK223" s="53" t="s">
        <v>1005</v>
      </c>
      <c r="BL223" s="53" t="s">
        <v>1063</v>
      </c>
      <c r="BM223" s="53">
        <v>1</v>
      </c>
      <c r="BN223" s="83">
        <v>46088</v>
      </c>
      <c r="BO223" s="53"/>
      <c r="BP223" s="53"/>
    </row>
    <row r="224" spans="3:68" ht="14.25" hidden="1" customHeight="1">
      <c r="C224" s="82" t="s">
        <v>13</v>
      </c>
      <c r="D224" s="82" t="s">
        <v>1348</v>
      </c>
      <c r="E224" s="82" t="s">
        <v>1349</v>
      </c>
      <c r="F224" s="82" t="s">
        <v>1296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9"/>
        <v>2</v>
      </c>
      <c r="M224" s="26">
        <f t="shared" si="20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67">
        <f>SUMIFS([1]Up!$J:$J,[1]Up!$D:$D,D224)</f>
        <v>0</v>
      </c>
      <c r="BF224" s="82"/>
      <c r="BG224" s="82" t="str">
        <f t="shared" si="30"/>
        <v>PL10</v>
      </c>
      <c r="BH224" s="53" t="str">
        <f t="shared" si="31"/>
        <v/>
      </c>
      <c r="BI224" s="53" t="s">
        <v>148</v>
      </c>
      <c r="BJ224" s="53" t="s">
        <v>1004</v>
      </c>
      <c r="BK224" s="53" t="s">
        <v>1005</v>
      </c>
      <c r="BL224" s="53" t="s">
        <v>1063</v>
      </c>
      <c r="BM224" s="53">
        <v>2</v>
      </c>
      <c r="BN224" s="83">
        <v>46088</v>
      </c>
      <c r="BO224" s="53"/>
      <c r="BP224" s="53"/>
    </row>
    <row r="225" spans="3:69" ht="14.25" hidden="1" customHeight="1">
      <c r="C225" s="82" t="s">
        <v>13</v>
      </c>
      <c r="D225" s="82" t="s">
        <v>1350</v>
      </c>
      <c r="E225" s="82" t="s">
        <v>1134</v>
      </c>
      <c r="F225" s="82" t="s">
        <v>1296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9"/>
        <v>1</v>
      </c>
      <c r="M225" s="26">
        <f t="shared" si="20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67">
        <f>SUMIFS([1]Up!$J:$J,[1]Up!$D:$D,D225)</f>
        <v>0</v>
      </c>
      <c r="BF225" s="82"/>
      <c r="BG225" s="82" t="str">
        <f t="shared" si="30"/>
        <v>PL10</v>
      </c>
      <c r="BH225" s="53" t="str">
        <f t="shared" si="31"/>
        <v/>
      </c>
      <c r="BI225" s="53" t="s">
        <v>148</v>
      </c>
      <c r="BJ225" s="53" t="s">
        <v>1004</v>
      </c>
      <c r="BK225" s="53" t="s">
        <v>1005</v>
      </c>
      <c r="BL225" s="53" t="s">
        <v>1063</v>
      </c>
      <c r="BM225" s="53">
        <v>1</v>
      </c>
      <c r="BN225" s="83">
        <v>46088</v>
      </c>
      <c r="BO225" s="53"/>
      <c r="BP225" s="53"/>
    </row>
    <row r="226" spans="3:69" ht="14.25" hidden="1" customHeight="1">
      <c r="C226" s="82" t="s">
        <v>13</v>
      </c>
      <c r="D226" s="82" t="s">
        <v>1351</v>
      </c>
      <c r="E226" s="82" t="s">
        <v>1352</v>
      </c>
      <c r="F226" s="82" t="s">
        <v>1296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9"/>
        <v>1</v>
      </c>
      <c r="M226" s="26">
        <f t="shared" si="20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67">
        <f>SUMIFS([1]Up!$J:$J,[1]Up!$D:$D,D226)</f>
        <v>0</v>
      </c>
      <c r="BF226" s="82"/>
      <c r="BG226" s="82" t="str">
        <f t="shared" si="30"/>
        <v>PL15</v>
      </c>
      <c r="BH226" s="53" t="str">
        <f t="shared" si="31"/>
        <v/>
      </c>
      <c r="BI226" s="53" t="s">
        <v>148</v>
      </c>
      <c r="BJ226" s="53" t="s">
        <v>1093</v>
      </c>
      <c r="BK226" s="53" t="s">
        <v>1094</v>
      </c>
      <c r="BL226" s="53" t="s">
        <v>1303</v>
      </c>
      <c r="BM226" s="53">
        <v>1</v>
      </c>
      <c r="BN226" s="83">
        <v>46088</v>
      </c>
      <c r="BO226" s="53"/>
      <c r="BP226" s="53"/>
    </row>
    <row r="227" spans="3:69" ht="14.25" hidden="1" customHeight="1">
      <c r="C227" s="82" t="s">
        <v>13</v>
      </c>
      <c r="D227" s="82" t="s">
        <v>1353</v>
      </c>
      <c r="E227" s="82" t="s">
        <v>1354</v>
      </c>
      <c r="F227" s="82" t="s">
        <v>1296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9"/>
        <v>1</v>
      </c>
      <c r="M227" s="26">
        <f t="shared" si="20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67">
        <f>SUMIFS([1]Up!$J:$J,[1]Up!$D:$D,D227)</f>
        <v>0</v>
      </c>
      <c r="BF227" s="82"/>
      <c r="BG227" s="82" t="str">
        <f t="shared" si="30"/>
        <v>PL15</v>
      </c>
      <c r="BH227" s="53" t="str">
        <f t="shared" si="31"/>
        <v/>
      </c>
      <c r="BI227" s="53" t="s">
        <v>148</v>
      </c>
      <c r="BJ227" s="53" t="s">
        <v>1093</v>
      </c>
      <c r="BK227" s="53" t="s">
        <v>1094</v>
      </c>
      <c r="BL227" s="53" t="s">
        <v>1303</v>
      </c>
      <c r="BM227" s="53">
        <v>1</v>
      </c>
      <c r="BN227" s="83">
        <v>46088</v>
      </c>
      <c r="BO227" s="53"/>
      <c r="BP227" s="53"/>
    </row>
    <row r="228" spans="3:69" ht="14.25" hidden="1" customHeight="1">
      <c r="C228" s="82" t="s">
        <v>13</v>
      </c>
      <c r="D228" s="82" t="s">
        <v>1355</v>
      </c>
      <c r="E228" s="82" t="s">
        <v>1138</v>
      </c>
      <c r="F228" s="82" t="s">
        <v>1296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9"/>
        <v>1</v>
      </c>
      <c r="M228" s="26">
        <f t="shared" si="20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67">
        <f>SUMIFS([1]Up!$J:$J,[1]Up!$D:$D,D228)</f>
        <v>0</v>
      </c>
      <c r="BF228" s="82"/>
      <c r="BG228" s="82" t="str">
        <f t="shared" si="30"/>
        <v>PL10</v>
      </c>
      <c r="BH228" s="53" t="str">
        <f t="shared" si="31"/>
        <v/>
      </c>
      <c r="BI228" s="53" t="s">
        <v>154</v>
      </c>
      <c r="BJ228" s="53" t="s">
        <v>1004</v>
      </c>
      <c r="BK228" s="53" t="s">
        <v>1005</v>
      </c>
      <c r="BL228" s="53" t="s">
        <v>1063</v>
      </c>
      <c r="BM228" s="53">
        <v>1</v>
      </c>
      <c r="BN228" s="83">
        <v>46088</v>
      </c>
      <c r="BO228" s="53"/>
      <c r="BP228" s="53"/>
    </row>
    <row r="229" spans="3:69" ht="14.25" hidden="1" customHeight="1">
      <c r="C229" s="82" t="s">
        <v>11</v>
      </c>
      <c r="D229" s="82" t="s">
        <v>1356</v>
      </c>
      <c r="E229" s="82" t="s">
        <v>1075</v>
      </c>
      <c r="F229" s="82" t="s">
        <v>1076</v>
      </c>
      <c r="G229" s="82">
        <v>812</v>
      </c>
      <c r="H229" s="82" t="s">
        <v>1077</v>
      </c>
      <c r="I229" s="82">
        <v>8</v>
      </c>
      <c r="J229" s="82">
        <v>13.05696</v>
      </c>
      <c r="K229" s="82">
        <v>104.45568</v>
      </c>
      <c r="L229" s="26">
        <f t="shared" si="29"/>
        <v>4</v>
      </c>
      <c r="M229" s="26">
        <f t="shared" si="20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26"/>
      <c r="AZ229" s="26"/>
      <c r="BA229" s="26"/>
      <c r="BB229" s="26"/>
      <c r="BC229" s="26"/>
      <c r="BD229" s="26"/>
      <c r="BE229" s="67">
        <f>SUMIFS([1]Up!$J:$J,[1]Up!$D:$D,D229)</f>
        <v>0</v>
      </c>
      <c r="BF229" s="82"/>
      <c r="BG229" s="82" t="str">
        <f t="shared" si="30"/>
        <v/>
      </c>
      <c r="BH229" s="53" t="str">
        <f t="shared" si="31"/>
        <v/>
      </c>
      <c r="BI229" s="53" t="s">
        <v>148</v>
      </c>
      <c r="BJ229" s="53" t="s">
        <v>1078</v>
      </c>
      <c r="BK229" s="53" t="s">
        <v>1075</v>
      </c>
      <c r="BL229" s="84" t="s">
        <v>2161</v>
      </c>
      <c r="BM229" s="53">
        <v>16</v>
      </c>
      <c r="BN229" s="83" t="s">
        <v>2224</v>
      </c>
      <c r="BO229" s="53"/>
      <c r="BP229" s="53"/>
      <c r="BQ229" s="238"/>
    </row>
    <row r="230" spans="3:69" ht="14.25" hidden="1" customHeight="1">
      <c r="C230" s="82" t="s">
        <v>11</v>
      </c>
      <c r="D230" s="82" t="s">
        <v>1357</v>
      </c>
      <c r="E230" s="82" t="s">
        <v>1080</v>
      </c>
      <c r="F230" s="82" t="s">
        <v>1076</v>
      </c>
      <c r="G230" s="82">
        <v>737</v>
      </c>
      <c r="H230" s="82" t="s">
        <v>1077</v>
      </c>
      <c r="I230" s="82">
        <v>4</v>
      </c>
      <c r="J230" s="82">
        <v>2.1</v>
      </c>
      <c r="K230" s="82">
        <v>8.4</v>
      </c>
      <c r="L230" s="26">
        <f t="shared" si="29"/>
        <v>0</v>
      </c>
      <c r="M230" s="26">
        <f t="shared" si="20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67">
        <f>SUMIFS([1]Up!$J:$J,[1]Up!$D:$D,D230)</f>
        <v>0</v>
      </c>
      <c r="BF230" s="82"/>
      <c r="BG230" s="82" t="str">
        <f t="shared" si="30"/>
        <v/>
      </c>
      <c r="BH230" s="53" t="str">
        <f t="shared" si="31"/>
        <v/>
      </c>
      <c r="BI230" s="53" t="s">
        <v>154</v>
      </c>
      <c r="BJ230" s="53" t="s">
        <v>1081</v>
      </c>
      <c r="BK230" s="53" t="s">
        <v>1080</v>
      </c>
      <c r="BL230" s="84" t="s">
        <v>2162</v>
      </c>
      <c r="BM230" s="53">
        <v>8</v>
      </c>
      <c r="BN230" s="83" t="s">
        <v>2224</v>
      </c>
      <c r="BO230" s="53"/>
      <c r="BP230" s="53"/>
      <c r="BQ230" s="238"/>
    </row>
    <row r="231" spans="3:69" ht="14.25" hidden="1" customHeight="1">
      <c r="C231" s="82" t="s">
        <v>13</v>
      </c>
      <c r="D231" s="82" t="s">
        <v>1358</v>
      </c>
      <c r="E231" s="82" t="s">
        <v>1293</v>
      </c>
      <c r="F231" s="82" t="s">
        <v>1084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9"/>
        <v>0</v>
      </c>
      <c r="M231" s="26">
        <f t="shared" si="20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67">
        <f>SUMIFS([1]Up!$J:$J,[1]Up!$D:$D,D231)</f>
        <v>0</v>
      </c>
      <c r="BF231" s="82"/>
      <c r="BG231" s="82" t="str">
        <f t="shared" si="30"/>
        <v>PL12</v>
      </c>
      <c r="BH231" s="53" t="str">
        <f t="shared" si="31"/>
        <v/>
      </c>
      <c r="BI231" s="53" t="s">
        <v>154</v>
      </c>
      <c r="BJ231" s="53" t="s">
        <v>1020</v>
      </c>
      <c r="BK231" s="53" t="s">
        <v>1021</v>
      </c>
      <c r="BL231" s="53" t="s">
        <v>57</v>
      </c>
      <c r="BM231" s="53">
        <v>4</v>
      </c>
      <c r="BN231" s="83"/>
      <c r="BO231" s="53"/>
      <c r="BP231" s="53"/>
    </row>
    <row r="232" spans="3:69" ht="14.25" hidden="1" customHeight="1">
      <c r="C232" s="82" t="s">
        <v>13</v>
      </c>
      <c r="D232" s="82" t="s">
        <v>1359</v>
      </c>
      <c r="E232" s="82" t="s">
        <v>1295</v>
      </c>
      <c r="F232" s="82" t="s">
        <v>1296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9"/>
        <v>3</v>
      </c>
      <c r="M232" s="26">
        <f t="shared" si="20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26"/>
      <c r="AZ232" s="26"/>
      <c r="BA232" s="26"/>
      <c r="BB232" s="26">
        <v>1</v>
      </c>
      <c r="BC232" s="26"/>
      <c r="BD232" s="26"/>
      <c r="BE232" s="67">
        <f>SUMIFS([1]Up!$J:$J,[1]Up!$D:$D,D232)</f>
        <v>1</v>
      </c>
      <c r="BF232" s="82"/>
      <c r="BG232" s="82" t="str">
        <f t="shared" si="30"/>
        <v>PL10</v>
      </c>
      <c r="BH232" s="53" t="str">
        <f t="shared" si="31"/>
        <v/>
      </c>
      <c r="BI232" s="53" t="s">
        <v>148</v>
      </c>
      <c r="BJ232" s="53" t="s">
        <v>1004</v>
      </c>
      <c r="BK232" s="53" t="s">
        <v>1005</v>
      </c>
      <c r="BL232" s="84" t="s">
        <v>2156</v>
      </c>
      <c r="BM232" s="53">
        <v>8</v>
      </c>
      <c r="BN232" s="83">
        <v>46302</v>
      </c>
      <c r="BO232" s="53"/>
      <c r="BP232" s="53"/>
      <c r="BQ232" s="238"/>
    </row>
    <row r="233" spans="3:69" ht="14.25" hidden="1" customHeight="1">
      <c r="C233" s="82" t="s">
        <v>13</v>
      </c>
      <c r="D233" s="82" t="s">
        <v>1360</v>
      </c>
      <c r="E233" s="82" t="s">
        <v>1298</v>
      </c>
      <c r="F233" s="82" t="s">
        <v>1296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9"/>
        <v>4</v>
      </c>
      <c r="M233" s="26">
        <f t="shared" si="20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67">
        <f>SUMIFS([1]Up!$J:$J,[1]Up!$D:$D,D233)</f>
        <v>0</v>
      </c>
      <c r="BF233" s="82"/>
      <c r="BG233" s="82" t="str">
        <f t="shared" si="30"/>
        <v>PL12</v>
      </c>
      <c r="BH233" s="53" t="str">
        <f t="shared" si="31"/>
        <v/>
      </c>
      <c r="BI233" s="53" t="s">
        <v>148</v>
      </c>
      <c r="BJ233" s="53" t="s">
        <v>1020</v>
      </c>
      <c r="BK233" s="53" t="s">
        <v>1021</v>
      </c>
      <c r="BL233" s="84" t="s">
        <v>2159</v>
      </c>
      <c r="BM233" s="53">
        <v>16</v>
      </c>
      <c r="BN233" s="83">
        <v>46302</v>
      </c>
      <c r="BO233" s="53"/>
      <c r="BP233" s="53"/>
      <c r="BQ233" s="238"/>
    </row>
    <row r="234" spans="3:69" ht="14.25" hidden="1" customHeight="1">
      <c r="C234" s="82" t="s">
        <v>13</v>
      </c>
      <c r="D234" s="82" t="s">
        <v>1361</v>
      </c>
      <c r="E234" s="82" t="s">
        <v>1298</v>
      </c>
      <c r="F234" s="82" t="s">
        <v>1296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9"/>
        <v>4</v>
      </c>
      <c r="M234" s="26">
        <f t="shared" si="20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67">
        <f>SUMIFS([1]Up!$J:$J,[1]Up!$D:$D,D234)</f>
        <v>0</v>
      </c>
      <c r="BF234" s="82"/>
      <c r="BG234" s="82" t="str">
        <f t="shared" si="30"/>
        <v>PL12</v>
      </c>
      <c r="BH234" s="53" t="str">
        <f t="shared" si="31"/>
        <v/>
      </c>
      <c r="BI234" s="53" t="s">
        <v>148</v>
      </c>
      <c r="BJ234" s="53" t="s">
        <v>1020</v>
      </c>
      <c r="BK234" s="53" t="s">
        <v>1021</v>
      </c>
      <c r="BL234" s="84" t="s">
        <v>2159</v>
      </c>
      <c r="BM234" s="53">
        <v>16</v>
      </c>
      <c r="BN234" s="83">
        <v>46302</v>
      </c>
      <c r="BO234" s="53"/>
      <c r="BP234" s="53"/>
      <c r="BQ234" s="238"/>
    </row>
    <row r="235" spans="3:69" ht="14.25" hidden="1" customHeight="1">
      <c r="C235" s="82" t="s">
        <v>13</v>
      </c>
      <c r="D235" s="82" t="s">
        <v>1362</v>
      </c>
      <c r="E235" s="82" t="s">
        <v>1090</v>
      </c>
      <c r="F235" s="82" t="s">
        <v>1296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9"/>
        <v>8</v>
      </c>
      <c r="M235" s="26">
        <f t="shared" si="20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26"/>
      <c r="AZ235" s="26"/>
      <c r="BA235" s="26"/>
      <c r="BB235" s="26"/>
      <c r="BC235" s="26"/>
      <c r="BD235" s="26"/>
      <c r="BE235" s="67">
        <f>SUMIFS([1]Up!$J:$J,[1]Up!$D:$D,D235)</f>
        <v>0</v>
      </c>
      <c r="BF235" s="82"/>
      <c r="BG235" s="82" t="str">
        <f t="shared" si="30"/>
        <v>PL16</v>
      </c>
      <c r="BH235" s="53" t="str">
        <f t="shared" si="31"/>
        <v/>
      </c>
      <c r="BI235" s="53" t="s">
        <v>148</v>
      </c>
      <c r="BJ235" s="53" t="s">
        <v>987</v>
      </c>
      <c r="BK235" s="53" t="s">
        <v>988</v>
      </c>
      <c r="BL235" s="84" t="s">
        <v>2160</v>
      </c>
      <c r="BM235" s="53">
        <v>32</v>
      </c>
      <c r="BN235" s="83" t="s">
        <v>2225</v>
      </c>
      <c r="BO235" s="53"/>
      <c r="BP235" s="53"/>
      <c r="BQ235" s="238"/>
    </row>
    <row r="236" spans="3:69" ht="14.25" hidden="1" customHeight="1">
      <c r="C236" s="82" t="s">
        <v>13</v>
      </c>
      <c r="D236" s="82" t="s">
        <v>1363</v>
      </c>
      <c r="E236" s="82" t="s">
        <v>1302</v>
      </c>
      <c r="F236" s="82" t="s">
        <v>1296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9"/>
        <v>2</v>
      </c>
      <c r="M236" s="26">
        <f t="shared" si="20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26"/>
      <c r="AZ236" s="26"/>
      <c r="BA236" s="26"/>
      <c r="BB236" s="26"/>
      <c r="BC236" s="26"/>
      <c r="BD236" s="26"/>
      <c r="BE236" s="67">
        <f>SUMIFS([1]Up!$J:$J,[1]Up!$D:$D,D236)</f>
        <v>0</v>
      </c>
      <c r="BF236" s="82"/>
      <c r="BG236" s="82" t="str">
        <f t="shared" si="30"/>
        <v>PL15</v>
      </c>
      <c r="BH236" s="53" t="str">
        <f t="shared" si="31"/>
        <v/>
      </c>
      <c r="BI236" s="53" t="s">
        <v>148</v>
      </c>
      <c r="BJ236" s="53" t="s">
        <v>1093</v>
      </c>
      <c r="BK236" s="53" t="s">
        <v>1094</v>
      </c>
      <c r="BL236" s="84" t="s">
        <v>2155</v>
      </c>
      <c r="BM236" s="53">
        <v>8</v>
      </c>
      <c r="BN236" s="83" t="s">
        <v>2224</v>
      </c>
      <c r="BO236" s="53"/>
      <c r="BP236" s="53"/>
      <c r="BQ236" s="238"/>
    </row>
    <row r="237" spans="3:69" ht="14.25" hidden="1" customHeight="1">
      <c r="C237" s="82" t="s">
        <v>13</v>
      </c>
      <c r="D237" s="82" t="s">
        <v>1364</v>
      </c>
      <c r="E237" s="82" t="s">
        <v>1096</v>
      </c>
      <c r="F237" s="82" t="s">
        <v>1296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9"/>
        <v>1</v>
      </c>
      <c r="M237" s="26">
        <f t="shared" si="20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>
        <v>1</v>
      </c>
      <c r="BA237" s="26"/>
      <c r="BB237" s="26"/>
      <c r="BC237" s="26"/>
      <c r="BD237" s="26"/>
      <c r="BE237" s="67">
        <f>SUMIFS([1]Up!$J:$J,[1]Up!$D:$D,D237)</f>
        <v>0</v>
      </c>
      <c r="BF237" s="82"/>
      <c r="BG237" s="82" t="str">
        <f t="shared" si="30"/>
        <v>PL10</v>
      </c>
      <c r="BH237" s="53" t="str">
        <f t="shared" si="31"/>
        <v/>
      </c>
      <c r="BI237" s="53" t="s">
        <v>154</v>
      </c>
      <c r="BJ237" s="53" t="s">
        <v>1004</v>
      </c>
      <c r="BK237" s="53" t="s">
        <v>1005</v>
      </c>
      <c r="BL237" s="84" t="s">
        <v>2156</v>
      </c>
      <c r="BM237" s="53">
        <v>4</v>
      </c>
      <c r="BN237" s="83">
        <v>46302</v>
      </c>
      <c r="BO237" s="53"/>
      <c r="BP237" s="53"/>
      <c r="BQ237" s="238"/>
    </row>
    <row r="238" spans="3:69" ht="14.25" hidden="1" customHeight="1">
      <c r="C238" s="82" t="s">
        <v>13</v>
      </c>
      <c r="D238" s="82" t="s">
        <v>1365</v>
      </c>
      <c r="E238" s="82" t="s">
        <v>1306</v>
      </c>
      <c r="F238" s="82" t="s">
        <v>1296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9"/>
        <v>1</v>
      </c>
      <c r="M238" s="26">
        <f t="shared" si="20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67">
        <f>SUMIFS([1]Up!$J:$J,[1]Up!$D:$D,D238)</f>
        <v>0</v>
      </c>
      <c r="BF238" s="82"/>
      <c r="BG238" s="82" t="str">
        <f t="shared" si="30"/>
        <v>PL20</v>
      </c>
      <c r="BH238" s="53" t="str">
        <f t="shared" si="31"/>
        <v/>
      </c>
      <c r="BI238" s="53" t="s">
        <v>148</v>
      </c>
      <c r="BJ238" s="53" t="s">
        <v>1099</v>
      </c>
      <c r="BK238" s="53" t="s">
        <v>1100</v>
      </c>
      <c r="BL238" s="84" t="s">
        <v>2157</v>
      </c>
      <c r="BM238" s="53">
        <v>4</v>
      </c>
      <c r="BN238" s="83">
        <v>46242</v>
      </c>
      <c r="BO238" s="53"/>
      <c r="BP238" s="53"/>
      <c r="BQ238" s="238"/>
    </row>
    <row r="239" spans="3:69" ht="14.25" hidden="1" customHeight="1">
      <c r="C239" s="82" t="s">
        <v>13</v>
      </c>
      <c r="D239" s="82" t="s">
        <v>1366</v>
      </c>
      <c r="E239" s="82" t="s">
        <v>1104</v>
      </c>
      <c r="F239" s="82" t="s">
        <v>1296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9"/>
        <v>1</v>
      </c>
      <c r="M239" s="26">
        <f t="shared" si="20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67">
        <f>SUMIFS([1]Up!$J:$J,[1]Up!$D:$D,D239)</f>
        <v>0</v>
      </c>
      <c r="BF239" s="82"/>
      <c r="BG239" s="82" t="str">
        <f t="shared" si="30"/>
        <v>PL20</v>
      </c>
      <c r="BH239" s="53" t="str">
        <f t="shared" si="31"/>
        <v/>
      </c>
      <c r="BI239" s="53" t="s">
        <v>148</v>
      </c>
      <c r="BJ239" s="53" t="s">
        <v>1099</v>
      </c>
      <c r="BK239" s="53" t="s">
        <v>1100</v>
      </c>
      <c r="BL239" s="84" t="s">
        <v>2157</v>
      </c>
      <c r="BM239" s="53">
        <v>4</v>
      </c>
      <c r="BN239" s="83">
        <v>46242</v>
      </c>
      <c r="BO239" s="53"/>
      <c r="BP239" s="53"/>
      <c r="BQ239" s="238"/>
    </row>
    <row r="240" spans="3:69" ht="14.25" hidden="1" customHeight="1">
      <c r="C240" s="82" t="s">
        <v>13</v>
      </c>
      <c r="D240" s="82" t="s">
        <v>1367</v>
      </c>
      <c r="E240" s="82" t="s">
        <v>1310</v>
      </c>
      <c r="F240" s="82" t="s">
        <v>1296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9"/>
        <v>1</v>
      </c>
      <c r="M240" s="26">
        <f t="shared" si="20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>
        <v>1</v>
      </c>
      <c r="BB240" s="26"/>
      <c r="BC240" s="26"/>
      <c r="BD240" s="26"/>
      <c r="BE240" s="67">
        <f>SUMIFS([1]Up!$J:$J,[1]Up!$D:$D,D240)</f>
        <v>0</v>
      </c>
      <c r="BF240" s="82"/>
      <c r="BG240" s="82" t="str">
        <f t="shared" si="30"/>
        <v>PL10</v>
      </c>
      <c r="BH240" s="53" t="str">
        <f t="shared" si="31"/>
        <v/>
      </c>
      <c r="BI240" s="53" t="s">
        <v>148</v>
      </c>
      <c r="BJ240" s="53" t="s">
        <v>1004</v>
      </c>
      <c r="BK240" s="53" t="s">
        <v>1005</v>
      </c>
      <c r="BL240" s="84" t="s">
        <v>2156</v>
      </c>
      <c r="BM240" s="53">
        <v>4</v>
      </c>
      <c r="BN240" s="83">
        <v>46302</v>
      </c>
      <c r="BO240" s="53"/>
      <c r="BP240" s="53"/>
      <c r="BQ240" s="238"/>
    </row>
    <row r="241" spans="3:69" ht="14.25" hidden="1" customHeight="1">
      <c r="C241" s="82" t="s">
        <v>13</v>
      </c>
      <c r="D241" s="82" t="s">
        <v>1368</v>
      </c>
      <c r="E241" s="82" t="s">
        <v>1106</v>
      </c>
      <c r="F241" s="82" t="s">
        <v>1296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9"/>
        <v>0</v>
      </c>
      <c r="M241" s="26">
        <f t="shared" si="20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67">
        <f>SUMIFS([1]Up!$J:$J,[1]Up!$D:$D,D241)</f>
        <v>0</v>
      </c>
      <c r="BF241" s="82"/>
      <c r="BG241" s="82" t="str">
        <f t="shared" si="30"/>
        <v>PL5</v>
      </c>
      <c r="BH241" s="53" t="str">
        <f t="shared" si="31"/>
        <v/>
      </c>
      <c r="BI241" s="53" t="s">
        <v>148</v>
      </c>
      <c r="BJ241" s="53" t="s">
        <v>1107</v>
      </c>
      <c r="BK241" s="53" t="s">
        <v>956</v>
      </c>
      <c r="BL241" s="84" t="s">
        <v>2158</v>
      </c>
      <c r="BM241" s="53">
        <v>8</v>
      </c>
      <c r="BN241" s="83">
        <v>46302</v>
      </c>
      <c r="BO241" s="53"/>
      <c r="BP241" s="53"/>
      <c r="BQ241" s="238"/>
    </row>
    <row r="242" spans="3:69" ht="14.25" hidden="1" customHeight="1">
      <c r="C242" s="82" t="s">
        <v>13</v>
      </c>
      <c r="D242" s="82" t="s">
        <v>1369</v>
      </c>
      <c r="E242" s="82" t="s">
        <v>1030</v>
      </c>
      <c r="F242" s="82" t="s">
        <v>1296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9"/>
        <v>4</v>
      </c>
      <c r="M242" s="26">
        <f t="shared" si="20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67">
        <f>SUMIFS([1]Up!$J:$J,[1]Up!$D:$D,D242)</f>
        <v>0</v>
      </c>
      <c r="BF242" s="82"/>
      <c r="BG242" s="82" t="str">
        <f t="shared" si="30"/>
        <v>PL12</v>
      </c>
      <c r="BH242" s="53" t="str">
        <f t="shared" si="31"/>
        <v/>
      </c>
      <c r="BI242" s="53" t="s">
        <v>148</v>
      </c>
      <c r="BJ242" s="53" t="s">
        <v>1020</v>
      </c>
      <c r="BK242" s="53" t="s">
        <v>1021</v>
      </c>
      <c r="BL242" s="84" t="s">
        <v>2159</v>
      </c>
      <c r="BM242" s="53">
        <v>16</v>
      </c>
      <c r="BN242" s="83">
        <v>46302</v>
      </c>
      <c r="BO242" s="53"/>
      <c r="BP242" s="53"/>
      <c r="BQ242" s="238"/>
    </row>
    <row r="243" spans="3:69" ht="14.25" hidden="1" customHeight="1">
      <c r="C243" s="82" t="s">
        <v>13</v>
      </c>
      <c r="D243" s="82" t="s">
        <v>1370</v>
      </c>
      <c r="E243" s="82" t="s">
        <v>1030</v>
      </c>
      <c r="F243" s="82" t="s">
        <v>1076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9"/>
        <v>2</v>
      </c>
      <c r="M243" s="26">
        <f t="shared" si="20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67">
        <f>SUMIFS([1]Up!$J:$J,[1]Up!$D:$D,D243)</f>
        <v>0</v>
      </c>
      <c r="BF243" s="82"/>
      <c r="BG243" s="82" t="str">
        <f t="shared" si="30"/>
        <v>PL12</v>
      </c>
      <c r="BH243" s="53" t="str">
        <f t="shared" si="31"/>
        <v/>
      </c>
      <c r="BI243" s="53" t="s">
        <v>148</v>
      </c>
      <c r="BJ243" s="53" t="s">
        <v>1020</v>
      </c>
      <c r="BK243" s="53" t="s">
        <v>1021</v>
      </c>
      <c r="BL243" s="84" t="s">
        <v>2159</v>
      </c>
      <c r="BM243" s="53">
        <v>8</v>
      </c>
      <c r="BN243" s="83">
        <v>46302</v>
      </c>
      <c r="BO243" s="53"/>
      <c r="BP243" s="53"/>
      <c r="BQ243" s="238"/>
    </row>
    <row r="244" spans="3:69" ht="14.25" hidden="1" customHeight="1">
      <c r="C244" s="82" t="s">
        <v>13</v>
      </c>
      <c r="D244" s="82" t="s">
        <v>1371</v>
      </c>
      <c r="E244" s="82" t="s">
        <v>1335</v>
      </c>
      <c r="F244" s="82" t="s">
        <v>1296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9"/>
        <v>10</v>
      </c>
      <c r="M244" s="26">
        <f t="shared" si="20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67">
        <f>SUMIFS([1]Up!$J:$J,[1]Up!$D:$D,D244)</f>
        <v>0</v>
      </c>
      <c r="BF244" s="82"/>
      <c r="BG244" s="82" t="str">
        <f t="shared" si="30"/>
        <v>PL20</v>
      </c>
      <c r="BH244" s="53" t="str">
        <f t="shared" si="31"/>
        <v/>
      </c>
      <c r="BI244" s="53" t="s">
        <v>148</v>
      </c>
      <c r="BJ244" s="53" t="s">
        <v>1099</v>
      </c>
      <c r="BK244" s="53" t="s">
        <v>1100</v>
      </c>
      <c r="BL244" s="53" t="s">
        <v>2166</v>
      </c>
      <c r="BM244" s="53">
        <v>4</v>
      </c>
      <c r="BN244" s="83" t="s">
        <v>2226</v>
      </c>
      <c r="BO244" s="53"/>
      <c r="BP244" s="53"/>
    </row>
    <row r="245" spans="3:69" ht="14.25" hidden="1" customHeight="1">
      <c r="C245" s="82" t="s">
        <v>13</v>
      </c>
      <c r="D245" s="82" t="s">
        <v>1372</v>
      </c>
      <c r="E245" s="82" t="s">
        <v>1293</v>
      </c>
      <c r="F245" s="82" t="s">
        <v>1084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9"/>
        <v>2</v>
      </c>
      <c r="M245" s="26">
        <f t="shared" si="20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67">
        <f>SUMIFS([1]Up!$J:$J,[1]Up!$D:$D,D245)</f>
        <v>0</v>
      </c>
      <c r="BF245" s="82" t="s">
        <v>2084</v>
      </c>
      <c r="BG245" s="82" t="str">
        <f t="shared" si="30"/>
        <v>PL12</v>
      </c>
      <c r="BH245" s="53" t="str">
        <f t="shared" si="31"/>
        <v>Thừa 3</v>
      </c>
      <c r="BI245" s="53" t="s">
        <v>154</v>
      </c>
      <c r="BJ245" s="53" t="s">
        <v>1020</v>
      </c>
      <c r="BK245" s="53" t="s">
        <v>1021</v>
      </c>
      <c r="BL245" s="53" t="s">
        <v>57</v>
      </c>
      <c r="BM245" s="53">
        <v>4</v>
      </c>
      <c r="BN245" s="83"/>
      <c r="BO245" s="53"/>
      <c r="BP245" s="53"/>
    </row>
    <row r="246" spans="3:69" ht="14.25" hidden="1" customHeight="1">
      <c r="C246" s="82" t="s">
        <v>13</v>
      </c>
      <c r="D246" s="82" t="s">
        <v>1373</v>
      </c>
      <c r="E246" s="82" t="s">
        <v>1125</v>
      </c>
      <c r="F246" s="82" t="s">
        <v>1296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9"/>
        <v>4</v>
      </c>
      <c r="M246" s="26">
        <f t="shared" si="20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26"/>
      <c r="AZ246" s="26"/>
      <c r="BA246" s="26"/>
      <c r="BB246" s="26"/>
      <c r="BC246" s="26"/>
      <c r="BD246" s="26"/>
      <c r="BE246" s="67">
        <f>SUMIFS([1]Up!$J:$J,[1]Up!$D:$D,D246)</f>
        <v>0</v>
      </c>
      <c r="BF246" s="82"/>
      <c r="BG246" s="82" t="str">
        <f t="shared" si="30"/>
        <v>PL15</v>
      </c>
      <c r="BH246" s="53" t="str">
        <f t="shared" si="31"/>
        <v/>
      </c>
      <c r="BI246" s="53" t="s">
        <v>148</v>
      </c>
      <c r="BJ246" s="53" t="s">
        <v>1093</v>
      </c>
      <c r="BK246" s="53" t="s">
        <v>1094</v>
      </c>
      <c r="BL246" s="84" t="s">
        <v>2155</v>
      </c>
      <c r="BM246" s="53">
        <v>8</v>
      </c>
      <c r="BN246" s="83" t="s">
        <v>2224</v>
      </c>
      <c r="BO246" s="53"/>
      <c r="BP246" s="53"/>
      <c r="BQ246" s="238"/>
    </row>
    <row r="247" spans="3:69" ht="14.25" hidden="1" customHeight="1">
      <c r="C247" s="82" t="s">
        <v>13</v>
      </c>
      <c r="D247" s="82" t="s">
        <v>1374</v>
      </c>
      <c r="E247" s="82" t="s">
        <v>1123</v>
      </c>
      <c r="F247" s="82" t="s">
        <v>1296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9"/>
        <v>2</v>
      </c>
      <c r="M247" s="26">
        <f t="shared" si="20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67">
        <f>SUMIFS([1]Up!$J:$J,[1]Up!$D:$D,D247)</f>
        <v>0</v>
      </c>
      <c r="BF247" s="82"/>
      <c r="BG247" s="82" t="str">
        <f t="shared" si="30"/>
        <v>PL20</v>
      </c>
      <c r="BH247" s="53" t="str">
        <f t="shared" si="31"/>
        <v/>
      </c>
      <c r="BI247" s="53" t="s">
        <v>148</v>
      </c>
      <c r="BJ247" s="53" t="s">
        <v>1099</v>
      </c>
      <c r="BK247" s="53" t="s">
        <v>1100</v>
      </c>
      <c r="BL247" s="84" t="s">
        <v>2157</v>
      </c>
      <c r="BM247" s="53">
        <v>8</v>
      </c>
      <c r="BN247" s="83">
        <v>46242</v>
      </c>
      <c r="BO247" s="53"/>
      <c r="BP247" s="53"/>
      <c r="BQ247" s="238"/>
    </row>
    <row r="248" spans="3:69" ht="14.25" hidden="1" customHeight="1">
      <c r="C248" s="82" t="s">
        <v>11</v>
      </c>
      <c r="D248" s="82" t="s">
        <v>1375</v>
      </c>
      <c r="E248" s="82" t="s">
        <v>1080</v>
      </c>
      <c r="F248" s="82" t="s">
        <v>1076</v>
      </c>
      <c r="G248" s="82">
        <v>737</v>
      </c>
      <c r="H248" s="82" t="s">
        <v>1077</v>
      </c>
      <c r="I248" s="82">
        <v>10</v>
      </c>
      <c r="J248" s="82">
        <v>2.1</v>
      </c>
      <c r="K248" s="82">
        <v>21</v>
      </c>
      <c r="L248" s="26">
        <f t="shared" si="29"/>
        <v>0</v>
      </c>
      <c r="M248" s="26">
        <f t="shared" si="20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67">
        <f>SUMIFS([1]Up!$J:$J,[1]Up!$D:$D,D248)</f>
        <v>0</v>
      </c>
      <c r="BF248" s="82"/>
      <c r="BG248" s="82" t="str">
        <f t="shared" si="30"/>
        <v/>
      </c>
      <c r="BH248" s="53" t="str">
        <f t="shared" si="31"/>
        <v/>
      </c>
      <c r="BI248" s="53" t="s">
        <v>154</v>
      </c>
      <c r="BJ248" s="53" t="s">
        <v>1081</v>
      </c>
      <c r="BK248" s="53" t="s">
        <v>1080</v>
      </c>
      <c r="BL248" s="84" t="s">
        <v>2162</v>
      </c>
      <c r="BM248" s="53">
        <v>20</v>
      </c>
      <c r="BN248" s="83" t="s">
        <v>2224</v>
      </c>
      <c r="BO248" s="53"/>
      <c r="BP248" s="53"/>
      <c r="BQ248" s="238"/>
    </row>
    <row r="249" spans="3:69" ht="14.25" hidden="1" customHeight="1">
      <c r="C249" s="82" t="s">
        <v>11</v>
      </c>
      <c r="D249" s="82" t="s">
        <v>1376</v>
      </c>
      <c r="E249" s="82" t="s">
        <v>1128</v>
      </c>
      <c r="F249" s="82" t="s">
        <v>1129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9"/>
        <v>0</v>
      </c>
      <c r="M249" s="26">
        <f t="shared" si="20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67">
        <f>SUMIFS([1]Up!$J:$J,[1]Up!$D:$D,D249)</f>
        <v>0</v>
      </c>
      <c r="BF249" s="82"/>
      <c r="BG249" s="82" t="str">
        <f t="shared" si="30"/>
        <v/>
      </c>
      <c r="BH249" s="53" t="str">
        <f t="shared" si="31"/>
        <v/>
      </c>
      <c r="BI249" s="53" t="s">
        <v>154</v>
      </c>
      <c r="BJ249" s="53"/>
      <c r="BK249" s="53" t="s">
        <v>1128</v>
      </c>
      <c r="BL249" s="84" t="s">
        <v>2168</v>
      </c>
      <c r="BM249" s="53">
        <v>4</v>
      </c>
      <c r="BN249" s="83" t="s">
        <v>2224</v>
      </c>
      <c r="BO249" s="53"/>
      <c r="BP249" s="53"/>
      <c r="BQ249" s="238"/>
    </row>
    <row r="250" spans="3:69" ht="14.25" hidden="1" customHeight="1">
      <c r="C250" s="82" t="s">
        <v>13</v>
      </c>
      <c r="D250" s="82" t="s">
        <v>1377</v>
      </c>
      <c r="E250" s="82" t="s">
        <v>1293</v>
      </c>
      <c r="F250" s="82" t="s">
        <v>1084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9"/>
        <v>2</v>
      </c>
      <c r="M250" s="26">
        <f t="shared" si="20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67">
        <f>SUMIFS([1]Up!$J:$J,[1]Up!$D:$D,D250)</f>
        <v>0</v>
      </c>
      <c r="BF250" s="82" t="s">
        <v>2248</v>
      </c>
      <c r="BG250" s="82" t="str">
        <f t="shared" si="30"/>
        <v>PL12</v>
      </c>
      <c r="BH250" s="53" t="str">
        <f t="shared" si="31"/>
        <v>Thừa 2</v>
      </c>
      <c r="BI250" s="53" t="s">
        <v>154</v>
      </c>
      <c r="BJ250" s="53" t="s">
        <v>1020</v>
      </c>
      <c r="BK250" s="53" t="s">
        <v>1021</v>
      </c>
      <c r="BL250" s="53" t="s">
        <v>57</v>
      </c>
      <c r="BM250" s="53">
        <v>4</v>
      </c>
      <c r="BN250" s="83"/>
      <c r="BO250" s="53"/>
      <c r="BP250" s="53"/>
    </row>
    <row r="251" spans="3:69" ht="14.25" hidden="1" customHeight="1">
      <c r="C251" s="82" t="s">
        <v>13</v>
      </c>
      <c r="D251" s="82" t="s">
        <v>1378</v>
      </c>
      <c r="E251" s="82" t="s">
        <v>1316</v>
      </c>
      <c r="F251" s="82" t="s">
        <v>1296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9"/>
        <v>1</v>
      </c>
      <c r="M251" s="26">
        <f t="shared" si="20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67">
        <f>SUMIFS([1]Up!$J:$J,[1]Up!$D:$D,D251)</f>
        <v>0</v>
      </c>
      <c r="BF251" s="82"/>
      <c r="BG251" s="82" t="str">
        <f t="shared" si="30"/>
        <v>PL20</v>
      </c>
      <c r="BH251" s="53" t="str">
        <f t="shared" si="31"/>
        <v/>
      </c>
      <c r="BI251" s="53" t="s">
        <v>148</v>
      </c>
      <c r="BJ251" s="53" t="s">
        <v>1099</v>
      </c>
      <c r="BK251" s="53" t="s">
        <v>1100</v>
      </c>
      <c r="BL251" s="84" t="s">
        <v>2164</v>
      </c>
      <c r="BM251" s="53">
        <v>4</v>
      </c>
      <c r="BN251" s="83">
        <v>46242</v>
      </c>
      <c r="BO251" s="53"/>
      <c r="BP251" s="53"/>
      <c r="BQ251" s="238"/>
    </row>
    <row r="252" spans="3:69" ht="14.25" hidden="1" customHeight="1">
      <c r="C252" s="82" t="s">
        <v>13</v>
      </c>
      <c r="D252" s="82" t="s">
        <v>1379</v>
      </c>
      <c r="E252" s="82" t="s">
        <v>1335</v>
      </c>
      <c r="F252" s="82" t="s">
        <v>1296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9"/>
        <v>8</v>
      </c>
      <c r="M252" s="26">
        <f t="shared" si="20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67">
        <f>SUMIFS([1]Up!$J:$J,[1]Up!$D:$D,D252)</f>
        <v>0</v>
      </c>
      <c r="BF252" s="82"/>
      <c r="BG252" s="82" t="str">
        <f t="shared" si="30"/>
        <v>PL20</v>
      </c>
      <c r="BH252" s="53" t="str">
        <f t="shared" si="31"/>
        <v/>
      </c>
      <c r="BI252" s="53" t="s">
        <v>148</v>
      </c>
      <c r="BJ252" s="53" t="s">
        <v>1020</v>
      </c>
      <c r="BK252" s="53" t="s">
        <v>1021</v>
      </c>
      <c r="BL252" s="84" t="s">
        <v>2166</v>
      </c>
      <c r="BM252" s="53">
        <v>16</v>
      </c>
      <c r="BN252" s="83" t="s">
        <v>2226</v>
      </c>
      <c r="BO252" s="53"/>
      <c r="BP252" s="53"/>
    </row>
    <row r="253" spans="3:69" ht="14.25" hidden="1" customHeight="1">
      <c r="C253" s="82" t="s">
        <v>13</v>
      </c>
      <c r="D253" s="82" t="s">
        <v>1380</v>
      </c>
      <c r="E253" s="82" t="s">
        <v>1343</v>
      </c>
      <c r="F253" s="82" t="s">
        <v>1076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9"/>
        <v>1</v>
      </c>
      <c r="M253" s="26">
        <f t="shared" si="20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>
        <v>1</v>
      </c>
      <c r="BA253" s="26"/>
      <c r="BB253" s="26"/>
      <c r="BC253" s="26"/>
      <c r="BD253" s="26"/>
      <c r="BE253" s="67">
        <f>SUMIFS([1]Up!$J:$J,[1]Up!$D:$D,D253)</f>
        <v>0</v>
      </c>
      <c r="BF253" s="82"/>
      <c r="BG253" s="82" t="str">
        <f t="shared" si="30"/>
        <v>PL10</v>
      </c>
      <c r="BH253" s="53" t="str">
        <f t="shared" si="31"/>
        <v/>
      </c>
      <c r="BI253" s="53" t="s">
        <v>154</v>
      </c>
      <c r="BJ253" s="53" t="s">
        <v>1004</v>
      </c>
      <c r="BK253" s="53" t="s">
        <v>1005</v>
      </c>
      <c r="BL253" s="84" t="s">
        <v>2167</v>
      </c>
      <c r="BM253" s="53">
        <v>4</v>
      </c>
      <c r="BN253" s="83">
        <v>46302</v>
      </c>
      <c r="BO253" s="53"/>
      <c r="BP253" s="53"/>
      <c r="BQ253" s="238"/>
    </row>
    <row r="254" spans="3:69" ht="14.25" hidden="1" customHeight="1">
      <c r="C254" s="82" t="s">
        <v>13</v>
      </c>
      <c r="D254" s="82" t="s">
        <v>1381</v>
      </c>
      <c r="E254" s="82" t="s">
        <v>1346</v>
      </c>
      <c r="F254" s="82" t="s">
        <v>1076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9"/>
        <v>1</v>
      </c>
      <c r="M254" s="26">
        <f t="shared" si="20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>
        <v>1</v>
      </c>
      <c r="BA254" s="26"/>
      <c r="BB254" s="26"/>
      <c r="BC254" s="26"/>
      <c r="BD254" s="26"/>
      <c r="BE254" s="67">
        <f>SUMIFS([1]Up!$J:$J,[1]Up!$D:$D,D254)</f>
        <v>0</v>
      </c>
      <c r="BF254" s="82"/>
      <c r="BG254" s="82" t="str">
        <f t="shared" si="30"/>
        <v>PL10</v>
      </c>
      <c r="BH254" s="53" t="str">
        <f t="shared" si="31"/>
        <v/>
      </c>
      <c r="BI254" s="53" t="s">
        <v>154</v>
      </c>
      <c r="BJ254" s="53" t="s">
        <v>1004</v>
      </c>
      <c r="BK254" s="53" t="s">
        <v>1005</v>
      </c>
      <c r="BL254" s="84" t="s">
        <v>2167</v>
      </c>
      <c r="BM254" s="53">
        <v>4</v>
      </c>
      <c r="BN254" s="83">
        <v>46302</v>
      </c>
      <c r="BO254" s="53"/>
      <c r="BP254" s="53"/>
      <c r="BQ254" s="238"/>
    </row>
    <row r="255" spans="3:69" ht="14.25" hidden="1" customHeight="1">
      <c r="C255" s="82" t="s">
        <v>13</v>
      </c>
      <c r="D255" s="82" t="s">
        <v>1382</v>
      </c>
      <c r="E255" s="82" t="s">
        <v>1096</v>
      </c>
      <c r="F255" s="82" t="s">
        <v>1296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9"/>
        <v>1</v>
      </c>
      <c r="M255" s="26">
        <f t="shared" si="20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>
        <v>1</v>
      </c>
      <c r="BA255" s="26"/>
      <c r="BB255" s="26"/>
      <c r="BC255" s="26"/>
      <c r="BD255" s="26"/>
      <c r="BE255" s="67">
        <f>SUMIFS([1]Up!$J:$J,[1]Up!$D:$D,D255)</f>
        <v>0</v>
      </c>
      <c r="BF255" s="82"/>
      <c r="BG255" s="82" t="str">
        <f t="shared" si="30"/>
        <v>PL10</v>
      </c>
      <c r="BH255" s="53" t="str">
        <f t="shared" si="31"/>
        <v/>
      </c>
      <c r="BI255" s="53" t="s">
        <v>154</v>
      </c>
      <c r="BJ255" s="53" t="s">
        <v>1004</v>
      </c>
      <c r="BK255" s="53" t="s">
        <v>1005</v>
      </c>
      <c r="BL255" s="84" t="s">
        <v>2156</v>
      </c>
      <c r="BM255" s="53">
        <v>4</v>
      </c>
      <c r="BN255" s="83">
        <v>46302</v>
      </c>
      <c r="BO255" s="53"/>
      <c r="BP255" s="53"/>
      <c r="BQ255" s="238"/>
    </row>
    <row r="256" spans="3:69" ht="14.25" hidden="1" customHeight="1">
      <c r="C256" s="82" t="s">
        <v>13</v>
      </c>
      <c r="D256" s="82" t="s">
        <v>1383</v>
      </c>
      <c r="E256" s="82" t="s">
        <v>1349</v>
      </c>
      <c r="F256" s="82" t="s">
        <v>1296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9"/>
        <v>4</v>
      </c>
      <c r="M256" s="26">
        <f t="shared" si="20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26"/>
      <c r="AZ256" s="26"/>
      <c r="BA256" s="26"/>
      <c r="BB256" s="26"/>
      <c r="BC256" s="26"/>
      <c r="BD256" s="26"/>
      <c r="BE256" s="67">
        <f>SUMIFS([1]Up!$J:$J,[1]Up!$D:$D,D256)</f>
        <v>0</v>
      </c>
      <c r="BF256" s="82"/>
      <c r="BG256" s="82" t="str">
        <f t="shared" si="30"/>
        <v>PL10</v>
      </c>
      <c r="BH256" s="53" t="str">
        <f t="shared" si="31"/>
        <v/>
      </c>
      <c r="BI256" s="53" t="s">
        <v>148</v>
      </c>
      <c r="BJ256" s="53" t="s">
        <v>1004</v>
      </c>
      <c r="BK256" s="53" t="s">
        <v>1005</v>
      </c>
      <c r="BL256" s="84" t="s">
        <v>2156</v>
      </c>
      <c r="BM256" s="53">
        <v>8</v>
      </c>
      <c r="BN256" s="83">
        <v>46302</v>
      </c>
      <c r="BO256" s="53"/>
      <c r="BP256" s="53"/>
      <c r="BQ256" s="238"/>
    </row>
    <row r="257" spans="3:69" ht="14.25" hidden="1" customHeight="1">
      <c r="C257" s="82" t="s">
        <v>13</v>
      </c>
      <c r="D257" s="82" t="s">
        <v>1384</v>
      </c>
      <c r="E257" s="82" t="s">
        <v>1134</v>
      </c>
      <c r="F257" s="82" t="s">
        <v>1296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9"/>
        <v>2</v>
      </c>
      <c r="M257" s="26">
        <f t="shared" si="20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26"/>
      <c r="AZ257" s="26"/>
      <c r="BA257" s="26"/>
      <c r="BB257" s="26"/>
      <c r="BC257" s="26"/>
      <c r="BD257" s="26"/>
      <c r="BE257" s="67">
        <f>SUMIFS([1]Up!$J:$J,[1]Up!$D:$D,D257)</f>
        <v>0</v>
      </c>
      <c r="BF257" s="82"/>
      <c r="BG257" s="82" t="str">
        <f t="shared" si="30"/>
        <v>PL10</v>
      </c>
      <c r="BH257" s="53" t="str">
        <f t="shared" si="31"/>
        <v/>
      </c>
      <c r="BI257" s="53" t="s">
        <v>148</v>
      </c>
      <c r="BJ257" s="53" t="s">
        <v>1004</v>
      </c>
      <c r="BK257" s="53" t="s">
        <v>1005</v>
      </c>
      <c r="BL257" s="84" t="s">
        <v>2156</v>
      </c>
      <c r="BM257" s="53">
        <v>4</v>
      </c>
      <c r="BN257" s="83">
        <v>46302</v>
      </c>
      <c r="BO257" s="53"/>
      <c r="BP257" s="53"/>
      <c r="BQ257" s="238"/>
    </row>
    <row r="258" spans="3:69" ht="14.25" hidden="1" customHeight="1">
      <c r="C258" s="82" t="s">
        <v>13</v>
      </c>
      <c r="D258" s="82" t="s">
        <v>1385</v>
      </c>
      <c r="E258" s="82" t="s">
        <v>1352</v>
      </c>
      <c r="F258" s="82" t="s">
        <v>1296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9"/>
        <v>1</v>
      </c>
      <c r="M258" s="26">
        <f t="shared" si="20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26"/>
      <c r="AZ258" s="26"/>
      <c r="BA258" s="26"/>
      <c r="BB258" s="26"/>
      <c r="BC258" s="26"/>
      <c r="BD258" s="26"/>
      <c r="BE258" s="67">
        <f>SUMIFS([1]Up!$J:$J,[1]Up!$D:$D,D258)</f>
        <v>0</v>
      </c>
      <c r="BF258" s="82"/>
      <c r="BG258" s="82" t="str">
        <f t="shared" si="30"/>
        <v>PL15</v>
      </c>
      <c r="BH258" s="53" t="str">
        <f t="shared" si="31"/>
        <v/>
      </c>
      <c r="BI258" s="53" t="s">
        <v>148</v>
      </c>
      <c r="BJ258" s="53" t="s">
        <v>1093</v>
      </c>
      <c r="BK258" s="53" t="s">
        <v>1094</v>
      </c>
      <c r="BL258" s="84" t="s">
        <v>2155</v>
      </c>
      <c r="BM258" s="53">
        <v>4</v>
      </c>
      <c r="BN258" s="83" t="s">
        <v>2224</v>
      </c>
      <c r="BO258" s="53"/>
      <c r="BP258" s="53"/>
      <c r="BQ258" s="238"/>
    </row>
    <row r="259" spans="3:69" ht="14.25" hidden="1" customHeight="1">
      <c r="C259" s="82" t="s">
        <v>13</v>
      </c>
      <c r="D259" s="82" t="s">
        <v>1386</v>
      </c>
      <c r="E259" s="82" t="s">
        <v>1354</v>
      </c>
      <c r="F259" s="82" t="s">
        <v>1296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9"/>
        <v>1</v>
      </c>
      <c r="M259" s="26">
        <f t="shared" si="20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26"/>
      <c r="AZ259" s="26"/>
      <c r="BA259" s="26"/>
      <c r="BB259" s="26"/>
      <c r="BC259" s="26"/>
      <c r="BD259" s="26"/>
      <c r="BE259" s="67">
        <f>SUMIFS([1]Up!$J:$J,[1]Up!$D:$D,D259)</f>
        <v>0</v>
      </c>
      <c r="BF259" s="82"/>
      <c r="BG259" s="82" t="str">
        <f t="shared" si="30"/>
        <v>PL15</v>
      </c>
      <c r="BH259" s="53" t="str">
        <f t="shared" si="31"/>
        <v/>
      </c>
      <c r="BI259" s="53" t="s">
        <v>148</v>
      </c>
      <c r="BJ259" s="53" t="s">
        <v>1093</v>
      </c>
      <c r="BK259" s="53" t="s">
        <v>1094</v>
      </c>
      <c r="BL259" s="84" t="s">
        <v>2155</v>
      </c>
      <c r="BM259" s="53">
        <v>4</v>
      </c>
      <c r="BN259" s="83" t="s">
        <v>2224</v>
      </c>
      <c r="BO259" s="53"/>
      <c r="BP259" s="53"/>
      <c r="BQ259" s="238"/>
    </row>
    <row r="260" spans="3:69" ht="14.25" hidden="1" customHeight="1">
      <c r="C260" s="82" t="s">
        <v>13</v>
      </c>
      <c r="D260" s="82" t="s">
        <v>1387</v>
      </c>
      <c r="E260" s="82" t="s">
        <v>1138</v>
      </c>
      <c r="F260" s="82" t="s">
        <v>1296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9"/>
        <v>2</v>
      </c>
      <c r="M260" s="26">
        <f t="shared" si="20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>
        <v>2</v>
      </c>
      <c r="BA260" s="26"/>
      <c r="BB260" s="26"/>
      <c r="BC260" s="26"/>
      <c r="BD260" s="26"/>
      <c r="BE260" s="67">
        <f>SUMIFS([1]Up!$J:$J,[1]Up!$D:$D,D260)</f>
        <v>0</v>
      </c>
      <c r="BF260" s="82"/>
      <c r="BG260" s="82" t="str">
        <f t="shared" si="30"/>
        <v>PL10</v>
      </c>
      <c r="BH260" s="53" t="str">
        <f t="shared" si="31"/>
        <v/>
      </c>
      <c r="BI260" s="53" t="s">
        <v>154</v>
      </c>
      <c r="BJ260" s="53" t="s">
        <v>1004</v>
      </c>
      <c r="BK260" s="53" t="s">
        <v>1005</v>
      </c>
      <c r="BL260" s="84" t="s">
        <v>2156</v>
      </c>
      <c r="BM260" s="53">
        <v>4</v>
      </c>
      <c r="BN260" s="83">
        <v>46302</v>
      </c>
      <c r="BO260" s="53"/>
      <c r="BP260" s="53"/>
      <c r="BQ260" s="238"/>
    </row>
    <row r="261" spans="3:69" ht="14.25" hidden="1" customHeight="1">
      <c r="C261" s="82" t="s">
        <v>13</v>
      </c>
      <c r="D261" s="82" t="s">
        <v>1388</v>
      </c>
      <c r="E261" s="82" t="s">
        <v>1316</v>
      </c>
      <c r="F261" s="82" t="s">
        <v>1296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9"/>
        <v>1</v>
      </c>
      <c r="M261" s="26">
        <f t="shared" si="20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67">
        <f>SUMIFS([1]Up!$J:$J,[1]Up!$D:$D,D261)</f>
        <v>0</v>
      </c>
      <c r="BF261" s="82"/>
      <c r="BG261" s="82" t="str">
        <f t="shared" si="30"/>
        <v>PL20</v>
      </c>
      <c r="BH261" s="53" t="str">
        <f t="shared" si="31"/>
        <v/>
      </c>
      <c r="BI261" s="53" t="s">
        <v>148</v>
      </c>
      <c r="BJ261" s="53" t="s">
        <v>1099</v>
      </c>
      <c r="BK261" s="53" t="s">
        <v>1100</v>
      </c>
      <c r="BL261" s="84" t="s">
        <v>2164</v>
      </c>
      <c r="BM261" s="53">
        <v>4</v>
      </c>
      <c r="BN261" s="83">
        <v>46242</v>
      </c>
      <c r="BO261" s="53"/>
      <c r="BP261" s="53"/>
      <c r="BQ261" s="238"/>
    </row>
    <row r="262" spans="3:69" ht="14.25" hidden="1" customHeight="1">
      <c r="C262" s="82" t="s">
        <v>13</v>
      </c>
      <c r="D262" s="82" t="s">
        <v>1389</v>
      </c>
      <c r="E262" s="82" t="s">
        <v>1335</v>
      </c>
      <c r="F262" s="82" t="s">
        <v>1296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9"/>
        <v>8</v>
      </c>
      <c r="M262" s="26">
        <f t="shared" si="20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67">
        <f>SUMIFS([1]Up!$J:$J,[1]Up!$D:$D,D262)</f>
        <v>0</v>
      </c>
      <c r="BF262" s="82"/>
      <c r="BG262" s="82" t="str">
        <f t="shared" si="30"/>
        <v>PL20</v>
      </c>
      <c r="BH262" s="53" t="str">
        <f t="shared" si="31"/>
        <v/>
      </c>
      <c r="BI262" s="53" t="s">
        <v>148</v>
      </c>
      <c r="BJ262" s="53" t="s">
        <v>1020</v>
      </c>
      <c r="BK262" s="53" t="s">
        <v>1021</v>
      </c>
      <c r="BL262" s="84" t="s">
        <v>2166</v>
      </c>
      <c r="BM262" s="53">
        <v>16</v>
      </c>
      <c r="BN262" s="83" t="s">
        <v>2226</v>
      </c>
      <c r="BO262" s="53"/>
      <c r="BP262" s="53"/>
    </row>
    <row r="263" spans="3:69" ht="14.25" hidden="1" customHeight="1">
      <c r="C263" s="82" t="s">
        <v>13</v>
      </c>
      <c r="D263" s="82" t="s">
        <v>1390</v>
      </c>
      <c r="E263" s="82" t="s">
        <v>1096</v>
      </c>
      <c r="F263" s="82" t="s">
        <v>1296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9"/>
        <v>1</v>
      </c>
      <c r="M263" s="26">
        <f t="shared" si="20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>
        <v>1</v>
      </c>
      <c r="BA263" s="26"/>
      <c r="BB263" s="26"/>
      <c r="BC263" s="26"/>
      <c r="BD263" s="26"/>
      <c r="BE263" s="67">
        <f>SUMIFS([1]Up!$J:$J,[1]Up!$D:$D,D263)</f>
        <v>0</v>
      </c>
      <c r="BF263" s="82"/>
      <c r="BG263" s="82" t="str">
        <f t="shared" si="30"/>
        <v>PL10</v>
      </c>
      <c r="BH263" s="53" t="str">
        <f t="shared" si="31"/>
        <v/>
      </c>
      <c r="BI263" s="53" t="s">
        <v>154</v>
      </c>
      <c r="BJ263" s="53" t="s">
        <v>1004</v>
      </c>
      <c r="BK263" s="53" t="s">
        <v>1005</v>
      </c>
      <c r="BL263" s="84" t="s">
        <v>2156</v>
      </c>
      <c r="BM263" s="53">
        <v>4</v>
      </c>
      <c r="BN263" s="83">
        <v>46302</v>
      </c>
      <c r="BO263" s="53"/>
      <c r="BP263" s="53"/>
      <c r="BQ263" s="238"/>
    </row>
    <row r="264" spans="3:69" ht="14.25" hidden="1" customHeight="1">
      <c r="C264" s="82" t="s">
        <v>13</v>
      </c>
      <c r="D264" s="82" t="s">
        <v>1391</v>
      </c>
      <c r="E264" s="82" t="s">
        <v>1293</v>
      </c>
      <c r="F264" s="82" t="s">
        <v>1084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9"/>
        <v>2</v>
      </c>
      <c r="M264" s="26">
        <f t="shared" si="20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67">
        <f>SUMIFS([1]Up!$J:$J,[1]Up!$D:$D,D264)</f>
        <v>0</v>
      </c>
      <c r="BF264" s="82" t="s">
        <v>2246</v>
      </c>
      <c r="BG264" s="82" t="str">
        <f t="shared" si="30"/>
        <v>PL12</v>
      </c>
      <c r="BH264" s="53" t="str">
        <f t="shared" si="31"/>
        <v>Thừa 2</v>
      </c>
      <c r="BI264" s="53" t="s">
        <v>154</v>
      </c>
      <c r="BJ264" s="53" t="s">
        <v>1020</v>
      </c>
      <c r="BK264" s="53" t="s">
        <v>1021</v>
      </c>
      <c r="BL264" s="53" t="s">
        <v>57</v>
      </c>
      <c r="BM264" s="53">
        <v>4</v>
      </c>
      <c r="BN264" s="83"/>
      <c r="BO264" s="53"/>
      <c r="BP264" s="53"/>
    </row>
    <row r="265" spans="3:69" ht="14.25" hidden="1" customHeight="1">
      <c r="C265" s="82" t="s">
        <v>13</v>
      </c>
      <c r="D265" s="82" t="s">
        <v>1392</v>
      </c>
      <c r="E265" s="82" t="s">
        <v>1329</v>
      </c>
      <c r="F265" s="82" t="s">
        <v>1296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9"/>
        <v>2</v>
      </c>
      <c r="M265" s="26">
        <f t="shared" si="20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26"/>
      <c r="AZ265" s="26"/>
      <c r="BA265" s="26"/>
      <c r="BB265" s="26"/>
      <c r="BC265" s="26"/>
      <c r="BD265" s="26"/>
      <c r="BE265" s="67">
        <f>SUMIFS([1]Up!$J:$J,[1]Up!$D:$D,D265)</f>
        <v>0</v>
      </c>
      <c r="BF265" s="82"/>
      <c r="BG265" s="82" t="str">
        <f t="shared" si="30"/>
        <v>PL15</v>
      </c>
      <c r="BH265" s="53" t="str">
        <f t="shared" si="31"/>
        <v/>
      </c>
      <c r="BI265" s="53" t="s">
        <v>148</v>
      </c>
      <c r="BJ265" s="53" t="s">
        <v>1093</v>
      </c>
      <c r="BK265" s="53" t="s">
        <v>1094</v>
      </c>
      <c r="BL265" s="84" t="s">
        <v>2155</v>
      </c>
      <c r="BM265" s="53">
        <v>4</v>
      </c>
      <c r="BN265" s="83" t="s">
        <v>2224</v>
      </c>
      <c r="BO265" s="53"/>
      <c r="BP265" s="53"/>
      <c r="BQ265" s="238"/>
    </row>
    <row r="266" spans="3:69" ht="14.25" hidden="1" customHeight="1">
      <c r="C266" s="82" t="s">
        <v>11</v>
      </c>
      <c r="D266" s="82" t="s">
        <v>1393</v>
      </c>
      <c r="E266" s="82" t="s">
        <v>1075</v>
      </c>
      <c r="F266" s="82" t="s">
        <v>1076</v>
      </c>
      <c r="G266" s="82">
        <v>812</v>
      </c>
      <c r="H266" s="82" t="s">
        <v>1077</v>
      </c>
      <c r="I266" s="82">
        <v>6</v>
      </c>
      <c r="J266" s="82">
        <v>13.05696</v>
      </c>
      <c r="K266" s="82">
        <v>78.341759999999994</v>
      </c>
      <c r="L266" s="26">
        <f t="shared" si="29"/>
        <v>6</v>
      </c>
      <c r="M266" s="26">
        <f t="shared" si="20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67">
        <f>SUMIFS([1]Up!$J:$J,[1]Up!$D:$D,D266)</f>
        <v>0</v>
      </c>
      <c r="BF266" s="82"/>
      <c r="BG266" s="82" t="str">
        <f t="shared" si="30"/>
        <v/>
      </c>
      <c r="BH266" s="53" t="str">
        <f t="shared" si="31"/>
        <v/>
      </c>
      <c r="BI266" s="53" t="s">
        <v>148</v>
      </c>
      <c r="BJ266" s="53" t="s">
        <v>1078</v>
      </c>
      <c r="BK266" s="53" t="s">
        <v>1075</v>
      </c>
      <c r="BL266" s="53" t="s">
        <v>1289</v>
      </c>
      <c r="BM266" s="53">
        <v>6</v>
      </c>
      <c r="BN266" s="83">
        <v>46362</v>
      </c>
      <c r="BO266" s="53"/>
      <c r="BP266" s="53"/>
    </row>
    <row r="267" spans="3:69" ht="14.25" hidden="1" customHeight="1">
      <c r="C267" s="82" t="s">
        <v>13</v>
      </c>
      <c r="D267" s="82" t="s">
        <v>1394</v>
      </c>
      <c r="E267" s="82" t="s">
        <v>1395</v>
      </c>
      <c r="F267" s="82" t="s">
        <v>1084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9"/>
        <v>2</v>
      </c>
      <c r="M267" s="26">
        <f t="shared" si="20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67">
        <f>SUMIFS([1]Up!$J:$J,[1]Up!$D:$D,D267)</f>
        <v>0</v>
      </c>
      <c r="BF267" s="82" t="s">
        <v>2073</v>
      </c>
      <c r="BG267" s="82" t="str">
        <f t="shared" si="30"/>
        <v>PL12</v>
      </c>
      <c r="BH267" s="53" t="str">
        <f t="shared" si="31"/>
        <v/>
      </c>
      <c r="BI267" s="53" t="s">
        <v>154</v>
      </c>
      <c r="BJ267" s="53" t="s">
        <v>1020</v>
      </c>
      <c r="BK267" s="53" t="s">
        <v>1021</v>
      </c>
      <c r="BL267" s="53" t="s">
        <v>57</v>
      </c>
      <c r="BM267" s="53">
        <v>2</v>
      </c>
      <c r="BN267" s="83"/>
      <c r="BO267" s="53"/>
      <c r="BP267" s="53"/>
    </row>
    <row r="268" spans="3:69" ht="14.25" hidden="1" customHeight="1">
      <c r="C268" s="82" t="s">
        <v>13</v>
      </c>
      <c r="D268" s="82" t="s">
        <v>1396</v>
      </c>
      <c r="E268" s="82" t="s">
        <v>1397</v>
      </c>
      <c r="F268" s="82" t="s">
        <v>1084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9"/>
        <v>1</v>
      </c>
      <c r="M268" s="26">
        <f t="shared" si="20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67">
        <f>SUMIFS([1]Up!$J:$J,[1]Up!$D:$D,D268)</f>
        <v>0</v>
      </c>
      <c r="BF268" s="82"/>
      <c r="BG268" s="82" t="str">
        <f t="shared" si="30"/>
        <v>PL12</v>
      </c>
      <c r="BH268" s="53" t="str">
        <f t="shared" si="31"/>
        <v/>
      </c>
      <c r="BI268" s="53" t="s">
        <v>154</v>
      </c>
      <c r="BJ268" s="53" t="s">
        <v>1020</v>
      </c>
      <c r="BK268" s="53" t="s">
        <v>1021</v>
      </c>
      <c r="BL268" s="53" t="s">
        <v>1398</v>
      </c>
      <c r="BM268" s="53">
        <v>2</v>
      </c>
      <c r="BN268" s="83" t="s">
        <v>2222</v>
      </c>
      <c r="BO268" s="53"/>
      <c r="BP268" s="53"/>
    </row>
    <row r="269" spans="3:69" ht="14.25" hidden="1" customHeight="1">
      <c r="C269" s="82" t="s">
        <v>13</v>
      </c>
      <c r="D269" s="82" t="s">
        <v>1399</v>
      </c>
      <c r="E269" s="82" t="s">
        <v>1397</v>
      </c>
      <c r="F269" s="82" t="s">
        <v>1084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9"/>
        <v>1</v>
      </c>
      <c r="M269" s="26">
        <f t="shared" si="20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67">
        <f>SUMIFS([1]Up!$J:$J,[1]Up!$D:$D,D269)</f>
        <v>0</v>
      </c>
      <c r="BF269" s="82"/>
      <c r="BG269" s="82" t="str">
        <f t="shared" si="30"/>
        <v>PL12</v>
      </c>
      <c r="BH269" s="53" t="str">
        <f t="shared" si="31"/>
        <v/>
      </c>
      <c r="BI269" s="53" t="s">
        <v>154</v>
      </c>
      <c r="BJ269" s="53" t="s">
        <v>1020</v>
      </c>
      <c r="BK269" s="53" t="s">
        <v>1021</v>
      </c>
      <c r="BL269" s="53"/>
      <c r="BM269" s="53"/>
      <c r="BN269" s="83"/>
      <c r="BO269" s="53"/>
      <c r="BP269" s="53"/>
    </row>
    <row r="270" spans="3:69" ht="14.25" hidden="1" customHeight="1">
      <c r="C270" s="82" t="s">
        <v>13</v>
      </c>
      <c r="D270" s="82" t="s">
        <v>1400</v>
      </c>
      <c r="E270" s="82" t="s">
        <v>1397</v>
      </c>
      <c r="F270" s="82" t="s">
        <v>1084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9"/>
        <v>1</v>
      </c>
      <c r="M270" s="26">
        <f t="shared" si="20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67">
        <f>SUMIFS([1]Up!$J:$J,[1]Up!$D:$D,D270)</f>
        <v>0</v>
      </c>
      <c r="BF270" s="82" t="s">
        <v>2073</v>
      </c>
      <c r="BG270" s="82" t="str">
        <f t="shared" si="30"/>
        <v>PL12</v>
      </c>
      <c r="BH270" s="53" t="str">
        <f t="shared" si="31"/>
        <v>Thừa 1</v>
      </c>
      <c r="BI270" s="53" t="s">
        <v>154</v>
      </c>
      <c r="BJ270" s="53" t="s">
        <v>1020</v>
      </c>
      <c r="BK270" s="53" t="s">
        <v>1021</v>
      </c>
      <c r="BL270" s="53" t="s">
        <v>57</v>
      </c>
      <c r="BM270" s="53">
        <v>1</v>
      </c>
      <c r="BN270" s="83"/>
      <c r="BO270" s="53"/>
      <c r="BP270" s="53"/>
    </row>
    <row r="271" spans="3:69" ht="14.25" hidden="1" customHeight="1">
      <c r="C271" s="82" t="s">
        <v>13</v>
      </c>
      <c r="D271" s="82" t="s">
        <v>1401</v>
      </c>
      <c r="E271" s="82" t="s">
        <v>1397</v>
      </c>
      <c r="F271" s="82" t="s">
        <v>1084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9"/>
        <v>1</v>
      </c>
      <c r="M271" s="26">
        <f t="shared" si="20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67">
        <f>SUMIFS([1]Up!$J:$J,[1]Up!$D:$D,D271)</f>
        <v>0</v>
      </c>
      <c r="BF271" s="82" t="s">
        <v>2073</v>
      </c>
      <c r="BG271" s="82" t="str">
        <f t="shared" si="30"/>
        <v>PL12</v>
      </c>
      <c r="BH271" s="53" t="str">
        <f t="shared" si="31"/>
        <v>Thừa 1</v>
      </c>
      <c r="BI271" s="53" t="s">
        <v>154</v>
      </c>
      <c r="BJ271" s="53" t="s">
        <v>1020</v>
      </c>
      <c r="BK271" s="53" t="s">
        <v>1021</v>
      </c>
      <c r="BL271" s="53" t="s">
        <v>57</v>
      </c>
      <c r="BM271" s="53">
        <v>1</v>
      </c>
      <c r="BN271" s="83"/>
      <c r="BO271" s="53"/>
      <c r="BP271" s="53"/>
    </row>
    <row r="272" spans="3:69" ht="14.25" hidden="1" customHeight="1">
      <c r="C272" s="82" t="s">
        <v>13</v>
      </c>
      <c r="D272" s="82" t="s">
        <v>1402</v>
      </c>
      <c r="E272" s="82" t="s">
        <v>1157</v>
      </c>
      <c r="F272" s="82" t="s">
        <v>1296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9"/>
        <v>2</v>
      </c>
      <c r="M272" s="26">
        <f t="shared" si="20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67">
        <f>SUMIFS([1]Up!$J:$J,[1]Up!$D:$D,D272)</f>
        <v>0</v>
      </c>
      <c r="BF272" s="82"/>
      <c r="BG272" s="82" t="str">
        <f t="shared" si="30"/>
        <v>PL15</v>
      </c>
      <c r="BH272" s="53" t="str">
        <f t="shared" si="31"/>
        <v/>
      </c>
      <c r="BI272" s="53" t="s">
        <v>148</v>
      </c>
      <c r="BJ272" s="53" t="s">
        <v>1093</v>
      </c>
      <c r="BK272" s="53" t="s">
        <v>1094</v>
      </c>
      <c r="BL272" s="53" t="s">
        <v>1303</v>
      </c>
      <c r="BM272" s="53">
        <v>2</v>
      </c>
      <c r="BN272" s="83">
        <v>46088</v>
      </c>
      <c r="BO272" s="53"/>
      <c r="BP272" s="53"/>
    </row>
    <row r="273" spans="3:68" ht="14.25" hidden="1" customHeight="1">
      <c r="C273" s="82" t="s">
        <v>13</v>
      </c>
      <c r="D273" s="82" t="s">
        <v>1403</v>
      </c>
      <c r="E273" s="82" t="s">
        <v>1163</v>
      </c>
      <c r="F273" s="82" t="s">
        <v>1296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9"/>
        <v>6</v>
      </c>
      <c r="M273" s="26">
        <f t="shared" si="20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67">
        <f>SUMIFS([1]Up!$J:$J,[1]Up!$D:$D,D273)</f>
        <v>0</v>
      </c>
      <c r="BF273" s="82"/>
      <c r="BG273" s="82" t="str">
        <f t="shared" si="30"/>
        <v>PL16</v>
      </c>
      <c r="BH273" s="53" t="str">
        <f t="shared" si="31"/>
        <v/>
      </c>
      <c r="BI273" s="53" t="s">
        <v>148</v>
      </c>
      <c r="BJ273" s="53" t="s">
        <v>987</v>
      </c>
      <c r="BK273" s="53" t="s">
        <v>988</v>
      </c>
      <c r="BL273" s="53" t="s">
        <v>989</v>
      </c>
      <c r="BM273" s="53">
        <v>6</v>
      </c>
      <c r="BN273" s="83" t="s">
        <v>2222</v>
      </c>
      <c r="BO273" s="53"/>
      <c r="BP273" s="53"/>
    </row>
    <row r="274" spans="3:68" ht="14.25" hidden="1" customHeight="1">
      <c r="C274" s="82" t="s">
        <v>13</v>
      </c>
      <c r="D274" s="82" t="s">
        <v>1404</v>
      </c>
      <c r="E274" s="82" t="s">
        <v>1090</v>
      </c>
      <c r="F274" s="82" t="s">
        <v>1296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9"/>
        <v>6</v>
      </c>
      <c r="M274" s="26">
        <f t="shared" si="20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67">
        <f>SUMIFS([1]Up!$J:$J,[1]Up!$D:$D,D274)</f>
        <v>0</v>
      </c>
      <c r="BF274" s="82"/>
      <c r="BG274" s="82" t="str">
        <f t="shared" si="30"/>
        <v>PL16</v>
      </c>
      <c r="BH274" s="53" t="str">
        <f t="shared" si="31"/>
        <v/>
      </c>
      <c r="BI274" s="53" t="s">
        <v>148</v>
      </c>
      <c r="BJ274" s="53" t="s">
        <v>987</v>
      </c>
      <c r="BK274" s="53" t="s">
        <v>988</v>
      </c>
      <c r="BL274" s="53" t="s">
        <v>989</v>
      </c>
      <c r="BM274" s="53">
        <v>6</v>
      </c>
      <c r="BN274" s="83" t="s">
        <v>2222</v>
      </c>
      <c r="BO274" s="53"/>
      <c r="BP274" s="53"/>
    </row>
    <row r="275" spans="3:68" ht="14.25" hidden="1" customHeight="1">
      <c r="C275" s="82" t="s">
        <v>13</v>
      </c>
      <c r="D275" s="82" t="s">
        <v>1405</v>
      </c>
      <c r="E275" s="82" t="s">
        <v>1406</v>
      </c>
      <c r="F275" s="82" t="s">
        <v>1296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9"/>
        <v>6</v>
      </c>
      <c r="M275" s="26">
        <f t="shared" si="20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67">
        <f>SUMIFS([1]Up!$J:$J,[1]Up!$D:$D,D275)</f>
        <v>0</v>
      </c>
      <c r="BF275" s="82"/>
      <c r="BG275" s="82" t="str">
        <f t="shared" si="30"/>
        <v>PL12</v>
      </c>
      <c r="BH275" s="53" t="str">
        <f t="shared" si="31"/>
        <v/>
      </c>
      <c r="BI275" s="53" t="s">
        <v>148</v>
      </c>
      <c r="BJ275" s="53" t="s">
        <v>1020</v>
      </c>
      <c r="BK275" s="53" t="s">
        <v>1021</v>
      </c>
      <c r="BL275" s="53" t="s">
        <v>1022</v>
      </c>
      <c r="BM275" s="53">
        <v>6</v>
      </c>
      <c r="BN275" s="83">
        <v>46088</v>
      </c>
      <c r="BO275" s="53"/>
      <c r="BP275" s="53"/>
    </row>
    <row r="276" spans="3:68" ht="14.25" hidden="1" customHeight="1">
      <c r="C276" s="82" t="s">
        <v>13</v>
      </c>
      <c r="D276" s="82" t="s">
        <v>1407</v>
      </c>
      <c r="E276" s="82" t="s">
        <v>1408</v>
      </c>
      <c r="F276" s="82" t="s">
        <v>1296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9"/>
        <v>6</v>
      </c>
      <c r="M276" s="26">
        <f t="shared" si="20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67">
        <f>SUMIFS([1]Up!$J:$J,[1]Up!$D:$D,D276)</f>
        <v>0</v>
      </c>
      <c r="BF276" s="82"/>
      <c r="BG276" s="82" t="str">
        <f t="shared" si="30"/>
        <v>PL12</v>
      </c>
      <c r="BH276" s="53" t="str">
        <f t="shared" si="31"/>
        <v/>
      </c>
      <c r="BI276" s="53" t="s">
        <v>148</v>
      </c>
      <c r="BJ276" s="53" t="s">
        <v>1020</v>
      </c>
      <c r="BK276" s="53" t="s">
        <v>1021</v>
      </c>
      <c r="BL276" s="53" t="s">
        <v>1022</v>
      </c>
      <c r="BM276" s="53">
        <v>6</v>
      </c>
      <c r="BN276" s="83">
        <v>46088</v>
      </c>
      <c r="BO276" s="53"/>
      <c r="BP276" s="53"/>
    </row>
    <row r="277" spans="3:68" ht="14.25" hidden="1" customHeight="1">
      <c r="C277" s="82" t="s">
        <v>13</v>
      </c>
      <c r="D277" s="82" t="s">
        <v>1409</v>
      </c>
      <c r="E277" s="82" t="s">
        <v>1410</v>
      </c>
      <c r="F277" s="82" t="s">
        <v>1084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9"/>
        <v>1</v>
      </c>
      <c r="M277" s="26">
        <f t="shared" si="20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67">
        <f>SUMIFS([1]Up!$J:$J,[1]Up!$D:$D,D277)</f>
        <v>0</v>
      </c>
      <c r="BF277" s="82"/>
      <c r="BG277" s="82" t="str">
        <f t="shared" si="30"/>
        <v>PL12</v>
      </c>
      <c r="BH277" s="53" t="str">
        <f t="shared" si="31"/>
        <v/>
      </c>
      <c r="BI277" s="53" t="s">
        <v>154</v>
      </c>
      <c r="BJ277" s="53" t="s">
        <v>1020</v>
      </c>
      <c r="BK277" s="53" t="s">
        <v>1021</v>
      </c>
      <c r="BL277" s="53" t="s">
        <v>1398</v>
      </c>
      <c r="BM277" s="53">
        <v>1</v>
      </c>
      <c r="BN277" s="83" t="s">
        <v>2222</v>
      </c>
      <c r="BO277" s="53"/>
      <c r="BP277" s="53"/>
    </row>
    <row r="278" spans="3:68" ht="14.25" hidden="1" customHeight="1">
      <c r="C278" s="82" t="s">
        <v>13</v>
      </c>
      <c r="D278" s="82" t="s">
        <v>1411</v>
      </c>
      <c r="E278" s="82" t="s">
        <v>1412</v>
      </c>
      <c r="F278" s="82" t="s">
        <v>1084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9"/>
        <v>1</v>
      </c>
      <c r="M278" s="26">
        <f t="shared" si="20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67">
        <f>SUMIFS([1]Up!$J:$J,[1]Up!$D:$D,D278)</f>
        <v>0</v>
      </c>
      <c r="BF278" s="82" t="s">
        <v>2071</v>
      </c>
      <c r="BG278" s="82" t="str">
        <f t="shared" si="30"/>
        <v>PL12</v>
      </c>
      <c r="BH278" s="53" t="str">
        <f t="shared" si="31"/>
        <v>Thừa 2</v>
      </c>
      <c r="BI278" s="53" t="s">
        <v>154</v>
      </c>
      <c r="BJ278" s="53" t="s">
        <v>1020</v>
      </c>
      <c r="BK278" s="53" t="s">
        <v>1021</v>
      </c>
      <c r="BL278" s="53" t="s">
        <v>57</v>
      </c>
      <c r="BM278" s="53">
        <v>1</v>
      </c>
      <c r="BN278" s="83"/>
      <c r="BO278" s="53"/>
      <c r="BP278" s="53"/>
    </row>
    <row r="279" spans="3:68" ht="14.25" hidden="1" customHeight="1">
      <c r="C279" s="82" t="s">
        <v>13</v>
      </c>
      <c r="D279" s="82" t="s">
        <v>1413</v>
      </c>
      <c r="E279" s="82" t="s">
        <v>1414</v>
      </c>
      <c r="F279" s="82" t="s">
        <v>1296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9"/>
        <v>1</v>
      </c>
      <c r="M279" s="26">
        <f t="shared" si="20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67">
        <f>SUMIFS([1]Up!$J:$J,[1]Up!$D:$D,D279)</f>
        <v>0</v>
      </c>
      <c r="BF279" s="82"/>
      <c r="BG279" s="82" t="str">
        <f t="shared" si="30"/>
        <v>PL12</v>
      </c>
      <c r="BH279" s="53" t="str">
        <f t="shared" si="31"/>
        <v/>
      </c>
      <c r="BI279" s="53" t="s">
        <v>148</v>
      </c>
      <c r="BJ279" s="53" t="s">
        <v>1020</v>
      </c>
      <c r="BK279" s="53" t="s">
        <v>1021</v>
      </c>
      <c r="BL279" s="53" t="s">
        <v>1022</v>
      </c>
      <c r="BM279" s="53">
        <v>1</v>
      </c>
      <c r="BN279" s="83">
        <v>46088</v>
      </c>
      <c r="BO279" s="53"/>
      <c r="BP279" s="53"/>
    </row>
    <row r="280" spans="3:68" ht="14.25" hidden="1" customHeight="1">
      <c r="C280" s="82" t="s">
        <v>13</v>
      </c>
      <c r="D280" s="82" t="s">
        <v>1415</v>
      </c>
      <c r="E280" s="82" t="s">
        <v>1416</v>
      </c>
      <c r="F280" s="82" t="s">
        <v>1296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9"/>
        <v>2</v>
      </c>
      <c r="M280" s="26">
        <f t="shared" si="20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67">
        <f>SUMIFS([1]Up!$J:$J,[1]Up!$D:$D,D280)</f>
        <v>0</v>
      </c>
      <c r="BF280" s="82"/>
      <c r="BG280" s="82" t="str">
        <f t="shared" si="30"/>
        <v>PL12</v>
      </c>
      <c r="BH280" s="53" t="str">
        <f t="shared" si="31"/>
        <v/>
      </c>
      <c r="BI280" s="53" t="s">
        <v>148</v>
      </c>
      <c r="BJ280" s="53" t="s">
        <v>1020</v>
      </c>
      <c r="BK280" s="53" t="s">
        <v>1021</v>
      </c>
      <c r="BL280" s="53" t="s">
        <v>1022</v>
      </c>
      <c r="BM280" s="53">
        <v>2</v>
      </c>
      <c r="BN280" s="83">
        <v>46088</v>
      </c>
      <c r="BO280" s="53"/>
      <c r="BP280" s="53"/>
    </row>
    <row r="281" spans="3:68" ht="14.25" hidden="1" customHeight="1">
      <c r="C281" s="82" t="s">
        <v>13</v>
      </c>
      <c r="D281" s="82" t="s">
        <v>1417</v>
      </c>
      <c r="E281" s="82" t="s">
        <v>1418</v>
      </c>
      <c r="F281" s="82" t="s">
        <v>1296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9"/>
        <v>2</v>
      </c>
      <c r="M281" s="26">
        <f t="shared" si="20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67">
        <f>SUMIFS([1]Up!$J:$J,[1]Up!$D:$D,D281)</f>
        <v>0</v>
      </c>
      <c r="BF281" s="82"/>
      <c r="BG281" s="82" t="str">
        <f t="shared" si="30"/>
        <v>PL12</v>
      </c>
      <c r="BH281" s="53" t="str">
        <f t="shared" si="31"/>
        <v/>
      </c>
      <c r="BI281" s="53" t="s">
        <v>148</v>
      </c>
      <c r="BJ281" s="53" t="s">
        <v>1020</v>
      </c>
      <c r="BK281" s="53" t="s">
        <v>1021</v>
      </c>
      <c r="BL281" s="53" t="s">
        <v>1022</v>
      </c>
      <c r="BM281" s="53">
        <v>2</v>
      </c>
      <c r="BN281" s="83">
        <v>46088</v>
      </c>
      <c r="BO281" s="53"/>
      <c r="BP281" s="53"/>
    </row>
    <row r="282" spans="3:68" ht="14.25" hidden="1" customHeight="1">
      <c r="C282" s="82" t="s">
        <v>13</v>
      </c>
      <c r="D282" s="82" t="s">
        <v>1419</v>
      </c>
      <c r="E282" s="82" t="s">
        <v>1420</v>
      </c>
      <c r="F282" s="82" t="s">
        <v>1296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9"/>
        <v>2</v>
      </c>
      <c r="M282" s="26">
        <f t="shared" si="20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67">
        <f>SUMIFS([1]Up!$J:$J,[1]Up!$D:$D,D282)</f>
        <v>0</v>
      </c>
      <c r="BF282" s="82"/>
      <c r="BG282" s="82" t="str">
        <f t="shared" si="30"/>
        <v>PL12</v>
      </c>
      <c r="BH282" s="53" t="str">
        <f t="shared" si="31"/>
        <v/>
      </c>
      <c r="BI282" s="53" t="s">
        <v>148</v>
      </c>
      <c r="BJ282" s="53" t="s">
        <v>1020</v>
      </c>
      <c r="BK282" s="53" t="s">
        <v>1021</v>
      </c>
      <c r="BL282" s="53" t="s">
        <v>1022</v>
      </c>
      <c r="BM282" s="53">
        <v>2</v>
      </c>
      <c r="BN282" s="83">
        <v>46088</v>
      </c>
      <c r="BO282" s="53"/>
      <c r="BP282" s="53"/>
    </row>
    <row r="283" spans="3:68" ht="14.25" hidden="1" customHeight="1">
      <c r="C283" s="82" t="s">
        <v>13</v>
      </c>
      <c r="D283" s="82" t="s">
        <v>1421</v>
      </c>
      <c r="E283" s="82" t="s">
        <v>1422</v>
      </c>
      <c r="F283" s="82" t="s">
        <v>1296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9"/>
        <v>2</v>
      </c>
      <c r="M283" s="26">
        <f t="shared" si="20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67">
        <f>SUMIFS([1]Up!$J:$J,[1]Up!$D:$D,D283)</f>
        <v>0</v>
      </c>
      <c r="BF283" s="82"/>
      <c r="BG283" s="82" t="str">
        <f t="shared" si="30"/>
        <v>PL15</v>
      </c>
      <c r="BH283" s="53" t="str">
        <f t="shared" si="31"/>
        <v/>
      </c>
      <c r="BI283" s="53" t="s">
        <v>148</v>
      </c>
      <c r="BJ283" s="53" t="s">
        <v>1093</v>
      </c>
      <c r="BK283" s="53" t="s">
        <v>1094</v>
      </c>
      <c r="BL283" s="53" t="s">
        <v>1303</v>
      </c>
      <c r="BM283" s="53">
        <v>2</v>
      </c>
      <c r="BN283" s="83">
        <v>46088</v>
      </c>
      <c r="BO283" s="53"/>
      <c r="BP283" s="53"/>
    </row>
    <row r="284" spans="3:68" ht="14.25" hidden="1" customHeight="1">
      <c r="C284" s="82" t="s">
        <v>13</v>
      </c>
      <c r="D284" s="82" t="s">
        <v>1423</v>
      </c>
      <c r="E284" s="82" t="s">
        <v>1424</v>
      </c>
      <c r="F284" s="82" t="s">
        <v>1296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9"/>
        <v>1</v>
      </c>
      <c r="M284" s="26">
        <f t="shared" si="20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67">
        <f>SUMIFS([1]Up!$J:$J,[1]Up!$D:$D,D284)</f>
        <v>0</v>
      </c>
      <c r="BF284" s="82"/>
      <c r="BG284" s="82" t="str">
        <f t="shared" si="30"/>
        <v>PL12</v>
      </c>
      <c r="BH284" s="53" t="str">
        <f t="shared" si="31"/>
        <v/>
      </c>
      <c r="BI284" s="53" t="s">
        <v>148</v>
      </c>
      <c r="BJ284" s="53" t="s">
        <v>1020</v>
      </c>
      <c r="BK284" s="53" t="s">
        <v>1021</v>
      </c>
      <c r="BL284" s="53" t="s">
        <v>1022</v>
      </c>
      <c r="BM284" s="53">
        <v>1</v>
      </c>
      <c r="BN284" s="83">
        <v>46088</v>
      </c>
      <c r="BO284" s="53"/>
      <c r="BP284" s="53"/>
    </row>
    <row r="285" spans="3:68" ht="14.25" hidden="1" customHeight="1">
      <c r="C285" s="82" t="s">
        <v>13</v>
      </c>
      <c r="D285" s="82" t="s">
        <v>1425</v>
      </c>
      <c r="E285" s="82" t="s">
        <v>1426</v>
      </c>
      <c r="F285" s="82" t="s">
        <v>1296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9"/>
        <v>1</v>
      </c>
      <c r="M285" s="26">
        <f t="shared" ref="M285:M540" si="32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67">
        <f>SUMIFS([1]Up!$J:$J,[1]Up!$D:$D,D285)</f>
        <v>0</v>
      </c>
      <c r="BF285" s="82"/>
      <c r="BG285" s="82" t="str">
        <f t="shared" si="30"/>
        <v>PL12</v>
      </c>
      <c r="BH285" s="53" t="str">
        <f t="shared" si="31"/>
        <v/>
      </c>
      <c r="BI285" s="53" t="s">
        <v>148</v>
      </c>
      <c r="BJ285" s="53" t="s">
        <v>1020</v>
      </c>
      <c r="BK285" s="53" t="s">
        <v>1021</v>
      </c>
      <c r="BL285" s="53" t="s">
        <v>1022</v>
      </c>
      <c r="BM285" s="53">
        <v>1</v>
      </c>
      <c r="BN285" s="83">
        <v>46088</v>
      </c>
      <c r="BO285" s="53"/>
      <c r="BP285" s="53"/>
    </row>
    <row r="286" spans="3:68" ht="14.25" hidden="1" customHeight="1">
      <c r="C286" s="82" t="s">
        <v>13</v>
      </c>
      <c r="D286" s="82" t="s">
        <v>1427</v>
      </c>
      <c r="E286" s="82" t="s">
        <v>1327</v>
      </c>
      <c r="F286" s="82" t="s">
        <v>1296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3">MIN(SUM(N286:BD286),I286)</f>
        <v>1</v>
      </c>
      <c r="M286" s="26">
        <f t="shared" si="32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67">
        <f>SUMIFS([1]Up!$J:$J,[1]Up!$D:$D,D286)</f>
        <v>0</v>
      </c>
      <c r="BF286" s="82"/>
      <c r="BG286" s="82" t="str">
        <f t="shared" ref="BG286:BG349" si="34">IFERROR(IF(C286="Plate",LEFT(E286,FIND("*",E286,1)-1),""),IF(C286="Plate",LEFT(E286,FIND("x",E286,1)-1),""))</f>
        <v>PL15</v>
      </c>
      <c r="BH286" s="53" t="str">
        <f t="shared" ref="BH286:BH349" si="35">IF(ROUND(SUM(N286:BD286)-I286,0)&gt;0,"Thừa "&amp;SUM(N286:BD286)-I286,"")</f>
        <v/>
      </c>
      <c r="BI286" s="53" t="s">
        <v>148</v>
      </c>
      <c r="BJ286" s="53" t="s">
        <v>1093</v>
      </c>
      <c r="BK286" s="53" t="s">
        <v>1094</v>
      </c>
      <c r="BL286" s="53" t="s">
        <v>1303</v>
      </c>
      <c r="BM286" s="53">
        <v>1</v>
      </c>
      <c r="BN286" s="83">
        <v>46088</v>
      </c>
      <c r="BO286" s="53"/>
      <c r="BP286" s="53"/>
    </row>
    <row r="287" spans="3:68" ht="14.25" hidden="1" customHeight="1">
      <c r="C287" s="82" t="s">
        <v>13</v>
      </c>
      <c r="D287" s="82" t="s">
        <v>1428</v>
      </c>
      <c r="E287" s="82" t="s">
        <v>1429</v>
      </c>
      <c r="F287" s="82" t="s">
        <v>1084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3"/>
        <v>1</v>
      </c>
      <c r="M287" s="26">
        <f t="shared" si="32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67">
        <f>SUMIFS([1]Up!$J:$J,[1]Up!$D:$D,D287)</f>
        <v>0</v>
      </c>
      <c r="BF287" s="82" t="s">
        <v>2071</v>
      </c>
      <c r="BG287" s="82" t="str">
        <f t="shared" si="34"/>
        <v>PL12</v>
      </c>
      <c r="BH287" s="53" t="str">
        <f t="shared" si="35"/>
        <v>Thừa 2</v>
      </c>
      <c r="BI287" s="53" t="s">
        <v>154</v>
      </c>
      <c r="BJ287" s="53" t="s">
        <v>1020</v>
      </c>
      <c r="BK287" s="53" t="s">
        <v>1021</v>
      </c>
      <c r="BL287" s="53" t="s">
        <v>57</v>
      </c>
      <c r="BM287" s="53">
        <v>1</v>
      </c>
      <c r="BN287" s="83"/>
      <c r="BO287" s="53"/>
      <c r="BP287" s="53"/>
    </row>
    <row r="288" spans="3:68" ht="14.25" hidden="1" customHeight="1">
      <c r="C288" s="82" t="s">
        <v>13</v>
      </c>
      <c r="D288" s="82" t="s">
        <v>1430</v>
      </c>
      <c r="E288" s="82" t="s">
        <v>1088</v>
      </c>
      <c r="F288" s="82" t="s">
        <v>1084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3"/>
        <v>1</v>
      </c>
      <c r="M288" s="26">
        <f t="shared" si="32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67">
        <f>SUMIFS([1]Up!$J:$J,[1]Up!$D:$D,D288)</f>
        <v>0</v>
      </c>
      <c r="BF288" s="82" t="s">
        <v>2073</v>
      </c>
      <c r="BG288" s="82" t="str">
        <f t="shared" si="34"/>
        <v>PL12</v>
      </c>
      <c r="BH288" s="53" t="str">
        <f t="shared" si="35"/>
        <v>Thừa 1</v>
      </c>
      <c r="BI288" s="53" t="s">
        <v>154</v>
      </c>
      <c r="BJ288" s="53" t="s">
        <v>1020</v>
      </c>
      <c r="BK288" s="53" t="s">
        <v>1021</v>
      </c>
      <c r="BL288" s="53" t="s">
        <v>57</v>
      </c>
      <c r="BM288" s="53">
        <v>1</v>
      </c>
      <c r="BN288" s="83"/>
      <c r="BO288" s="53"/>
      <c r="BP288" s="53"/>
    </row>
    <row r="289" spans="3:69" ht="14.25" hidden="1" customHeight="1">
      <c r="C289" s="82" t="s">
        <v>13</v>
      </c>
      <c r="D289" s="82" t="s">
        <v>1431</v>
      </c>
      <c r="E289" s="82" t="s">
        <v>1432</v>
      </c>
      <c r="F289" s="82" t="s">
        <v>1084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3"/>
        <v>1</v>
      </c>
      <c r="M289" s="26">
        <f t="shared" si="3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67">
        <f>SUMIFS([1]Up!$J:$J,[1]Up!$D:$D,D289)</f>
        <v>0</v>
      </c>
      <c r="BF289" s="82"/>
      <c r="BG289" s="82" t="str">
        <f t="shared" si="34"/>
        <v>PL12</v>
      </c>
      <c r="BH289" s="53" t="str">
        <f t="shared" si="35"/>
        <v/>
      </c>
      <c r="BI289" s="53" t="s">
        <v>154</v>
      </c>
      <c r="BJ289" s="53" t="s">
        <v>1020</v>
      </c>
      <c r="BK289" s="53" t="s">
        <v>1021</v>
      </c>
      <c r="BL289" s="53" t="s">
        <v>1398</v>
      </c>
      <c r="BM289" s="53">
        <v>1</v>
      </c>
      <c r="BN289" s="83" t="s">
        <v>2222</v>
      </c>
      <c r="BO289" s="53"/>
      <c r="BP289" s="53"/>
    </row>
    <row r="290" spans="3:69" ht="14.25" hidden="1" customHeight="1">
      <c r="C290" s="82" t="s">
        <v>13</v>
      </c>
      <c r="D290" s="82" t="s">
        <v>1433</v>
      </c>
      <c r="E290" s="82" t="s">
        <v>1434</v>
      </c>
      <c r="F290" s="82" t="s">
        <v>1084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3"/>
        <v>1</v>
      </c>
      <c r="M290" s="26">
        <f t="shared" si="32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67">
        <f>SUMIFS([1]Up!$J:$J,[1]Up!$D:$D,D290)</f>
        <v>0</v>
      </c>
      <c r="BF290" s="82" t="s">
        <v>2072</v>
      </c>
      <c r="BG290" s="82" t="str">
        <f t="shared" si="34"/>
        <v>PL12</v>
      </c>
      <c r="BH290" s="53" t="str">
        <f t="shared" si="35"/>
        <v>Thừa 3</v>
      </c>
      <c r="BI290" s="53" t="s">
        <v>154</v>
      </c>
      <c r="BJ290" s="53" t="s">
        <v>1020</v>
      </c>
      <c r="BK290" s="53" t="s">
        <v>1021</v>
      </c>
      <c r="BL290" s="53" t="s">
        <v>57</v>
      </c>
      <c r="BM290" s="53">
        <v>1</v>
      </c>
      <c r="BN290" s="83"/>
      <c r="BO290" s="53"/>
      <c r="BP290" s="53"/>
    </row>
    <row r="291" spans="3:69" ht="14.25" hidden="1" customHeight="1">
      <c r="C291" s="82" t="s">
        <v>13</v>
      </c>
      <c r="D291" s="82" t="s">
        <v>1435</v>
      </c>
      <c r="E291" s="82" t="s">
        <v>1436</v>
      </c>
      <c r="F291" s="82" t="s">
        <v>1296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3"/>
        <v>3</v>
      </c>
      <c r="M291" s="26">
        <f t="shared" si="32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67">
        <f>SUMIFS([1]Up!$J:$J,[1]Up!$D:$D,D291)</f>
        <v>0</v>
      </c>
      <c r="BF291" s="82"/>
      <c r="BG291" s="82" t="str">
        <f t="shared" si="34"/>
        <v>PL12</v>
      </c>
      <c r="BH291" s="53" t="str">
        <f t="shared" si="35"/>
        <v/>
      </c>
      <c r="BI291" s="53" t="s">
        <v>148</v>
      </c>
      <c r="BJ291" s="53" t="s">
        <v>1020</v>
      </c>
      <c r="BK291" s="53" t="s">
        <v>1021</v>
      </c>
      <c r="BL291" s="53" t="s">
        <v>1022</v>
      </c>
      <c r="BM291" s="53">
        <v>3</v>
      </c>
      <c r="BN291" s="83">
        <v>46088</v>
      </c>
      <c r="BO291" s="53"/>
      <c r="BP291" s="53"/>
    </row>
    <row r="292" spans="3:69" ht="14.25" hidden="1" customHeight="1">
      <c r="C292" s="82" t="s">
        <v>13</v>
      </c>
      <c r="D292" s="82" t="s">
        <v>1437</v>
      </c>
      <c r="E292" s="82" t="s">
        <v>1438</v>
      </c>
      <c r="F292" s="82" t="s">
        <v>1296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3"/>
        <v>3</v>
      </c>
      <c r="M292" s="26">
        <f t="shared" si="32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67">
        <f>SUMIFS([1]Up!$J:$J,[1]Up!$D:$D,D292)</f>
        <v>0</v>
      </c>
      <c r="BF292" s="82"/>
      <c r="BG292" s="82" t="str">
        <f t="shared" si="34"/>
        <v>PL12</v>
      </c>
      <c r="BH292" s="53" t="str">
        <f t="shared" si="35"/>
        <v/>
      </c>
      <c r="BI292" s="53" t="s">
        <v>148</v>
      </c>
      <c r="BJ292" s="53" t="s">
        <v>1020</v>
      </c>
      <c r="BK292" s="53" t="s">
        <v>1021</v>
      </c>
      <c r="BL292" s="53" t="s">
        <v>1022</v>
      </c>
      <c r="BM292" s="53">
        <v>3</v>
      </c>
      <c r="BN292" s="83">
        <v>46088</v>
      </c>
      <c r="BO292" s="53"/>
      <c r="BP292" s="53"/>
    </row>
    <row r="293" spans="3:69" ht="14.25" hidden="1" customHeight="1">
      <c r="C293" s="82" t="s">
        <v>13</v>
      </c>
      <c r="D293" s="82" t="s">
        <v>1439</v>
      </c>
      <c r="E293" s="82" t="s">
        <v>1125</v>
      </c>
      <c r="F293" s="82" t="s">
        <v>1296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3"/>
        <v>2</v>
      </c>
      <c r="M293" s="26">
        <f t="shared" si="32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67">
        <f>SUMIFS([1]Up!$J:$J,[1]Up!$D:$D,D293)</f>
        <v>0</v>
      </c>
      <c r="BF293" s="82"/>
      <c r="BG293" s="82" t="str">
        <f t="shared" si="34"/>
        <v>PL15</v>
      </c>
      <c r="BH293" s="53" t="str">
        <f t="shared" si="35"/>
        <v/>
      </c>
      <c r="BI293" s="53" t="s">
        <v>148</v>
      </c>
      <c r="BJ293" s="53" t="s">
        <v>1093</v>
      </c>
      <c r="BK293" s="53" t="s">
        <v>1094</v>
      </c>
      <c r="BL293" s="53" t="s">
        <v>1303</v>
      </c>
      <c r="BM293" s="53">
        <v>2</v>
      </c>
      <c r="BN293" s="83">
        <v>46088</v>
      </c>
      <c r="BO293" s="53"/>
      <c r="BP293" s="53"/>
    </row>
    <row r="294" spans="3:69" ht="14.25" hidden="1" customHeight="1">
      <c r="C294" s="82" t="s">
        <v>13</v>
      </c>
      <c r="D294" s="82" t="s">
        <v>1440</v>
      </c>
      <c r="E294" s="82" t="s">
        <v>1123</v>
      </c>
      <c r="F294" s="82" t="s">
        <v>1296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3"/>
        <v>2</v>
      </c>
      <c r="M294" s="26">
        <f t="shared" si="32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67">
        <f>SUMIFS([1]Up!$J:$J,[1]Up!$D:$D,D294)</f>
        <v>0</v>
      </c>
      <c r="BF294" s="82"/>
      <c r="BG294" s="82" t="str">
        <f t="shared" si="34"/>
        <v>PL20</v>
      </c>
      <c r="BH294" s="53" t="str">
        <f t="shared" si="35"/>
        <v/>
      </c>
      <c r="BI294" s="53" t="s">
        <v>148</v>
      </c>
      <c r="BJ294" s="53" t="s">
        <v>1099</v>
      </c>
      <c r="BK294" s="53" t="s">
        <v>1100</v>
      </c>
      <c r="BL294" s="53" t="s">
        <v>1307</v>
      </c>
      <c r="BM294" s="53">
        <v>2</v>
      </c>
      <c r="BN294" s="83">
        <v>46242</v>
      </c>
      <c r="BO294" s="53"/>
      <c r="BP294" s="53"/>
    </row>
    <row r="295" spans="3:69" ht="14.25" hidden="1" customHeight="1">
      <c r="C295" s="82" t="s">
        <v>13</v>
      </c>
      <c r="D295" s="82" t="s">
        <v>1441</v>
      </c>
      <c r="E295" s="82" t="s">
        <v>1410</v>
      </c>
      <c r="F295" s="82" t="s">
        <v>1084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3"/>
        <v>1</v>
      </c>
      <c r="M295" s="26">
        <f t="shared" si="3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67">
        <f>SUMIFS([1]Up!$J:$J,[1]Up!$D:$D,D295)</f>
        <v>0</v>
      </c>
      <c r="BF295" s="82"/>
      <c r="BG295" s="82" t="str">
        <f t="shared" si="34"/>
        <v>PL12</v>
      </c>
      <c r="BH295" s="53" t="str">
        <f t="shared" si="35"/>
        <v/>
      </c>
      <c r="BI295" s="53" t="s">
        <v>154</v>
      </c>
      <c r="BJ295" s="53" t="s">
        <v>1020</v>
      </c>
      <c r="BK295" s="53" t="s">
        <v>1021</v>
      </c>
      <c r="BL295" s="53" t="s">
        <v>1398</v>
      </c>
      <c r="BM295" s="53">
        <v>1</v>
      </c>
      <c r="BN295" s="83" t="s">
        <v>2222</v>
      </c>
      <c r="BO295" s="53"/>
      <c r="BP295" s="53"/>
    </row>
    <row r="296" spans="3:69" ht="14.25" hidden="1" customHeight="1">
      <c r="C296" s="82" t="s">
        <v>13</v>
      </c>
      <c r="D296" s="82" t="s">
        <v>1442</v>
      </c>
      <c r="E296" s="82" t="s">
        <v>1412</v>
      </c>
      <c r="F296" s="82" t="s">
        <v>1084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3"/>
        <v>1</v>
      </c>
      <c r="M296" s="26">
        <f t="shared" si="32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67">
        <f>SUMIFS([1]Up!$J:$J,[1]Up!$D:$D,D296)</f>
        <v>0</v>
      </c>
      <c r="BF296" s="82" t="s">
        <v>2071</v>
      </c>
      <c r="BG296" s="82" t="str">
        <f t="shared" si="34"/>
        <v>PL12</v>
      </c>
      <c r="BH296" s="53" t="str">
        <f t="shared" si="35"/>
        <v>Thừa 2</v>
      </c>
      <c r="BI296" s="53" t="s">
        <v>154</v>
      </c>
      <c r="BJ296" s="53" t="s">
        <v>1020</v>
      </c>
      <c r="BK296" s="53" t="s">
        <v>1021</v>
      </c>
      <c r="BL296" s="53" t="s">
        <v>57</v>
      </c>
      <c r="BM296" s="53">
        <v>1</v>
      </c>
      <c r="BN296" s="83"/>
      <c r="BO296" s="53"/>
      <c r="BP296" s="53"/>
    </row>
    <row r="297" spans="3:69" ht="14.25" hidden="1" customHeight="1">
      <c r="C297" s="82" t="s">
        <v>13</v>
      </c>
      <c r="D297" s="82" t="s">
        <v>1443</v>
      </c>
      <c r="E297" s="82" t="s">
        <v>1414</v>
      </c>
      <c r="F297" s="82" t="s">
        <v>1296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3"/>
        <v>3</v>
      </c>
      <c r="M297" s="26">
        <f t="shared" si="32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67">
        <f>SUMIFS([1]Up!$J:$J,[1]Up!$D:$D,D297)</f>
        <v>0</v>
      </c>
      <c r="BF297" s="82"/>
      <c r="BG297" s="82" t="str">
        <f t="shared" si="34"/>
        <v>PL12</v>
      </c>
      <c r="BH297" s="53" t="str">
        <f t="shared" si="35"/>
        <v/>
      </c>
      <c r="BI297" s="53" t="s">
        <v>154</v>
      </c>
      <c r="BJ297" s="53" t="s">
        <v>1020</v>
      </c>
      <c r="BK297" s="53" t="s">
        <v>1021</v>
      </c>
      <c r="BL297" s="53" t="s">
        <v>1022</v>
      </c>
      <c r="BM297" s="53">
        <v>3</v>
      </c>
      <c r="BN297" s="83">
        <v>46088</v>
      </c>
      <c r="BO297" s="53"/>
      <c r="BP297" s="53"/>
    </row>
    <row r="298" spans="3:69" ht="14.25" hidden="1" customHeight="1">
      <c r="C298" s="82" t="s">
        <v>13</v>
      </c>
      <c r="D298" s="82" t="s">
        <v>1444</v>
      </c>
      <c r="E298" s="82" t="s">
        <v>1416</v>
      </c>
      <c r="F298" s="82" t="s">
        <v>1296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3"/>
        <v>3</v>
      </c>
      <c r="M298" s="26">
        <f t="shared" si="32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67">
        <f>SUMIFS([1]Up!$J:$J,[1]Up!$D:$D,D298)</f>
        <v>0</v>
      </c>
      <c r="BF298" s="82"/>
      <c r="BG298" s="82" t="str">
        <f t="shared" si="34"/>
        <v>PL12</v>
      </c>
      <c r="BH298" s="53" t="str">
        <f t="shared" si="35"/>
        <v/>
      </c>
      <c r="BI298" s="53" t="s">
        <v>154</v>
      </c>
      <c r="BJ298" s="53" t="s">
        <v>1020</v>
      </c>
      <c r="BK298" s="53" t="s">
        <v>1021</v>
      </c>
      <c r="BL298" s="53" t="s">
        <v>1022</v>
      </c>
      <c r="BM298" s="53">
        <v>3</v>
      </c>
      <c r="BN298" s="83">
        <v>46088</v>
      </c>
      <c r="BO298" s="53"/>
      <c r="BP298" s="53"/>
    </row>
    <row r="299" spans="3:69" ht="14.25" hidden="1" customHeight="1">
      <c r="C299" s="82" t="s">
        <v>13</v>
      </c>
      <c r="D299" s="82" t="s">
        <v>1445</v>
      </c>
      <c r="E299" s="82" t="s">
        <v>1429</v>
      </c>
      <c r="F299" s="82" t="s">
        <v>1084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3"/>
        <v>1</v>
      </c>
      <c r="M299" s="26">
        <f t="shared" si="32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67">
        <f>SUMIFS([1]Up!$J:$J,[1]Up!$D:$D,D299)</f>
        <v>0</v>
      </c>
      <c r="BF299" s="82" t="s">
        <v>2071</v>
      </c>
      <c r="BG299" s="82" t="str">
        <f t="shared" si="34"/>
        <v>PL12</v>
      </c>
      <c r="BH299" s="53" t="str">
        <f t="shared" si="35"/>
        <v>Thừa 2</v>
      </c>
      <c r="BI299" s="53" t="s">
        <v>154</v>
      </c>
      <c r="BJ299" s="53" t="s">
        <v>1020</v>
      </c>
      <c r="BK299" s="53" t="s">
        <v>1021</v>
      </c>
      <c r="BL299" s="53" t="s">
        <v>57</v>
      </c>
      <c r="BM299" s="53">
        <v>1</v>
      </c>
      <c r="BN299" s="83"/>
      <c r="BO299" s="53"/>
      <c r="BP299" s="53"/>
    </row>
    <row r="300" spans="3:69" ht="14.25" hidden="1" customHeight="1">
      <c r="C300" s="82" t="s">
        <v>11</v>
      </c>
      <c r="D300" s="82" t="s">
        <v>1446</v>
      </c>
      <c r="E300" s="82" t="s">
        <v>1075</v>
      </c>
      <c r="F300" s="82" t="s">
        <v>1076</v>
      </c>
      <c r="G300" s="82">
        <v>812</v>
      </c>
      <c r="H300" s="82" t="s">
        <v>1077</v>
      </c>
      <c r="I300" s="82">
        <v>12</v>
      </c>
      <c r="J300" s="82">
        <v>13.05696</v>
      </c>
      <c r="K300" s="82">
        <v>156.68351999999999</v>
      </c>
      <c r="L300" s="26">
        <f t="shared" si="33"/>
        <v>6</v>
      </c>
      <c r="M300" s="26">
        <f t="shared" si="32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26"/>
      <c r="AZ300" s="26"/>
      <c r="BA300" s="26"/>
      <c r="BB300" s="26"/>
      <c r="BC300" s="26"/>
      <c r="BD300" s="26"/>
      <c r="BE300" s="67">
        <f>SUMIFS([1]Up!$J:$J,[1]Up!$D:$D,D300)</f>
        <v>0</v>
      </c>
      <c r="BF300" s="82"/>
      <c r="BG300" s="82" t="str">
        <f t="shared" si="34"/>
        <v/>
      </c>
      <c r="BH300" s="53" t="str">
        <f t="shared" si="35"/>
        <v/>
      </c>
      <c r="BI300" s="53" t="s">
        <v>148</v>
      </c>
      <c r="BJ300" s="53" t="s">
        <v>1078</v>
      </c>
      <c r="BK300" s="53" t="s">
        <v>1075</v>
      </c>
      <c r="BL300" s="84" t="s">
        <v>2161</v>
      </c>
      <c r="BM300" s="53">
        <v>24</v>
      </c>
      <c r="BN300" s="83" t="s">
        <v>2224</v>
      </c>
      <c r="BO300" s="53"/>
      <c r="BP300" s="53"/>
      <c r="BQ300" s="238"/>
    </row>
    <row r="301" spans="3:69" ht="14.25" hidden="1" customHeight="1">
      <c r="C301" s="82" t="s">
        <v>13</v>
      </c>
      <c r="D301" s="82" t="s">
        <v>1447</v>
      </c>
      <c r="E301" s="82" t="s">
        <v>1395</v>
      </c>
      <c r="F301" s="82" t="s">
        <v>1084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3"/>
        <v>0</v>
      </c>
      <c r="M301" s="26">
        <f t="shared" si="32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67">
        <f>SUMIFS([1]Up!$J:$J,[1]Up!$D:$D,D301)</f>
        <v>0</v>
      </c>
      <c r="BF301" s="82"/>
      <c r="BG301" s="82" t="str">
        <f t="shared" si="34"/>
        <v>PL12</v>
      </c>
      <c r="BH301" s="53" t="str">
        <f t="shared" si="35"/>
        <v/>
      </c>
      <c r="BI301" s="53" t="s">
        <v>154</v>
      </c>
      <c r="BJ301" s="53" t="s">
        <v>1020</v>
      </c>
      <c r="BK301" s="53" t="s">
        <v>1021</v>
      </c>
      <c r="BL301" s="53" t="s">
        <v>57</v>
      </c>
      <c r="BM301" s="53">
        <v>8</v>
      </c>
      <c r="BN301" s="83"/>
      <c r="BO301" s="53"/>
      <c r="BP301" s="53"/>
    </row>
    <row r="302" spans="3:69" ht="14.25" hidden="1" customHeight="1">
      <c r="C302" s="82" t="s">
        <v>13</v>
      </c>
      <c r="D302" s="82" t="s">
        <v>1448</v>
      </c>
      <c r="E302" s="82" t="s">
        <v>1397</v>
      </c>
      <c r="F302" s="82" t="s">
        <v>1084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3"/>
        <v>0</v>
      </c>
      <c r="M302" s="26">
        <f t="shared" si="32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67">
        <f>SUMIFS([1]Up!$J:$J,[1]Up!$D:$D,D302)</f>
        <v>0</v>
      </c>
      <c r="BF302" s="82"/>
      <c r="BG302" s="82" t="str">
        <f t="shared" si="34"/>
        <v>PL12</v>
      </c>
      <c r="BH302" s="53" t="str">
        <f t="shared" si="35"/>
        <v/>
      </c>
      <c r="BI302" s="53" t="s">
        <v>154</v>
      </c>
      <c r="BJ302" s="53" t="s">
        <v>1020</v>
      </c>
      <c r="BK302" s="53" t="s">
        <v>1021</v>
      </c>
      <c r="BL302" s="84" t="s">
        <v>1449</v>
      </c>
      <c r="BM302" s="53">
        <v>4</v>
      </c>
      <c r="BN302" s="83" t="s">
        <v>2227</v>
      </c>
      <c r="BO302" s="53"/>
      <c r="BP302" s="53"/>
      <c r="BQ302" s="238"/>
    </row>
    <row r="303" spans="3:69" ht="14.25" hidden="1" customHeight="1">
      <c r="C303" s="82" t="s">
        <v>13</v>
      </c>
      <c r="D303" s="82" t="s">
        <v>1450</v>
      </c>
      <c r="E303" s="82" t="s">
        <v>1397</v>
      </c>
      <c r="F303" s="82" t="s">
        <v>1084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3"/>
        <v>0</v>
      </c>
      <c r="M303" s="26">
        <f t="shared" si="32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67">
        <f>SUMIFS([1]Up!$J:$J,[1]Up!$D:$D,D303)</f>
        <v>0</v>
      </c>
      <c r="BF303" s="82"/>
      <c r="BG303" s="82" t="str">
        <f t="shared" si="34"/>
        <v>PL12</v>
      </c>
      <c r="BH303" s="53" t="str">
        <f t="shared" si="35"/>
        <v/>
      </c>
      <c r="BI303" s="53" t="s">
        <v>154</v>
      </c>
      <c r="BJ303" s="53" t="s">
        <v>1020</v>
      </c>
      <c r="BK303" s="53" t="s">
        <v>1021</v>
      </c>
      <c r="BL303" s="84" t="s">
        <v>2173</v>
      </c>
      <c r="BM303" s="53">
        <v>4</v>
      </c>
      <c r="BN303" s="83" t="s">
        <v>2227</v>
      </c>
      <c r="BO303" s="53"/>
      <c r="BP303" s="53"/>
      <c r="BQ303" s="238"/>
    </row>
    <row r="304" spans="3:69" ht="14.25" hidden="1" customHeight="1">
      <c r="C304" s="82" t="s">
        <v>13</v>
      </c>
      <c r="D304" s="82" t="s">
        <v>1451</v>
      </c>
      <c r="E304" s="82" t="s">
        <v>1397</v>
      </c>
      <c r="F304" s="82" t="s">
        <v>1084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3"/>
        <v>0</v>
      </c>
      <c r="M304" s="26">
        <f t="shared" si="32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67">
        <f>SUMIFS([1]Up!$J:$J,[1]Up!$D:$D,D304)</f>
        <v>0</v>
      </c>
      <c r="BF304" s="82"/>
      <c r="BG304" s="82" t="str">
        <f t="shared" si="34"/>
        <v>PL12</v>
      </c>
      <c r="BH304" s="53" t="str">
        <f t="shared" si="35"/>
        <v/>
      </c>
      <c r="BI304" s="53" t="s">
        <v>154</v>
      </c>
      <c r="BJ304" s="53" t="s">
        <v>1020</v>
      </c>
      <c r="BK304" s="53" t="s">
        <v>1021</v>
      </c>
      <c r="BL304" s="53" t="s">
        <v>57</v>
      </c>
      <c r="BM304" s="53">
        <v>4</v>
      </c>
      <c r="BN304" s="83"/>
      <c r="BO304" s="53"/>
      <c r="BP304" s="53"/>
    </row>
    <row r="305" spans="3:69" ht="14.25" hidden="1" customHeight="1">
      <c r="C305" s="82" t="s">
        <v>13</v>
      </c>
      <c r="D305" s="82" t="s">
        <v>1452</v>
      </c>
      <c r="E305" s="82" t="s">
        <v>1397</v>
      </c>
      <c r="F305" s="82" t="s">
        <v>1084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3"/>
        <v>0</v>
      </c>
      <c r="M305" s="26">
        <f t="shared" si="32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67">
        <f>SUMIFS([1]Up!$J:$J,[1]Up!$D:$D,D305)</f>
        <v>0</v>
      </c>
      <c r="BF305" s="82"/>
      <c r="BG305" s="82" t="str">
        <f t="shared" si="34"/>
        <v>PL12</v>
      </c>
      <c r="BH305" s="53" t="str">
        <f t="shared" si="35"/>
        <v/>
      </c>
      <c r="BI305" s="53" t="s">
        <v>154</v>
      </c>
      <c r="BJ305" s="53" t="s">
        <v>1020</v>
      </c>
      <c r="BK305" s="53" t="s">
        <v>1021</v>
      </c>
      <c r="BL305" s="53" t="s">
        <v>57</v>
      </c>
      <c r="BM305" s="53">
        <v>4</v>
      </c>
      <c r="BN305" s="83"/>
      <c r="BO305" s="53"/>
      <c r="BP305" s="53"/>
    </row>
    <row r="306" spans="3:69" ht="14.25" hidden="1" customHeight="1">
      <c r="C306" s="82" t="s">
        <v>13</v>
      </c>
      <c r="D306" s="82" t="s">
        <v>1453</v>
      </c>
      <c r="E306" s="82" t="s">
        <v>1157</v>
      </c>
      <c r="F306" s="82" t="s">
        <v>1296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3"/>
        <v>2</v>
      </c>
      <c r="M306" s="26">
        <f t="shared" si="32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67">
        <f>SUMIFS([1]Up!$J:$J,[1]Up!$D:$D,D306)</f>
        <v>0</v>
      </c>
      <c r="BF306" s="82"/>
      <c r="BG306" s="82" t="str">
        <f t="shared" si="34"/>
        <v>PL15</v>
      </c>
      <c r="BH306" s="53" t="str">
        <f t="shared" si="35"/>
        <v/>
      </c>
      <c r="BI306" s="53" t="s">
        <v>148</v>
      </c>
      <c r="BJ306" s="53" t="s">
        <v>1093</v>
      </c>
      <c r="BK306" s="53" t="s">
        <v>1094</v>
      </c>
      <c r="BL306" s="84" t="s">
        <v>2155</v>
      </c>
      <c r="BM306" s="53">
        <v>8</v>
      </c>
      <c r="BN306" s="83" t="s">
        <v>2224</v>
      </c>
      <c r="BO306" s="53"/>
      <c r="BP306" s="53"/>
      <c r="BQ306" s="238"/>
    </row>
    <row r="307" spans="3:69" ht="14.25" hidden="1" customHeight="1">
      <c r="C307" s="82" t="s">
        <v>13</v>
      </c>
      <c r="D307" s="82" t="s">
        <v>1454</v>
      </c>
      <c r="E307" s="82" t="s">
        <v>1163</v>
      </c>
      <c r="F307" s="82" t="s">
        <v>1296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3"/>
        <v>6</v>
      </c>
      <c r="M307" s="26">
        <f t="shared" si="32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26"/>
      <c r="AZ307" s="26"/>
      <c r="BA307" s="26"/>
      <c r="BB307" s="26"/>
      <c r="BC307" s="26"/>
      <c r="BD307" s="26"/>
      <c r="BE307" s="67">
        <f>SUMIFS([1]Up!$J:$J,[1]Up!$D:$D,D307)</f>
        <v>0</v>
      </c>
      <c r="BF307" s="82"/>
      <c r="BG307" s="82" t="str">
        <f t="shared" si="34"/>
        <v>PL16</v>
      </c>
      <c r="BH307" s="53" t="str">
        <f t="shared" si="35"/>
        <v/>
      </c>
      <c r="BI307" s="53" t="s">
        <v>148</v>
      </c>
      <c r="BJ307" s="53" t="s">
        <v>987</v>
      </c>
      <c r="BK307" s="53" t="s">
        <v>988</v>
      </c>
      <c r="BL307" s="84" t="s">
        <v>2160</v>
      </c>
      <c r="BM307" s="53">
        <v>24</v>
      </c>
      <c r="BN307" s="83" t="s">
        <v>2225</v>
      </c>
      <c r="BO307" s="53"/>
      <c r="BP307" s="53"/>
      <c r="BQ307" s="238"/>
    </row>
    <row r="308" spans="3:69" ht="14.25" hidden="1" customHeight="1">
      <c r="C308" s="82" t="s">
        <v>13</v>
      </c>
      <c r="D308" s="82" t="s">
        <v>1455</v>
      </c>
      <c r="E308" s="82" t="s">
        <v>1090</v>
      </c>
      <c r="F308" s="82" t="s">
        <v>1296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3"/>
        <v>6</v>
      </c>
      <c r="M308" s="26">
        <f t="shared" si="32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26"/>
      <c r="AZ308" s="26"/>
      <c r="BA308" s="26"/>
      <c r="BB308" s="26"/>
      <c r="BC308" s="26"/>
      <c r="BD308" s="26"/>
      <c r="BE308" s="67">
        <f>SUMIFS([1]Up!$J:$J,[1]Up!$D:$D,D308)</f>
        <v>0</v>
      </c>
      <c r="BF308" s="82"/>
      <c r="BG308" s="82" t="str">
        <f t="shared" si="34"/>
        <v>PL16</v>
      </c>
      <c r="BH308" s="53" t="str">
        <f t="shared" si="35"/>
        <v/>
      </c>
      <c r="BI308" s="53" t="s">
        <v>148</v>
      </c>
      <c r="BJ308" s="53" t="s">
        <v>987</v>
      </c>
      <c r="BK308" s="53" t="s">
        <v>988</v>
      </c>
      <c r="BL308" s="84" t="s">
        <v>2160</v>
      </c>
      <c r="BM308" s="53">
        <v>24</v>
      </c>
      <c r="BN308" s="83" t="s">
        <v>2225</v>
      </c>
      <c r="BO308" s="53"/>
      <c r="BP308" s="53"/>
      <c r="BQ308" s="238"/>
    </row>
    <row r="309" spans="3:69" ht="14.25" hidden="1" customHeight="1">
      <c r="C309" s="82" t="s">
        <v>13</v>
      </c>
      <c r="D309" s="82" t="s">
        <v>1456</v>
      </c>
      <c r="E309" s="82" t="s">
        <v>1406</v>
      </c>
      <c r="F309" s="82" t="s">
        <v>1296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3"/>
        <v>2</v>
      </c>
      <c r="M309" s="26">
        <f t="shared" si="32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67">
        <f>SUMIFS([1]Up!$J:$J,[1]Up!$D:$D,D309)</f>
        <v>0</v>
      </c>
      <c r="BF309" s="82"/>
      <c r="BG309" s="82" t="str">
        <f t="shared" si="34"/>
        <v>PL12</v>
      </c>
      <c r="BH309" s="53" t="str">
        <f t="shared" si="35"/>
        <v/>
      </c>
      <c r="BI309" s="53" t="s">
        <v>148</v>
      </c>
      <c r="BJ309" s="53" t="s">
        <v>1020</v>
      </c>
      <c r="BK309" s="53" t="s">
        <v>1021</v>
      </c>
      <c r="BL309" s="84" t="s">
        <v>2159</v>
      </c>
      <c r="BM309" s="53">
        <v>24</v>
      </c>
      <c r="BN309" s="83">
        <v>46302</v>
      </c>
      <c r="BO309" s="53"/>
      <c r="BP309" s="53"/>
      <c r="BQ309" s="238"/>
    </row>
    <row r="310" spans="3:69" ht="14.25" hidden="1" customHeight="1">
      <c r="C310" s="82" t="s">
        <v>13</v>
      </c>
      <c r="D310" s="82" t="s">
        <v>1457</v>
      </c>
      <c r="E310" s="82" t="s">
        <v>1408</v>
      </c>
      <c r="F310" s="82" t="s">
        <v>1296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3"/>
        <v>6</v>
      </c>
      <c r="M310" s="26">
        <f t="shared" si="32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67">
        <f>SUMIFS([1]Up!$J:$J,[1]Up!$D:$D,D310)</f>
        <v>0</v>
      </c>
      <c r="BF310" s="82"/>
      <c r="BG310" s="82" t="str">
        <f t="shared" si="34"/>
        <v>PL12</v>
      </c>
      <c r="BH310" s="53" t="str">
        <f t="shared" si="35"/>
        <v/>
      </c>
      <c r="BI310" s="53" t="s">
        <v>148</v>
      </c>
      <c r="BJ310" s="53" t="s">
        <v>1020</v>
      </c>
      <c r="BK310" s="53" t="s">
        <v>1021</v>
      </c>
      <c r="BL310" s="84" t="s">
        <v>2159</v>
      </c>
      <c r="BM310" s="53">
        <v>24</v>
      </c>
      <c r="BN310" s="83">
        <v>46302</v>
      </c>
      <c r="BO310" s="53"/>
      <c r="BP310" s="53"/>
      <c r="BQ310" s="238"/>
    </row>
    <row r="311" spans="3:69" ht="14.25" hidden="1" customHeight="1">
      <c r="C311" s="82" t="s">
        <v>13</v>
      </c>
      <c r="D311" s="82" t="s">
        <v>1458</v>
      </c>
      <c r="E311" s="82" t="s">
        <v>1088</v>
      </c>
      <c r="F311" s="82" t="s">
        <v>1084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3"/>
        <v>2</v>
      </c>
      <c r="M311" s="26">
        <f t="shared" si="32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67">
        <f>SUMIFS([1]Up!$J:$J,[1]Up!$D:$D,D311)</f>
        <v>0</v>
      </c>
      <c r="BF311" s="82" t="s">
        <v>2228</v>
      </c>
      <c r="BG311" s="82" t="str">
        <f t="shared" si="34"/>
        <v>PL12</v>
      </c>
      <c r="BH311" s="53" t="str">
        <f t="shared" si="35"/>
        <v/>
      </c>
      <c r="BI311" s="53" t="s">
        <v>154</v>
      </c>
      <c r="BJ311" s="53" t="s">
        <v>1020</v>
      </c>
      <c r="BK311" s="53" t="s">
        <v>1021</v>
      </c>
      <c r="BL311" s="53" t="s">
        <v>57</v>
      </c>
      <c r="BM311" s="53">
        <v>4</v>
      </c>
      <c r="BN311" s="83"/>
      <c r="BO311" s="53"/>
      <c r="BP311" s="53"/>
    </row>
    <row r="312" spans="3:69" ht="14.25" hidden="1" customHeight="1">
      <c r="C312" s="82" t="s">
        <v>13</v>
      </c>
      <c r="D312" s="82" t="s">
        <v>1459</v>
      </c>
      <c r="E312" s="82" t="s">
        <v>1432</v>
      </c>
      <c r="F312" s="82" t="s">
        <v>1084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3"/>
        <v>0</v>
      </c>
      <c r="M312" s="26">
        <f t="shared" si="32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67">
        <f>SUMIFS([1]Up!$J:$J,[1]Up!$D:$D,D312)</f>
        <v>0</v>
      </c>
      <c r="BF312" s="82"/>
      <c r="BG312" s="82" t="str">
        <f t="shared" si="34"/>
        <v>PL12</v>
      </c>
      <c r="BH312" s="53" t="str">
        <f t="shared" si="35"/>
        <v/>
      </c>
      <c r="BI312" s="53" t="s">
        <v>154</v>
      </c>
      <c r="BJ312" s="53" t="s">
        <v>1020</v>
      </c>
      <c r="BK312" s="53" t="s">
        <v>1021</v>
      </c>
      <c r="BL312" s="84" t="s">
        <v>2154</v>
      </c>
      <c r="BM312" s="53">
        <v>4</v>
      </c>
      <c r="BN312" s="83" t="s">
        <v>2227</v>
      </c>
      <c r="BO312" s="53"/>
      <c r="BP312" s="53"/>
      <c r="BQ312" s="238"/>
    </row>
    <row r="313" spans="3:69" ht="14.25" hidden="1" customHeight="1">
      <c r="C313" s="82" t="s">
        <v>13</v>
      </c>
      <c r="D313" s="82" t="s">
        <v>1460</v>
      </c>
      <c r="E313" s="82" t="s">
        <v>1434</v>
      </c>
      <c r="F313" s="82" t="s">
        <v>1084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3"/>
        <v>2</v>
      </c>
      <c r="M313" s="26">
        <f t="shared" si="32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67">
        <f>SUMIFS([1]Up!$J:$J,[1]Up!$D:$D,D313)</f>
        <v>0</v>
      </c>
      <c r="BF313" s="82" t="s">
        <v>2244</v>
      </c>
      <c r="BG313" s="82" t="str">
        <f t="shared" si="34"/>
        <v>PL12</v>
      </c>
      <c r="BH313" s="53" t="str">
        <f t="shared" si="35"/>
        <v>Thừa 1</v>
      </c>
      <c r="BI313" s="53" t="s">
        <v>154</v>
      </c>
      <c r="BJ313" s="53" t="s">
        <v>1020</v>
      </c>
      <c r="BK313" s="53" t="s">
        <v>1021</v>
      </c>
      <c r="BL313" s="53" t="s">
        <v>57</v>
      </c>
      <c r="BM313" s="53">
        <v>4</v>
      </c>
      <c r="BN313" s="83"/>
      <c r="BO313" s="53"/>
      <c r="BP313" s="53"/>
    </row>
    <row r="314" spans="3:69" ht="14.25" hidden="1" customHeight="1">
      <c r="C314" s="82" t="s">
        <v>13</v>
      </c>
      <c r="D314" s="82" t="s">
        <v>1461</v>
      </c>
      <c r="E314" s="82" t="s">
        <v>1436</v>
      </c>
      <c r="F314" s="82" t="s">
        <v>1296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3"/>
        <v>1</v>
      </c>
      <c r="M314" s="26">
        <f t="shared" si="32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67">
        <f>SUMIFS([1]Up!$J:$J,[1]Up!$D:$D,D314)</f>
        <v>0</v>
      </c>
      <c r="BF314" s="82"/>
      <c r="BG314" s="82" t="str">
        <f t="shared" si="34"/>
        <v>PL12</v>
      </c>
      <c r="BH314" s="53" t="str">
        <f t="shared" si="35"/>
        <v/>
      </c>
      <c r="BI314" s="53" t="s">
        <v>148</v>
      </c>
      <c r="BJ314" s="53" t="s">
        <v>1020</v>
      </c>
      <c r="BK314" s="53" t="s">
        <v>1021</v>
      </c>
      <c r="BL314" s="84" t="s">
        <v>2159</v>
      </c>
      <c r="BM314" s="53">
        <v>12</v>
      </c>
      <c r="BN314" s="83">
        <v>46302</v>
      </c>
      <c r="BO314" s="53"/>
      <c r="BP314" s="53"/>
      <c r="BQ314" s="238"/>
    </row>
    <row r="315" spans="3:69" ht="14.25" hidden="1" customHeight="1">
      <c r="C315" s="82" t="s">
        <v>13</v>
      </c>
      <c r="D315" s="82" t="s">
        <v>1462</v>
      </c>
      <c r="E315" s="82" t="s">
        <v>1438</v>
      </c>
      <c r="F315" s="82" t="s">
        <v>1296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3"/>
        <v>3</v>
      </c>
      <c r="M315" s="26">
        <f t="shared" si="32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67">
        <f>SUMIFS([1]Up!$J:$J,[1]Up!$D:$D,D315)</f>
        <v>0</v>
      </c>
      <c r="BF315" s="82"/>
      <c r="BG315" s="82" t="str">
        <f t="shared" si="34"/>
        <v>PL12</v>
      </c>
      <c r="BH315" s="53" t="str">
        <f t="shared" si="35"/>
        <v/>
      </c>
      <c r="BI315" s="53" t="s">
        <v>148</v>
      </c>
      <c r="BJ315" s="53" t="s">
        <v>1020</v>
      </c>
      <c r="BK315" s="53" t="s">
        <v>1021</v>
      </c>
      <c r="BL315" s="84" t="s">
        <v>2159</v>
      </c>
      <c r="BM315" s="53">
        <v>12</v>
      </c>
      <c r="BN315" s="83">
        <v>46302</v>
      </c>
      <c r="BO315" s="53"/>
      <c r="BP315" s="53"/>
      <c r="BQ315" s="238"/>
    </row>
    <row r="316" spans="3:69" ht="14.25" hidden="1" customHeight="1">
      <c r="C316" s="82" t="s">
        <v>13</v>
      </c>
      <c r="D316" s="82" t="s">
        <v>1463</v>
      </c>
      <c r="E316" s="82" t="s">
        <v>1125</v>
      </c>
      <c r="F316" s="82" t="s">
        <v>1296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3"/>
        <v>2</v>
      </c>
      <c r="M316" s="26">
        <f t="shared" si="32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26"/>
      <c r="AZ316" s="26"/>
      <c r="BA316" s="26"/>
      <c r="BB316" s="26"/>
      <c r="BC316" s="26"/>
      <c r="BD316" s="26"/>
      <c r="BE316" s="67">
        <f>SUMIFS([1]Up!$J:$J,[1]Up!$D:$D,D316)</f>
        <v>0</v>
      </c>
      <c r="BF316" s="82"/>
      <c r="BG316" s="82" t="str">
        <f t="shared" si="34"/>
        <v>PL15</v>
      </c>
      <c r="BH316" s="53" t="str">
        <f t="shared" si="35"/>
        <v/>
      </c>
      <c r="BI316" s="53" t="s">
        <v>148</v>
      </c>
      <c r="BJ316" s="53" t="s">
        <v>1093</v>
      </c>
      <c r="BK316" s="53" t="s">
        <v>1094</v>
      </c>
      <c r="BL316" s="84" t="s">
        <v>2155</v>
      </c>
      <c r="BM316" s="53">
        <v>8</v>
      </c>
      <c r="BN316" s="83" t="s">
        <v>2224</v>
      </c>
      <c r="BO316" s="53"/>
      <c r="BP316" s="53"/>
      <c r="BQ316" s="238"/>
    </row>
    <row r="317" spans="3:69" ht="14.25" hidden="1" customHeight="1">
      <c r="C317" s="82" t="s">
        <v>13</v>
      </c>
      <c r="D317" s="82" t="s">
        <v>1464</v>
      </c>
      <c r="E317" s="82" t="s">
        <v>1123</v>
      </c>
      <c r="F317" s="82" t="s">
        <v>1296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3"/>
        <v>2</v>
      </c>
      <c r="M317" s="26">
        <f t="shared" si="32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67">
        <f>SUMIFS([1]Up!$J:$J,[1]Up!$D:$D,D317)</f>
        <v>0</v>
      </c>
      <c r="BF317" s="82"/>
      <c r="BG317" s="82" t="str">
        <f t="shared" si="34"/>
        <v>PL20</v>
      </c>
      <c r="BH317" s="53" t="str">
        <f t="shared" si="35"/>
        <v/>
      </c>
      <c r="BI317" s="53" t="s">
        <v>148</v>
      </c>
      <c r="BJ317" s="53" t="s">
        <v>1099</v>
      </c>
      <c r="BK317" s="53" t="s">
        <v>1100</v>
      </c>
      <c r="BL317" s="84" t="s">
        <v>2157</v>
      </c>
      <c r="BM317" s="53">
        <v>8</v>
      </c>
      <c r="BN317" s="83">
        <v>46242</v>
      </c>
      <c r="BO317" s="53"/>
      <c r="BP317" s="53"/>
      <c r="BQ317" s="238"/>
    </row>
    <row r="318" spans="3:69" ht="14.25" hidden="1" customHeight="1">
      <c r="C318" s="82" t="s">
        <v>13</v>
      </c>
      <c r="D318" s="82" t="s">
        <v>1465</v>
      </c>
      <c r="E318" s="82" t="s">
        <v>1410</v>
      </c>
      <c r="F318" s="82" t="s">
        <v>1084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3"/>
        <v>0</v>
      </c>
      <c r="M318" s="26">
        <f t="shared" si="32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67">
        <f>SUMIFS([1]Up!$J:$J,[1]Up!$D:$D,D318)</f>
        <v>0</v>
      </c>
      <c r="BF318" s="82"/>
      <c r="BG318" s="82" t="str">
        <f t="shared" si="34"/>
        <v>PL12</v>
      </c>
      <c r="BH318" s="53" t="str">
        <f t="shared" si="35"/>
        <v/>
      </c>
      <c r="BI318" s="53" t="s">
        <v>154</v>
      </c>
      <c r="BJ318" s="53" t="s">
        <v>1020</v>
      </c>
      <c r="BK318" s="53" t="s">
        <v>1021</v>
      </c>
      <c r="BL318" s="84" t="s">
        <v>2154</v>
      </c>
      <c r="BM318" s="53">
        <v>4</v>
      </c>
      <c r="BN318" s="83" t="s">
        <v>2227</v>
      </c>
      <c r="BO318" s="53"/>
      <c r="BP318" s="53"/>
      <c r="BQ318" s="238"/>
    </row>
    <row r="319" spans="3:69" ht="14.25" hidden="1" customHeight="1">
      <c r="C319" s="82" t="s">
        <v>13</v>
      </c>
      <c r="D319" s="82" t="s">
        <v>1466</v>
      </c>
      <c r="E319" s="82" t="s">
        <v>1412</v>
      </c>
      <c r="F319" s="82" t="s">
        <v>1084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3"/>
        <v>2</v>
      </c>
      <c r="M319" s="26">
        <f t="shared" si="32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67">
        <f>SUMIFS([1]Up!$J:$J,[1]Up!$D:$D,D319)</f>
        <v>0</v>
      </c>
      <c r="BF319" s="82" t="s">
        <v>2077</v>
      </c>
      <c r="BG319" s="82" t="str">
        <f t="shared" si="34"/>
        <v>PL12</v>
      </c>
      <c r="BH319" s="53" t="str">
        <f t="shared" si="35"/>
        <v>Thừa 1</v>
      </c>
      <c r="BI319" s="53" t="s">
        <v>154</v>
      </c>
      <c r="BJ319" s="53" t="s">
        <v>1020</v>
      </c>
      <c r="BK319" s="53" t="s">
        <v>1021</v>
      </c>
      <c r="BL319" s="53" t="s">
        <v>57</v>
      </c>
      <c r="BM319" s="53">
        <v>4</v>
      </c>
      <c r="BN319" s="83"/>
      <c r="BO319" s="53"/>
      <c r="BP319" s="53"/>
    </row>
    <row r="320" spans="3:69" ht="14.25" hidden="1" customHeight="1">
      <c r="C320" s="82" t="s">
        <v>13</v>
      </c>
      <c r="D320" s="82" t="s">
        <v>1467</v>
      </c>
      <c r="E320" s="82" t="s">
        <v>1414</v>
      </c>
      <c r="F320" s="82" t="s">
        <v>1296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3"/>
        <v>0</v>
      </c>
      <c r="M320" s="26">
        <f t="shared" si="32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67">
        <f>SUMIFS([1]Up!$J:$J,[1]Up!$D:$D,D320)</f>
        <v>0</v>
      </c>
      <c r="BF320" s="82"/>
      <c r="BG320" s="82" t="str">
        <f t="shared" si="34"/>
        <v>PL12</v>
      </c>
      <c r="BH320" s="53" t="str">
        <f t="shared" si="35"/>
        <v/>
      </c>
      <c r="BI320" s="53" t="s">
        <v>148</v>
      </c>
      <c r="BJ320" s="53" t="s">
        <v>1020</v>
      </c>
      <c r="BK320" s="53" t="s">
        <v>1021</v>
      </c>
      <c r="BL320" s="84" t="s">
        <v>2159</v>
      </c>
      <c r="BM320" s="53">
        <v>12</v>
      </c>
      <c r="BN320" s="83">
        <v>46302</v>
      </c>
      <c r="BO320" s="53"/>
      <c r="BP320" s="53"/>
      <c r="BQ320" s="238"/>
    </row>
    <row r="321" spans="3:69" ht="14.25" hidden="1" customHeight="1">
      <c r="C321" s="82" t="s">
        <v>13</v>
      </c>
      <c r="D321" s="82" t="s">
        <v>1468</v>
      </c>
      <c r="E321" s="82" t="s">
        <v>1416</v>
      </c>
      <c r="F321" s="82" t="s">
        <v>1296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3"/>
        <v>0</v>
      </c>
      <c r="M321" s="26">
        <f t="shared" si="32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67">
        <f>SUMIFS([1]Up!$J:$J,[1]Up!$D:$D,D321)</f>
        <v>0</v>
      </c>
      <c r="BF321" s="82"/>
      <c r="BG321" s="82" t="str">
        <f t="shared" si="34"/>
        <v>PL12</v>
      </c>
      <c r="BH321" s="53" t="str">
        <f t="shared" si="35"/>
        <v/>
      </c>
      <c r="BI321" s="53" t="s">
        <v>148</v>
      </c>
      <c r="BJ321" s="53" t="s">
        <v>1020</v>
      </c>
      <c r="BK321" s="53" t="s">
        <v>1021</v>
      </c>
      <c r="BL321" s="84" t="s">
        <v>2159</v>
      </c>
      <c r="BM321" s="53">
        <v>12</v>
      </c>
      <c r="BN321" s="83">
        <v>46302</v>
      </c>
      <c r="BO321" s="53"/>
      <c r="BP321" s="53"/>
      <c r="BQ321" s="238"/>
    </row>
    <row r="322" spans="3:69" ht="14.25" hidden="1" customHeight="1">
      <c r="C322" s="82" t="s">
        <v>13</v>
      </c>
      <c r="D322" s="82" t="s">
        <v>1469</v>
      </c>
      <c r="E322" s="82" t="s">
        <v>1429</v>
      </c>
      <c r="F322" s="82" t="s">
        <v>1084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3"/>
        <v>2</v>
      </c>
      <c r="M322" s="26">
        <f t="shared" si="32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67">
        <f>SUMIFS([1]Up!$J:$J,[1]Up!$D:$D,D322)</f>
        <v>0</v>
      </c>
      <c r="BF322" s="82" t="s">
        <v>2242</v>
      </c>
      <c r="BG322" s="82" t="str">
        <f t="shared" si="34"/>
        <v>PL12</v>
      </c>
      <c r="BH322" s="53" t="str">
        <f t="shared" si="35"/>
        <v/>
      </c>
      <c r="BI322" s="53" t="s">
        <v>154</v>
      </c>
      <c r="BJ322" s="53" t="s">
        <v>1020</v>
      </c>
      <c r="BK322" s="53" t="s">
        <v>1021</v>
      </c>
      <c r="BL322" s="53" t="s">
        <v>57</v>
      </c>
      <c r="BM322" s="53">
        <v>4</v>
      </c>
      <c r="BN322" s="83"/>
      <c r="BO322" s="53"/>
      <c r="BP322" s="53"/>
    </row>
    <row r="323" spans="3:69" ht="14.25" hidden="1" customHeight="1">
      <c r="C323" s="82" t="s">
        <v>13</v>
      </c>
      <c r="D323" s="82" t="s">
        <v>1470</v>
      </c>
      <c r="E323" s="82" t="s">
        <v>1410</v>
      </c>
      <c r="F323" s="82" t="s">
        <v>1084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3"/>
        <v>0</v>
      </c>
      <c r="M323" s="26">
        <f t="shared" si="32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67">
        <f>SUMIFS([1]Up!$J:$J,[1]Up!$D:$D,D323)</f>
        <v>0</v>
      </c>
      <c r="BF323" s="82"/>
      <c r="BG323" s="82" t="str">
        <f t="shared" si="34"/>
        <v>PL12</v>
      </c>
      <c r="BH323" s="53" t="str">
        <f t="shared" si="35"/>
        <v/>
      </c>
      <c r="BI323" s="53" t="s">
        <v>154</v>
      </c>
      <c r="BJ323" s="53" t="s">
        <v>1020</v>
      </c>
      <c r="BK323" s="53" t="s">
        <v>1021</v>
      </c>
      <c r="BL323" s="84" t="s">
        <v>2154</v>
      </c>
      <c r="BM323" s="53">
        <v>4</v>
      </c>
      <c r="BN323" s="83" t="s">
        <v>2227</v>
      </c>
      <c r="BO323" s="53"/>
      <c r="BP323" s="53"/>
      <c r="BQ323" s="238"/>
    </row>
    <row r="324" spans="3:69" ht="14.25" hidden="1" customHeight="1">
      <c r="C324" s="82" t="s">
        <v>13</v>
      </c>
      <c r="D324" s="82" t="s">
        <v>1471</v>
      </c>
      <c r="E324" s="82" t="s">
        <v>1412</v>
      </c>
      <c r="F324" s="82" t="s">
        <v>1084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3"/>
        <v>2</v>
      </c>
      <c r="M324" s="26">
        <f t="shared" si="32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67">
        <f>SUMIFS([1]Up!$J:$J,[1]Up!$D:$D,D324)</f>
        <v>0</v>
      </c>
      <c r="BF324" s="82" t="s">
        <v>2249</v>
      </c>
      <c r="BG324" s="82" t="str">
        <f t="shared" si="34"/>
        <v>PL12</v>
      </c>
      <c r="BH324" s="53" t="str">
        <f t="shared" si="35"/>
        <v>Thừa 1</v>
      </c>
      <c r="BI324" s="53" t="s">
        <v>154</v>
      </c>
      <c r="BJ324" s="53" t="s">
        <v>1020</v>
      </c>
      <c r="BK324" s="53" t="s">
        <v>1021</v>
      </c>
      <c r="BL324" s="53" t="s">
        <v>57</v>
      </c>
      <c r="BM324" s="53">
        <v>4</v>
      </c>
      <c r="BN324" s="83"/>
      <c r="BO324" s="53"/>
      <c r="BP324" s="53"/>
    </row>
    <row r="325" spans="3:69" ht="14.25" hidden="1" customHeight="1">
      <c r="C325" s="82" t="s">
        <v>13</v>
      </c>
      <c r="D325" s="82" t="s">
        <v>1472</v>
      </c>
      <c r="E325" s="82" t="s">
        <v>1414</v>
      </c>
      <c r="F325" s="82" t="s">
        <v>1296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3"/>
        <v>0</v>
      </c>
      <c r="M325" s="26">
        <f t="shared" si="32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67">
        <f>SUMIFS([1]Up!$J:$J,[1]Up!$D:$D,D325)</f>
        <v>0</v>
      </c>
      <c r="BF325" s="82"/>
      <c r="BG325" s="82" t="str">
        <f t="shared" si="34"/>
        <v>PL12</v>
      </c>
      <c r="BH325" s="53" t="str">
        <f t="shared" si="35"/>
        <v/>
      </c>
      <c r="BI325" s="53" t="s">
        <v>148</v>
      </c>
      <c r="BJ325" s="53" t="s">
        <v>1020</v>
      </c>
      <c r="BK325" s="53" t="s">
        <v>1021</v>
      </c>
      <c r="BL325" s="84" t="s">
        <v>2159</v>
      </c>
      <c r="BM325" s="53">
        <v>12</v>
      </c>
      <c r="BN325" s="83">
        <v>46302</v>
      </c>
      <c r="BO325" s="53"/>
      <c r="BP325" s="53"/>
      <c r="BQ325" s="238"/>
    </row>
    <row r="326" spans="3:69" ht="14.25" hidden="1" customHeight="1">
      <c r="C326" s="82" t="s">
        <v>13</v>
      </c>
      <c r="D326" s="82" t="s">
        <v>1473</v>
      </c>
      <c r="E326" s="82" t="s">
        <v>1416</v>
      </c>
      <c r="F326" s="82" t="s">
        <v>1296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3"/>
        <v>0</v>
      </c>
      <c r="M326" s="26">
        <f t="shared" si="32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67">
        <f>SUMIFS([1]Up!$J:$J,[1]Up!$D:$D,D326)</f>
        <v>0</v>
      </c>
      <c r="BF326" s="82"/>
      <c r="BG326" s="82" t="str">
        <f t="shared" si="34"/>
        <v>PL12</v>
      </c>
      <c r="BH326" s="53" t="str">
        <f t="shared" si="35"/>
        <v/>
      </c>
      <c r="BI326" s="53" t="s">
        <v>148</v>
      </c>
      <c r="BJ326" s="53" t="s">
        <v>1020</v>
      </c>
      <c r="BK326" s="53" t="s">
        <v>1021</v>
      </c>
      <c r="BL326" s="84" t="s">
        <v>2159</v>
      </c>
      <c r="BM326" s="53">
        <v>12</v>
      </c>
      <c r="BN326" s="83">
        <v>46302</v>
      </c>
      <c r="BO326" s="53"/>
      <c r="BP326" s="53"/>
      <c r="BQ326" s="238"/>
    </row>
    <row r="327" spans="3:69" ht="14.25" hidden="1" customHeight="1">
      <c r="C327" s="82" t="s">
        <v>13</v>
      </c>
      <c r="D327" s="82" t="s">
        <v>1474</v>
      </c>
      <c r="E327" s="82" t="s">
        <v>1429</v>
      </c>
      <c r="F327" s="82" t="s">
        <v>1084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3"/>
        <v>2</v>
      </c>
      <c r="M327" s="26">
        <f t="shared" si="32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67">
        <f>SUMIFS([1]Up!$J:$J,[1]Up!$D:$D,D327)</f>
        <v>0</v>
      </c>
      <c r="BF327" s="82" t="s">
        <v>2242</v>
      </c>
      <c r="BG327" s="82" t="str">
        <f t="shared" si="34"/>
        <v>PL12</v>
      </c>
      <c r="BH327" s="53" t="str">
        <f t="shared" si="35"/>
        <v/>
      </c>
      <c r="BI327" s="53" t="s">
        <v>154</v>
      </c>
      <c r="BJ327" s="53" t="s">
        <v>1020</v>
      </c>
      <c r="BK327" s="53" t="s">
        <v>1021</v>
      </c>
      <c r="BL327" s="53" t="s">
        <v>57</v>
      </c>
      <c r="BM327" s="53">
        <v>4</v>
      </c>
      <c r="BN327" s="83"/>
      <c r="BO327" s="53"/>
      <c r="BP327" s="53"/>
    </row>
    <row r="328" spans="3:69" ht="14.25" hidden="1" customHeight="1">
      <c r="C328" s="82" t="s">
        <v>11</v>
      </c>
      <c r="D328" s="82" t="s">
        <v>1475</v>
      </c>
      <c r="E328" s="82" t="s">
        <v>1075</v>
      </c>
      <c r="F328" s="82" t="s">
        <v>1076</v>
      </c>
      <c r="G328" s="82">
        <v>812</v>
      </c>
      <c r="H328" s="82" t="s">
        <v>1077</v>
      </c>
      <c r="I328" s="82">
        <v>3</v>
      </c>
      <c r="J328" s="82">
        <v>13.05696</v>
      </c>
      <c r="K328" s="82">
        <v>39.170879999999997</v>
      </c>
      <c r="L328" s="26">
        <f t="shared" si="33"/>
        <v>3</v>
      </c>
      <c r="M328" s="26">
        <f t="shared" si="32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67">
        <f>SUMIFS([1]Up!$J:$J,[1]Up!$D:$D,D328)</f>
        <v>0</v>
      </c>
      <c r="BF328" s="82"/>
      <c r="BG328" s="82" t="str">
        <f t="shared" si="34"/>
        <v/>
      </c>
      <c r="BH328" s="53" t="str">
        <f t="shared" si="35"/>
        <v/>
      </c>
      <c r="BI328" s="53" t="s">
        <v>148</v>
      </c>
      <c r="BJ328" s="53" t="s">
        <v>1078</v>
      </c>
      <c r="BK328" s="53" t="s">
        <v>1075</v>
      </c>
      <c r="BL328" s="53" t="s">
        <v>1289</v>
      </c>
      <c r="BM328" s="53">
        <v>3</v>
      </c>
      <c r="BN328" s="83">
        <v>46362</v>
      </c>
      <c r="BO328" s="53"/>
      <c r="BP328" s="53"/>
    </row>
    <row r="329" spans="3:69" ht="14.25" hidden="1" customHeight="1">
      <c r="C329" s="82" t="s">
        <v>13</v>
      </c>
      <c r="D329" s="82" t="s">
        <v>1476</v>
      </c>
      <c r="E329" s="82" t="s">
        <v>1477</v>
      </c>
      <c r="F329" s="82" t="s">
        <v>1084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3"/>
        <v>1</v>
      </c>
      <c r="M329" s="26">
        <f t="shared" si="32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67">
        <f>SUMIFS([1]Up!$J:$J,[1]Up!$D:$D,D329)</f>
        <v>0</v>
      </c>
      <c r="BF329" s="82" t="s">
        <v>2228</v>
      </c>
      <c r="BG329" s="82" t="str">
        <f t="shared" si="34"/>
        <v>PL10</v>
      </c>
      <c r="BH329" s="53" t="str">
        <f t="shared" si="35"/>
        <v>Thừa 1</v>
      </c>
      <c r="BI329" s="53" t="s">
        <v>154</v>
      </c>
      <c r="BJ329" s="53" t="s">
        <v>1004</v>
      </c>
      <c r="BK329" s="53" t="s">
        <v>1005</v>
      </c>
      <c r="BL329" s="53" t="s">
        <v>57</v>
      </c>
      <c r="BM329" s="53">
        <v>1</v>
      </c>
      <c r="BN329" s="83"/>
      <c r="BO329" s="53"/>
      <c r="BP329" s="53"/>
    </row>
    <row r="330" spans="3:69" ht="14.25" hidden="1" customHeight="1">
      <c r="C330" s="82" t="s">
        <v>13</v>
      </c>
      <c r="D330" s="82" t="s">
        <v>1478</v>
      </c>
      <c r="E330" s="82" t="s">
        <v>1479</v>
      </c>
      <c r="F330" s="82" t="s">
        <v>1084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3"/>
        <v>1</v>
      </c>
      <c r="M330" s="26">
        <f t="shared" si="32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67">
        <f>SUMIFS([1]Up!$J:$J,[1]Up!$D:$D,D330)</f>
        <v>0</v>
      </c>
      <c r="BF330" s="82" t="s">
        <v>2073</v>
      </c>
      <c r="BG330" s="82" t="str">
        <f t="shared" si="34"/>
        <v>PL12</v>
      </c>
      <c r="BH330" s="53" t="str">
        <f t="shared" si="35"/>
        <v>Thừa 1</v>
      </c>
      <c r="BI330" s="53" t="s">
        <v>154</v>
      </c>
      <c r="BJ330" s="53" t="s">
        <v>1020</v>
      </c>
      <c r="BK330" s="53" t="s">
        <v>1021</v>
      </c>
      <c r="BL330" s="53" t="s">
        <v>57</v>
      </c>
      <c r="BM330" s="53">
        <v>1</v>
      </c>
      <c r="BN330" s="83"/>
      <c r="BO330" s="53"/>
      <c r="BP330" s="53"/>
    </row>
    <row r="331" spans="3:69" ht="14.25" hidden="1" customHeight="1">
      <c r="C331" s="82" t="s">
        <v>13</v>
      </c>
      <c r="D331" s="82" t="s">
        <v>1480</v>
      </c>
      <c r="E331" s="82" t="s">
        <v>1479</v>
      </c>
      <c r="F331" s="82" t="s">
        <v>1084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3"/>
        <v>1</v>
      </c>
      <c r="M331" s="26">
        <f t="shared" si="32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67">
        <f>SUMIFS([1]Up!$J:$J,[1]Up!$D:$D,D331)</f>
        <v>0</v>
      </c>
      <c r="BF331" s="82" t="s">
        <v>2073</v>
      </c>
      <c r="BG331" s="82" t="str">
        <f t="shared" si="34"/>
        <v>PL12</v>
      </c>
      <c r="BH331" s="53" t="str">
        <f t="shared" si="35"/>
        <v>Thừa 1</v>
      </c>
      <c r="BI331" s="53" t="s">
        <v>154</v>
      </c>
      <c r="BJ331" s="53" t="s">
        <v>1020</v>
      </c>
      <c r="BK331" s="53" t="s">
        <v>1021</v>
      </c>
      <c r="BL331" s="53" t="s">
        <v>57</v>
      </c>
      <c r="BM331" s="53">
        <v>1</v>
      </c>
      <c r="BN331" s="83"/>
      <c r="BO331" s="53"/>
      <c r="BP331" s="53"/>
    </row>
    <row r="332" spans="3:69" ht="14.25" hidden="1" customHeight="1">
      <c r="C332" s="82" t="s">
        <v>13</v>
      </c>
      <c r="D332" s="82" t="s">
        <v>1481</v>
      </c>
      <c r="E332" s="82" t="s">
        <v>1482</v>
      </c>
      <c r="F332" s="82" t="s">
        <v>1296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3"/>
        <v>3</v>
      </c>
      <c r="M332" s="26">
        <f t="shared" si="32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67">
        <f>SUMIFS([1]Up!$J:$J,[1]Up!$D:$D,D332)</f>
        <v>0</v>
      </c>
      <c r="BF332" s="82"/>
      <c r="BG332" s="82" t="str">
        <f t="shared" si="34"/>
        <v>PL12</v>
      </c>
      <c r="BH332" s="53" t="str">
        <f t="shared" si="35"/>
        <v/>
      </c>
      <c r="BI332" s="53" t="s">
        <v>148</v>
      </c>
      <c r="BJ332" s="53" t="s">
        <v>1020</v>
      </c>
      <c r="BK332" s="53" t="s">
        <v>1021</v>
      </c>
      <c r="BL332" s="53" t="s">
        <v>1022</v>
      </c>
      <c r="BM332" s="53">
        <v>3</v>
      </c>
      <c r="BN332" s="83">
        <v>46088</v>
      </c>
      <c r="BO332" s="53"/>
      <c r="BP332" s="53"/>
    </row>
    <row r="333" spans="3:69" ht="14.25" hidden="1" customHeight="1">
      <c r="C333" s="82" t="s">
        <v>13</v>
      </c>
      <c r="D333" s="82" t="s">
        <v>1483</v>
      </c>
      <c r="E333" s="82" t="s">
        <v>1482</v>
      </c>
      <c r="F333" s="82" t="s">
        <v>1296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3"/>
        <v>3</v>
      </c>
      <c r="M333" s="26">
        <f t="shared" si="32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67">
        <f>SUMIFS([1]Up!$J:$J,[1]Up!$D:$D,D333)</f>
        <v>0</v>
      </c>
      <c r="BF333" s="82"/>
      <c r="BG333" s="82" t="str">
        <f t="shared" si="34"/>
        <v>PL12</v>
      </c>
      <c r="BH333" s="53" t="str">
        <f t="shared" si="35"/>
        <v/>
      </c>
      <c r="BI333" s="53" t="s">
        <v>148</v>
      </c>
      <c r="BJ333" s="53" t="s">
        <v>1020</v>
      </c>
      <c r="BK333" s="53" t="s">
        <v>1021</v>
      </c>
      <c r="BL333" s="53" t="s">
        <v>1022</v>
      </c>
      <c r="BM333" s="53">
        <v>3</v>
      </c>
      <c r="BN333" s="83">
        <v>46088</v>
      </c>
      <c r="BO333" s="53"/>
      <c r="BP333" s="53"/>
    </row>
    <row r="334" spans="3:69" ht="14.25" hidden="1" customHeight="1">
      <c r="C334" s="82" t="s">
        <v>13</v>
      </c>
      <c r="D334" s="82" t="s">
        <v>1484</v>
      </c>
      <c r="E334" s="82" t="s">
        <v>1163</v>
      </c>
      <c r="F334" s="82" t="s">
        <v>1296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3"/>
        <v>6</v>
      </c>
      <c r="M334" s="26">
        <f t="shared" si="32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67">
        <f>SUMIFS([1]Up!$J:$J,[1]Up!$D:$D,D334)</f>
        <v>0</v>
      </c>
      <c r="BF334" s="82"/>
      <c r="BG334" s="82" t="str">
        <f t="shared" si="34"/>
        <v>PL16</v>
      </c>
      <c r="BH334" s="53" t="str">
        <f t="shared" si="35"/>
        <v/>
      </c>
      <c r="BI334" s="53" t="s">
        <v>148</v>
      </c>
      <c r="BJ334" s="53" t="s">
        <v>987</v>
      </c>
      <c r="BK334" s="53" t="s">
        <v>988</v>
      </c>
      <c r="BL334" s="53" t="s">
        <v>989</v>
      </c>
      <c r="BM334" s="53">
        <v>6</v>
      </c>
      <c r="BN334" s="83" t="s">
        <v>2222</v>
      </c>
      <c r="BO334" s="53"/>
      <c r="BP334" s="53"/>
    </row>
    <row r="335" spans="3:69" ht="14.25" hidden="1" customHeight="1">
      <c r="C335" s="82" t="s">
        <v>13</v>
      </c>
      <c r="D335" s="82" t="s">
        <v>1485</v>
      </c>
      <c r="E335" s="82" t="s">
        <v>1228</v>
      </c>
      <c r="F335" s="82" t="s">
        <v>1296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3"/>
        <v>1</v>
      </c>
      <c r="M335" s="26">
        <f t="shared" si="32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>
        <v>1</v>
      </c>
      <c r="BE335" s="67">
        <f>SUMIFS([1]Up!$J:$J,[1]Up!$D:$D,D335)</f>
        <v>0</v>
      </c>
      <c r="BF335" s="82"/>
      <c r="BG335" s="82" t="str">
        <f t="shared" si="34"/>
        <v>PL10</v>
      </c>
      <c r="BH335" s="53" t="str">
        <f t="shared" si="35"/>
        <v/>
      </c>
      <c r="BI335" s="53" t="s">
        <v>154</v>
      </c>
      <c r="BJ335" s="53" t="s">
        <v>1004</v>
      </c>
      <c r="BK335" s="53" t="s">
        <v>1005</v>
      </c>
      <c r="BL335" s="53" t="s">
        <v>1063</v>
      </c>
      <c r="BM335" s="53">
        <v>1</v>
      </c>
      <c r="BN335" s="83">
        <v>46088</v>
      </c>
      <c r="BO335" s="53"/>
      <c r="BP335" s="53"/>
    </row>
    <row r="336" spans="3:69" ht="14.25" hidden="1" customHeight="1">
      <c r="C336" s="82" t="s">
        <v>13</v>
      </c>
      <c r="D336" s="82" t="s">
        <v>1486</v>
      </c>
      <c r="E336" s="82" t="s">
        <v>1487</v>
      </c>
      <c r="F336" s="82" t="s">
        <v>1296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3"/>
        <v>2</v>
      </c>
      <c r="M336" s="26">
        <f t="shared" si="32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67">
        <f>SUMIFS([1]Up!$J:$J,[1]Up!$D:$D,D336)</f>
        <v>0</v>
      </c>
      <c r="BF336" s="82"/>
      <c r="BG336" s="82" t="str">
        <f t="shared" si="34"/>
        <v>PL20</v>
      </c>
      <c r="BH336" s="53" t="str">
        <f t="shared" si="35"/>
        <v/>
      </c>
      <c r="BI336" s="53" t="s">
        <v>148</v>
      </c>
      <c r="BJ336" s="53" t="s">
        <v>1099</v>
      </c>
      <c r="BK336" s="53" t="s">
        <v>1100</v>
      </c>
      <c r="BL336" s="53" t="s">
        <v>1307</v>
      </c>
      <c r="BM336" s="53">
        <v>2</v>
      </c>
      <c r="BN336" s="83">
        <v>46242</v>
      </c>
      <c r="BO336" s="53"/>
      <c r="BP336" s="53"/>
    </row>
    <row r="337" spans="3:68" ht="14.25" hidden="1" customHeight="1">
      <c r="C337" s="82" t="s">
        <v>13</v>
      </c>
      <c r="D337" s="82" t="s">
        <v>1488</v>
      </c>
      <c r="E337" s="82" t="s">
        <v>1489</v>
      </c>
      <c r="F337" s="82" t="s">
        <v>1296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3"/>
        <v>3</v>
      </c>
      <c r="M337" s="26">
        <f t="shared" si="32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67">
        <f>SUMIFS([1]Up!$J:$J,[1]Up!$D:$D,D337)</f>
        <v>0</v>
      </c>
      <c r="BF337" s="82"/>
      <c r="BG337" s="82" t="str">
        <f t="shared" si="34"/>
        <v>PL20</v>
      </c>
      <c r="BH337" s="53" t="str">
        <f t="shared" si="35"/>
        <v/>
      </c>
      <c r="BI337" s="53" t="s">
        <v>148</v>
      </c>
      <c r="BJ337" s="53" t="s">
        <v>1099</v>
      </c>
      <c r="BK337" s="53" t="s">
        <v>1100</v>
      </c>
      <c r="BL337" s="53" t="s">
        <v>1307</v>
      </c>
      <c r="BM337" s="53">
        <v>3</v>
      </c>
      <c r="BN337" s="83">
        <v>46242</v>
      </c>
      <c r="BO337" s="53"/>
      <c r="BP337" s="53"/>
    </row>
    <row r="338" spans="3:68" ht="14.25" hidden="1" customHeight="1">
      <c r="C338" s="82" t="s">
        <v>13</v>
      </c>
      <c r="D338" s="82" t="s">
        <v>1490</v>
      </c>
      <c r="E338" s="82" t="s">
        <v>1489</v>
      </c>
      <c r="F338" s="82" t="s">
        <v>1296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3"/>
        <v>1</v>
      </c>
      <c r="M338" s="26">
        <f t="shared" si="32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67">
        <f>SUMIFS([1]Up!$J:$J,[1]Up!$D:$D,D338)</f>
        <v>0</v>
      </c>
      <c r="BF338" s="82"/>
      <c r="BG338" s="82" t="str">
        <f t="shared" si="34"/>
        <v>PL20</v>
      </c>
      <c r="BH338" s="53" t="str">
        <f t="shared" si="35"/>
        <v/>
      </c>
      <c r="BI338" s="53" t="s">
        <v>148</v>
      </c>
      <c r="BJ338" s="53" t="s">
        <v>1099</v>
      </c>
      <c r="BK338" s="53" t="s">
        <v>1100</v>
      </c>
      <c r="BL338" s="53" t="s">
        <v>1307</v>
      </c>
      <c r="BM338" s="53">
        <v>1</v>
      </c>
      <c r="BN338" s="83">
        <v>46242</v>
      </c>
      <c r="BO338" s="53"/>
      <c r="BP338" s="53"/>
    </row>
    <row r="339" spans="3:68" ht="14.25" hidden="1" customHeight="1">
      <c r="C339" s="82" t="s">
        <v>13</v>
      </c>
      <c r="D339" s="82" t="s">
        <v>1491</v>
      </c>
      <c r="E339" s="82" t="s">
        <v>1199</v>
      </c>
      <c r="F339" s="82" t="s">
        <v>1296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3"/>
        <v>1</v>
      </c>
      <c r="M339" s="26">
        <f t="shared" si="32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67">
        <f>SUMIFS([1]Up!$J:$J,[1]Up!$D:$D,D339)</f>
        <v>0</v>
      </c>
      <c r="BF339" s="82"/>
      <c r="BG339" s="82" t="str">
        <f t="shared" si="34"/>
        <v>PL30</v>
      </c>
      <c r="BH339" s="53" t="str">
        <f t="shared" si="35"/>
        <v/>
      </c>
      <c r="BI339" s="53" t="s">
        <v>148</v>
      </c>
      <c r="BJ339" s="53" t="s">
        <v>1058</v>
      </c>
      <c r="BK339" s="53" t="s">
        <v>1059</v>
      </c>
      <c r="BL339" s="53" t="s">
        <v>1060</v>
      </c>
      <c r="BM339" s="53">
        <v>1</v>
      </c>
      <c r="BN339" s="83" t="s">
        <v>2222</v>
      </c>
      <c r="BO339" s="53"/>
      <c r="BP339" s="53"/>
    </row>
    <row r="340" spans="3:68" ht="14.25" hidden="1" customHeight="1">
      <c r="C340" s="82" t="s">
        <v>13</v>
      </c>
      <c r="D340" s="82" t="s">
        <v>1492</v>
      </c>
      <c r="E340" s="82" t="s">
        <v>1493</v>
      </c>
      <c r="F340" s="82" t="s">
        <v>1296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3"/>
        <v>1</v>
      </c>
      <c r="M340" s="26">
        <f t="shared" si="32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67">
        <f>SUMIFS([1]Up!$J:$J,[1]Up!$D:$D,D340)</f>
        <v>0</v>
      </c>
      <c r="BF340" s="82"/>
      <c r="BG340" s="82" t="str">
        <f t="shared" si="34"/>
        <v>PL10</v>
      </c>
      <c r="BH340" s="53" t="str">
        <f t="shared" si="35"/>
        <v/>
      </c>
      <c r="BI340" s="53" t="s">
        <v>148</v>
      </c>
      <c r="BJ340" s="53" t="s">
        <v>1004</v>
      </c>
      <c r="BK340" s="53" t="s">
        <v>1005</v>
      </c>
      <c r="BL340" s="53" t="s">
        <v>1063</v>
      </c>
      <c r="BM340" s="53">
        <v>1</v>
      </c>
      <c r="BN340" s="83">
        <v>46088</v>
      </c>
      <c r="BO340" s="53"/>
      <c r="BP340" s="53"/>
    </row>
    <row r="341" spans="3:68" ht="14.25" hidden="1" customHeight="1">
      <c r="C341" s="82" t="s">
        <v>13</v>
      </c>
      <c r="D341" s="82" t="s">
        <v>1494</v>
      </c>
      <c r="E341" s="82" t="s">
        <v>1495</v>
      </c>
      <c r="F341" s="82" t="s">
        <v>1084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3"/>
        <v>1</v>
      </c>
      <c r="M341" s="26">
        <f t="shared" si="32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67">
        <f>SUMIFS([1]Up!$J:$J,[1]Up!$D:$D,D341)</f>
        <v>0</v>
      </c>
      <c r="BF341" s="82" t="s">
        <v>2071</v>
      </c>
      <c r="BG341" s="82" t="str">
        <f t="shared" si="34"/>
        <v>PL12</v>
      </c>
      <c r="BH341" s="53" t="str">
        <f t="shared" si="35"/>
        <v>Thừa 2</v>
      </c>
      <c r="BI341" s="53" t="s">
        <v>154</v>
      </c>
      <c r="BJ341" s="53" t="s">
        <v>1020</v>
      </c>
      <c r="BK341" s="53" t="s">
        <v>1021</v>
      </c>
      <c r="BL341" s="53" t="s">
        <v>57</v>
      </c>
      <c r="BM341" s="53">
        <v>1</v>
      </c>
      <c r="BN341" s="83"/>
      <c r="BO341" s="53"/>
      <c r="BP341" s="53"/>
    </row>
    <row r="342" spans="3:68" ht="14.25" hidden="1" customHeight="1">
      <c r="C342" s="82" t="s">
        <v>13</v>
      </c>
      <c r="D342" s="82" t="s">
        <v>1496</v>
      </c>
      <c r="E342" s="82" t="s">
        <v>1497</v>
      </c>
      <c r="F342" s="82" t="s">
        <v>1296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3"/>
        <v>1</v>
      </c>
      <c r="M342" s="26">
        <f t="shared" si="32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67">
        <f>SUMIFS([1]Up!$J:$J,[1]Up!$D:$D,D342)</f>
        <v>0</v>
      </c>
      <c r="BF342" s="82"/>
      <c r="BG342" s="82" t="str">
        <f t="shared" si="34"/>
        <v>PL10</v>
      </c>
      <c r="BH342" s="53" t="str">
        <f t="shared" si="35"/>
        <v/>
      </c>
      <c r="BI342" s="53" t="s">
        <v>148</v>
      </c>
      <c r="BJ342" s="53" t="s">
        <v>1004</v>
      </c>
      <c r="BK342" s="53" t="s">
        <v>1005</v>
      </c>
      <c r="BL342" s="53" t="s">
        <v>1063</v>
      </c>
      <c r="BM342" s="53">
        <v>1</v>
      </c>
      <c r="BN342" s="83">
        <v>46088</v>
      </c>
      <c r="BO342" s="53"/>
      <c r="BP342" s="53"/>
    </row>
    <row r="343" spans="3:68" ht="14.25" hidden="1" customHeight="1">
      <c r="C343" s="82" t="s">
        <v>13</v>
      </c>
      <c r="D343" s="82" t="s">
        <v>1498</v>
      </c>
      <c r="E343" s="82" t="s">
        <v>1157</v>
      </c>
      <c r="F343" s="82" t="s">
        <v>1076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3"/>
        <v>2</v>
      </c>
      <c r="M343" s="26">
        <f t="shared" si="32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67">
        <f>SUMIFS([1]Up!$J:$J,[1]Up!$D:$D,D343)</f>
        <v>0</v>
      </c>
      <c r="BF343" s="82"/>
      <c r="BG343" s="82" t="str">
        <f t="shared" si="34"/>
        <v>PL15</v>
      </c>
      <c r="BH343" s="53" t="str">
        <f t="shared" si="35"/>
        <v/>
      </c>
      <c r="BI343" s="53" t="s">
        <v>148</v>
      </c>
      <c r="BJ343" s="53" t="s">
        <v>1093</v>
      </c>
      <c r="BK343" s="53" t="s">
        <v>1094</v>
      </c>
      <c r="BL343" s="53" t="s">
        <v>1303</v>
      </c>
      <c r="BM343" s="53">
        <v>2</v>
      </c>
      <c r="BN343" s="83">
        <v>46088</v>
      </c>
      <c r="BO343" s="53"/>
      <c r="BP343" s="53"/>
    </row>
    <row r="344" spans="3:68" ht="14.25" hidden="1" customHeight="1">
      <c r="C344" s="82" t="s">
        <v>13</v>
      </c>
      <c r="D344" s="82" t="s">
        <v>1499</v>
      </c>
      <c r="E344" s="82" t="s">
        <v>1477</v>
      </c>
      <c r="F344" s="82" t="s">
        <v>1084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3"/>
        <v>1</v>
      </c>
      <c r="M344" s="26">
        <f t="shared" si="32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67">
        <f>SUMIFS([1]Up!$J:$J,[1]Up!$D:$D,D344)</f>
        <v>0</v>
      </c>
      <c r="BF344" s="82" t="s">
        <v>2073</v>
      </c>
      <c r="BG344" s="82" t="str">
        <f t="shared" si="34"/>
        <v>PL10</v>
      </c>
      <c r="BH344" s="53" t="str">
        <f t="shared" si="35"/>
        <v>Thừa 1</v>
      </c>
      <c r="BI344" s="53" t="s">
        <v>154</v>
      </c>
      <c r="BJ344" s="53" t="s">
        <v>1004</v>
      </c>
      <c r="BK344" s="53" t="s">
        <v>1005</v>
      </c>
      <c r="BL344" s="53" t="s">
        <v>57</v>
      </c>
      <c r="BM344" s="53">
        <v>1</v>
      </c>
      <c r="BN344" s="83"/>
      <c r="BO344" s="53"/>
      <c r="BP344" s="53"/>
    </row>
    <row r="345" spans="3:68" ht="14.25" hidden="1" customHeight="1">
      <c r="C345" s="82" t="s">
        <v>13</v>
      </c>
      <c r="D345" s="82" t="s">
        <v>1500</v>
      </c>
      <c r="E345" s="82" t="s">
        <v>1501</v>
      </c>
      <c r="F345" s="82" t="s">
        <v>1296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3"/>
        <v>1</v>
      </c>
      <c r="M345" s="26">
        <f t="shared" si="32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67">
        <f>SUMIFS([1]Up!$J:$J,[1]Up!$D:$D,D345)</f>
        <v>0</v>
      </c>
      <c r="BF345" s="82"/>
      <c r="BG345" s="82" t="str">
        <f t="shared" si="34"/>
        <v>PL10</v>
      </c>
      <c r="BH345" s="53" t="str">
        <f t="shared" si="35"/>
        <v/>
      </c>
      <c r="BI345" s="53" t="s">
        <v>148</v>
      </c>
      <c r="BJ345" s="53" t="s">
        <v>1004</v>
      </c>
      <c r="BK345" s="53" t="s">
        <v>1005</v>
      </c>
      <c r="BL345" s="53" t="s">
        <v>1063</v>
      </c>
      <c r="BM345" s="53">
        <v>1</v>
      </c>
      <c r="BN345" s="83">
        <v>46088</v>
      </c>
      <c r="BO345" s="53"/>
      <c r="BP345" s="53"/>
    </row>
    <row r="346" spans="3:68" ht="14.25" hidden="1" customHeight="1">
      <c r="C346" s="82" t="s">
        <v>13</v>
      </c>
      <c r="D346" s="82" t="s">
        <v>1502</v>
      </c>
      <c r="E346" s="82" t="s">
        <v>1503</v>
      </c>
      <c r="F346" s="82" t="s">
        <v>1296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3"/>
        <v>2</v>
      </c>
      <c r="M346" s="26">
        <f t="shared" si="32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67">
        <f>SUMIFS([1]Up!$J:$J,[1]Up!$D:$D,D346)</f>
        <v>0</v>
      </c>
      <c r="BF346" s="82"/>
      <c r="BG346" s="82" t="str">
        <f t="shared" si="34"/>
        <v>PL20</v>
      </c>
      <c r="BH346" s="53" t="str">
        <f t="shared" si="35"/>
        <v/>
      </c>
      <c r="BI346" s="53" t="s">
        <v>148</v>
      </c>
      <c r="BJ346" s="53" t="s">
        <v>1099</v>
      </c>
      <c r="BK346" s="53" t="s">
        <v>1100</v>
      </c>
      <c r="BL346" s="53" t="s">
        <v>1307</v>
      </c>
      <c r="BM346" s="53">
        <v>2</v>
      </c>
      <c r="BN346" s="83">
        <v>46242</v>
      </c>
      <c r="BO346" s="53"/>
      <c r="BP346" s="53"/>
    </row>
    <row r="347" spans="3:68" ht="14.25" hidden="1" customHeight="1">
      <c r="C347" s="82" t="s">
        <v>13</v>
      </c>
      <c r="D347" s="82" t="s">
        <v>1504</v>
      </c>
      <c r="E347" s="82" t="s">
        <v>1505</v>
      </c>
      <c r="F347" s="82" t="s">
        <v>1084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3"/>
        <v>1</v>
      </c>
      <c r="M347" s="26">
        <f t="shared" si="32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67">
        <f>SUMIFS([1]Up!$J:$J,[1]Up!$D:$D,D347)</f>
        <v>0</v>
      </c>
      <c r="BF347" s="82" t="s">
        <v>2073</v>
      </c>
      <c r="BG347" s="82" t="str">
        <f t="shared" si="34"/>
        <v>PL12</v>
      </c>
      <c r="BH347" s="53" t="str">
        <f t="shared" si="35"/>
        <v>Thừa 1</v>
      </c>
      <c r="BI347" s="53" t="s">
        <v>154</v>
      </c>
      <c r="BJ347" s="53" t="s">
        <v>1020</v>
      </c>
      <c r="BK347" s="53" t="s">
        <v>1021</v>
      </c>
      <c r="BL347" s="53" t="s">
        <v>57</v>
      </c>
      <c r="BM347" s="53">
        <v>1</v>
      </c>
      <c r="BN347" s="83"/>
      <c r="BO347" s="53"/>
      <c r="BP347" s="53"/>
    </row>
    <row r="348" spans="3:68" ht="14.25" hidden="1" customHeight="1">
      <c r="C348" s="82" t="s">
        <v>13</v>
      </c>
      <c r="D348" s="82" t="s">
        <v>1506</v>
      </c>
      <c r="E348" s="82" t="s">
        <v>1495</v>
      </c>
      <c r="F348" s="82" t="s">
        <v>1084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3"/>
        <v>1</v>
      </c>
      <c r="M348" s="26">
        <f t="shared" si="32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67">
        <f>SUMIFS([1]Up!$J:$J,[1]Up!$D:$D,D348)</f>
        <v>0</v>
      </c>
      <c r="BF348" s="82" t="s">
        <v>2071</v>
      </c>
      <c r="BG348" s="82" t="str">
        <f t="shared" si="34"/>
        <v>PL12</v>
      </c>
      <c r="BH348" s="53" t="str">
        <f t="shared" si="35"/>
        <v>Thừa 2</v>
      </c>
      <c r="BI348" s="53" t="s">
        <v>154</v>
      </c>
      <c r="BJ348" s="53" t="s">
        <v>1020</v>
      </c>
      <c r="BK348" s="53" t="s">
        <v>1021</v>
      </c>
      <c r="BL348" s="53" t="s">
        <v>57</v>
      </c>
      <c r="BM348" s="53">
        <v>1</v>
      </c>
      <c r="BN348" s="83"/>
      <c r="BO348" s="53"/>
      <c r="BP348" s="53"/>
    </row>
    <row r="349" spans="3:68" ht="14.25" hidden="1" customHeight="1">
      <c r="C349" s="82" t="s">
        <v>13</v>
      </c>
      <c r="D349" s="82" t="s">
        <v>1507</v>
      </c>
      <c r="E349" s="82" t="s">
        <v>1508</v>
      </c>
      <c r="F349" s="82" t="s">
        <v>1296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3"/>
        <v>2</v>
      </c>
      <c r="M349" s="26">
        <f t="shared" si="32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67">
        <f>SUMIFS([1]Up!$J:$J,[1]Up!$D:$D,D349)</f>
        <v>0</v>
      </c>
      <c r="BF349" s="82"/>
      <c r="BG349" s="82" t="str">
        <f t="shared" si="34"/>
        <v>PL12</v>
      </c>
      <c r="BH349" s="53" t="str">
        <f t="shared" si="35"/>
        <v/>
      </c>
      <c r="BI349" s="53" t="s">
        <v>148</v>
      </c>
      <c r="BJ349" s="53" t="s">
        <v>1020</v>
      </c>
      <c r="BK349" s="53" t="s">
        <v>1021</v>
      </c>
      <c r="BL349" s="53" t="s">
        <v>1022</v>
      </c>
      <c r="BM349" s="53">
        <v>2</v>
      </c>
      <c r="BN349" s="83">
        <v>46088</v>
      </c>
      <c r="BO349" s="53"/>
      <c r="BP349" s="53"/>
    </row>
    <row r="350" spans="3:68" ht="14.25" hidden="1" customHeight="1">
      <c r="C350" s="82" t="s">
        <v>13</v>
      </c>
      <c r="D350" s="82" t="s">
        <v>1509</v>
      </c>
      <c r="E350" s="82" t="s">
        <v>1510</v>
      </c>
      <c r="F350" s="82" t="s">
        <v>1296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6">MIN(SUM(N350:BD350),I350)</f>
        <v>1</v>
      </c>
      <c r="M350" s="26">
        <f t="shared" si="32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67">
        <f>SUMIFS([1]Up!$J:$J,[1]Up!$D:$D,D350)</f>
        <v>0</v>
      </c>
      <c r="BF350" s="82"/>
      <c r="BG350" s="82" t="str">
        <f t="shared" ref="BG350:BG413" si="37">IFERROR(IF(C350="Plate",LEFT(E350,FIND("*",E350,1)-1),""),IF(C350="Plate",LEFT(E350,FIND("x",E350,1)-1),""))</f>
        <v>PL10</v>
      </c>
      <c r="BH350" s="53" t="str">
        <f t="shared" ref="BH350:BH413" si="38">IF(ROUND(SUM(N350:BD350)-I350,0)&gt;0,"Thừa "&amp;SUM(N350:BD350)-I350,"")</f>
        <v/>
      </c>
      <c r="BI350" s="53" t="s">
        <v>148</v>
      </c>
      <c r="BJ350" s="53" t="s">
        <v>1004</v>
      </c>
      <c r="BK350" s="53" t="s">
        <v>1005</v>
      </c>
      <c r="BL350" s="53" t="s">
        <v>1063</v>
      </c>
      <c r="BM350" s="53">
        <v>1</v>
      </c>
      <c r="BN350" s="83">
        <v>46088</v>
      </c>
      <c r="BO350" s="53"/>
      <c r="BP350" s="53"/>
    </row>
    <row r="351" spans="3:68" ht="14.25" hidden="1" customHeight="1">
      <c r="C351" s="82" t="s">
        <v>13</v>
      </c>
      <c r="D351" s="82" t="s">
        <v>1511</v>
      </c>
      <c r="E351" s="82" t="s">
        <v>1512</v>
      </c>
      <c r="F351" s="82" t="s">
        <v>1296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6"/>
        <v>1</v>
      </c>
      <c r="M351" s="26">
        <f t="shared" si="32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67">
        <f>SUMIFS([1]Up!$J:$J,[1]Up!$D:$D,D351)</f>
        <v>0</v>
      </c>
      <c r="BF351" s="82"/>
      <c r="BG351" s="82" t="str">
        <f t="shared" si="37"/>
        <v>PL10</v>
      </c>
      <c r="BH351" s="53" t="str">
        <f t="shared" si="38"/>
        <v/>
      </c>
      <c r="BI351" s="53" t="s">
        <v>148</v>
      </c>
      <c r="BJ351" s="53" t="s">
        <v>1004</v>
      </c>
      <c r="BK351" s="53" t="s">
        <v>1005</v>
      </c>
      <c r="BL351" s="53" t="s">
        <v>1063</v>
      </c>
      <c r="BM351" s="53">
        <v>1</v>
      </c>
      <c r="BN351" s="83">
        <v>46088</v>
      </c>
      <c r="BO351" s="53"/>
      <c r="BP351" s="53"/>
    </row>
    <row r="352" spans="3:68" ht="14.25" hidden="1" customHeight="1">
      <c r="C352" s="82" t="s">
        <v>13</v>
      </c>
      <c r="D352" s="82" t="s">
        <v>1513</v>
      </c>
      <c r="E352" s="82" t="s">
        <v>1514</v>
      </c>
      <c r="F352" s="82" t="s">
        <v>1296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6"/>
        <v>1</v>
      </c>
      <c r="M352" s="26">
        <f t="shared" si="32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67">
        <f>SUMIFS([1]Up!$J:$J,[1]Up!$D:$D,D352)</f>
        <v>0</v>
      </c>
      <c r="BF352" s="82"/>
      <c r="BG352" s="82" t="str">
        <f t="shared" si="37"/>
        <v>PL15</v>
      </c>
      <c r="BH352" s="53" t="str">
        <f t="shared" si="38"/>
        <v/>
      </c>
      <c r="BI352" s="53" t="s">
        <v>148</v>
      </c>
      <c r="BJ352" s="53" t="s">
        <v>1093</v>
      </c>
      <c r="BK352" s="53" t="s">
        <v>1094</v>
      </c>
      <c r="BL352" s="53" t="s">
        <v>1303</v>
      </c>
      <c r="BM352" s="53">
        <v>1</v>
      </c>
      <c r="BN352" s="83">
        <v>46088</v>
      </c>
      <c r="BO352" s="53"/>
      <c r="BP352" s="53"/>
    </row>
    <row r="353" spans="3:68" ht="14.25" hidden="1" customHeight="1">
      <c r="C353" s="82" t="s">
        <v>13</v>
      </c>
      <c r="D353" s="82" t="s">
        <v>1515</v>
      </c>
      <c r="E353" s="82" t="s">
        <v>1516</v>
      </c>
      <c r="F353" s="82" t="s">
        <v>1296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6"/>
        <v>1</v>
      </c>
      <c r="M353" s="26">
        <f t="shared" si="32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67">
        <f>SUMIFS([1]Up!$J:$J,[1]Up!$D:$D,D353)</f>
        <v>0</v>
      </c>
      <c r="BF353" s="82"/>
      <c r="BG353" s="82" t="str">
        <f t="shared" si="37"/>
        <v>PL12</v>
      </c>
      <c r="BH353" s="53" t="str">
        <f t="shared" si="38"/>
        <v/>
      </c>
      <c r="BI353" s="53" t="s">
        <v>148</v>
      </c>
      <c r="BJ353" s="53" t="s">
        <v>1020</v>
      </c>
      <c r="BK353" s="53" t="s">
        <v>1021</v>
      </c>
      <c r="BL353" s="53" t="s">
        <v>1022</v>
      </c>
      <c r="BM353" s="53">
        <v>1</v>
      </c>
      <c r="BN353" s="83">
        <v>46088</v>
      </c>
      <c r="BO353" s="53"/>
      <c r="BP353" s="53"/>
    </row>
    <row r="354" spans="3:68" ht="14.25" hidden="1" customHeight="1">
      <c r="C354" s="82" t="s">
        <v>13</v>
      </c>
      <c r="D354" s="82" t="s">
        <v>1517</v>
      </c>
      <c r="E354" s="82" t="s">
        <v>1518</v>
      </c>
      <c r="F354" s="82" t="s">
        <v>1296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6"/>
        <v>1</v>
      </c>
      <c r="M354" s="26">
        <f t="shared" si="32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67">
        <f>SUMIFS([1]Up!$J:$J,[1]Up!$D:$D,D354)</f>
        <v>0</v>
      </c>
      <c r="BF354" s="82"/>
      <c r="BG354" s="82" t="str">
        <f t="shared" si="37"/>
        <v>PL12</v>
      </c>
      <c r="BH354" s="53" t="str">
        <f t="shared" si="38"/>
        <v/>
      </c>
      <c r="BI354" s="53" t="s">
        <v>148</v>
      </c>
      <c r="BJ354" s="53" t="s">
        <v>1020</v>
      </c>
      <c r="BK354" s="53" t="s">
        <v>1021</v>
      </c>
      <c r="BL354" s="53" t="s">
        <v>1022</v>
      </c>
      <c r="BM354" s="53">
        <v>1</v>
      </c>
      <c r="BN354" s="83">
        <v>46088</v>
      </c>
      <c r="BO354" s="53"/>
      <c r="BP354" s="53"/>
    </row>
    <row r="355" spans="3:68" ht="14.25" hidden="1" customHeight="1">
      <c r="C355" s="82" t="s">
        <v>13</v>
      </c>
      <c r="D355" s="82" t="s">
        <v>1519</v>
      </c>
      <c r="E355" s="82" t="s">
        <v>1422</v>
      </c>
      <c r="F355" s="82" t="s">
        <v>1296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6"/>
        <v>1</v>
      </c>
      <c r="M355" s="26">
        <f t="shared" si="32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67">
        <f>SUMIFS([1]Up!$J:$J,[1]Up!$D:$D,D355)</f>
        <v>0</v>
      </c>
      <c r="BF355" s="82"/>
      <c r="BG355" s="82" t="str">
        <f t="shared" si="37"/>
        <v>PL15</v>
      </c>
      <c r="BH355" s="53" t="str">
        <f t="shared" si="38"/>
        <v/>
      </c>
      <c r="BI355" s="53" t="s">
        <v>148</v>
      </c>
      <c r="BJ355" s="53" t="s">
        <v>1093</v>
      </c>
      <c r="BK355" s="53" t="s">
        <v>1094</v>
      </c>
      <c r="BL355" s="53" t="s">
        <v>1303</v>
      </c>
      <c r="BM355" s="53">
        <v>1</v>
      </c>
      <c r="BN355" s="83">
        <v>46088</v>
      </c>
      <c r="BO355" s="53"/>
      <c r="BP355" s="53"/>
    </row>
    <row r="356" spans="3:68" ht="14.25" hidden="1" customHeight="1">
      <c r="C356" s="82" t="s">
        <v>13</v>
      </c>
      <c r="D356" s="82" t="s">
        <v>1520</v>
      </c>
      <c r="E356" s="82" t="s">
        <v>1477</v>
      </c>
      <c r="F356" s="82" t="s">
        <v>1084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6"/>
        <v>1</v>
      </c>
      <c r="M356" s="26">
        <f t="shared" si="32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67">
        <f>SUMIFS([1]Up!$J:$J,[1]Up!$D:$D,D356)</f>
        <v>0</v>
      </c>
      <c r="BF356" s="82" t="s">
        <v>2228</v>
      </c>
      <c r="BG356" s="82" t="str">
        <f t="shared" si="37"/>
        <v>PL10</v>
      </c>
      <c r="BH356" s="53" t="str">
        <f t="shared" si="38"/>
        <v>Thừa 1</v>
      </c>
      <c r="BI356" s="53" t="s">
        <v>154</v>
      </c>
      <c r="BJ356" s="53" t="s">
        <v>1004</v>
      </c>
      <c r="BK356" s="53" t="s">
        <v>1005</v>
      </c>
      <c r="BL356" s="53" t="s">
        <v>57</v>
      </c>
      <c r="BM356" s="53">
        <v>1</v>
      </c>
      <c r="BN356" s="83"/>
      <c r="BO356" s="53"/>
      <c r="BP356" s="53"/>
    </row>
    <row r="357" spans="3:68" ht="14.25" hidden="1" customHeight="1">
      <c r="C357" s="82" t="s">
        <v>13</v>
      </c>
      <c r="D357" s="82" t="s">
        <v>1521</v>
      </c>
      <c r="E357" s="82" t="s">
        <v>1495</v>
      </c>
      <c r="F357" s="82" t="s">
        <v>1084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6"/>
        <v>1</v>
      </c>
      <c r="M357" s="26">
        <f t="shared" si="32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67">
        <f>SUMIFS([1]Up!$J:$J,[1]Up!$D:$D,D357)</f>
        <v>0</v>
      </c>
      <c r="BF357" s="82" t="s">
        <v>2071</v>
      </c>
      <c r="BG357" s="82" t="str">
        <f t="shared" si="37"/>
        <v>PL12</v>
      </c>
      <c r="BH357" s="53" t="str">
        <f t="shared" si="38"/>
        <v>Thừa 2</v>
      </c>
      <c r="BI357" s="53" t="s">
        <v>154</v>
      </c>
      <c r="BJ357" s="53" t="s">
        <v>1020</v>
      </c>
      <c r="BK357" s="53" t="s">
        <v>1021</v>
      </c>
      <c r="BL357" s="53" t="s">
        <v>57</v>
      </c>
      <c r="BM357" s="53">
        <v>1</v>
      </c>
      <c r="BN357" s="83"/>
      <c r="BO357" s="53"/>
      <c r="BP357" s="53"/>
    </row>
    <row r="358" spans="3:68" ht="14.25" hidden="1" customHeight="1">
      <c r="C358" s="82" t="s">
        <v>13</v>
      </c>
      <c r="D358" s="82" t="s">
        <v>1522</v>
      </c>
      <c r="E358" s="82" t="s">
        <v>1508</v>
      </c>
      <c r="F358" s="82" t="s">
        <v>1296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6"/>
        <v>3</v>
      </c>
      <c r="M358" s="26">
        <f t="shared" si="32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67">
        <f>SUMIFS([1]Up!$J:$J,[1]Up!$D:$D,D358)</f>
        <v>0</v>
      </c>
      <c r="BF358" s="82"/>
      <c r="BG358" s="82" t="str">
        <f t="shared" si="37"/>
        <v>PL12</v>
      </c>
      <c r="BH358" s="53" t="str">
        <f t="shared" si="38"/>
        <v/>
      </c>
      <c r="BI358" s="53" t="s">
        <v>148</v>
      </c>
      <c r="BJ358" s="53" t="s">
        <v>1020</v>
      </c>
      <c r="BK358" s="53" t="s">
        <v>1021</v>
      </c>
      <c r="BL358" s="53" t="s">
        <v>1022</v>
      </c>
      <c r="BM358" s="53">
        <v>3</v>
      </c>
      <c r="BN358" s="83">
        <v>46088</v>
      </c>
      <c r="BO358" s="53"/>
      <c r="BP358" s="53"/>
    </row>
    <row r="359" spans="3:68" ht="14.25" hidden="1" customHeight="1">
      <c r="C359" s="82" t="s">
        <v>13</v>
      </c>
      <c r="D359" s="82" t="s">
        <v>1523</v>
      </c>
      <c r="E359" s="82" t="s">
        <v>1524</v>
      </c>
      <c r="F359" s="82" t="s">
        <v>1296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6"/>
        <v>2</v>
      </c>
      <c r="M359" s="26">
        <f t="shared" si="32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67">
        <f>SUMIFS([1]Up!$J:$J,[1]Up!$D:$D,D359)</f>
        <v>0</v>
      </c>
      <c r="BF359" s="82"/>
      <c r="BG359" s="82" t="str">
        <f t="shared" si="37"/>
        <v>PL20</v>
      </c>
      <c r="BH359" s="53" t="str">
        <f t="shared" si="38"/>
        <v/>
      </c>
      <c r="BI359" s="53" t="s">
        <v>148</v>
      </c>
      <c r="BJ359" s="53" t="s">
        <v>1099</v>
      </c>
      <c r="BK359" s="53" t="s">
        <v>1100</v>
      </c>
      <c r="BL359" s="53" t="s">
        <v>1307</v>
      </c>
      <c r="BM359" s="53">
        <v>2</v>
      </c>
      <c r="BN359" s="83">
        <v>46242</v>
      </c>
      <c r="BO359" s="53"/>
      <c r="BP359" s="53"/>
    </row>
    <row r="360" spans="3:68" ht="14.25" hidden="1" customHeight="1">
      <c r="C360" s="82" t="s">
        <v>13</v>
      </c>
      <c r="D360" s="82" t="s">
        <v>1525</v>
      </c>
      <c r="E360" s="82" t="s">
        <v>1526</v>
      </c>
      <c r="F360" s="82" t="s">
        <v>1084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6"/>
        <v>1</v>
      </c>
      <c r="M360" s="26">
        <f t="shared" si="32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67">
        <f>SUMIFS([1]Up!$J:$J,[1]Up!$D:$D,D360)</f>
        <v>0</v>
      </c>
      <c r="BF360" s="82" t="s">
        <v>2228</v>
      </c>
      <c r="BG360" s="82" t="str">
        <f t="shared" si="37"/>
        <v>PL12</v>
      </c>
      <c r="BH360" s="53" t="str">
        <f t="shared" si="38"/>
        <v>Thừa 1</v>
      </c>
      <c r="BI360" s="53" t="s">
        <v>154</v>
      </c>
      <c r="BJ360" s="53" t="s">
        <v>1020</v>
      </c>
      <c r="BK360" s="53" t="s">
        <v>1021</v>
      </c>
      <c r="BL360" s="53" t="s">
        <v>57</v>
      </c>
      <c r="BM360" s="53">
        <v>1</v>
      </c>
      <c r="BN360" s="83"/>
      <c r="BO360" s="53"/>
      <c r="BP360" s="53"/>
    </row>
    <row r="361" spans="3:68" ht="14.25" hidden="1" customHeight="1">
      <c r="C361" s="82" t="s">
        <v>13</v>
      </c>
      <c r="D361" s="82" t="s">
        <v>1527</v>
      </c>
      <c r="E361" s="82" t="s">
        <v>1125</v>
      </c>
      <c r="F361" s="82" t="s">
        <v>1296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6"/>
        <v>2</v>
      </c>
      <c r="M361" s="26">
        <f t="shared" si="32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67">
        <f>SUMIFS([1]Up!$J:$J,[1]Up!$D:$D,D361)</f>
        <v>0</v>
      </c>
      <c r="BF361" s="82"/>
      <c r="BG361" s="82" t="str">
        <f t="shared" si="37"/>
        <v>PL15</v>
      </c>
      <c r="BH361" s="53" t="str">
        <f t="shared" si="38"/>
        <v/>
      </c>
      <c r="BI361" s="53" t="s">
        <v>148</v>
      </c>
      <c r="BJ361" s="53" t="s">
        <v>1093</v>
      </c>
      <c r="BK361" s="53" t="s">
        <v>1094</v>
      </c>
      <c r="BL361" s="53" t="s">
        <v>1303</v>
      </c>
      <c r="BM361" s="53">
        <v>2</v>
      </c>
      <c r="BN361" s="83">
        <v>46088</v>
      </c>
      <c r="BO361" s="53"/>
      <c r="BP361" s="53"/>
    </row>
    <row r="362" spans="3:68" ht="14.25" hidden="1" customHeight="1">
      <c r="C362" s="82" t="s">
        <v>13</v>
      </c>
      <c r="D362" s="82" t="s">
        <v>1528</v>
      </c>
      <c r="E362" s="82" t="s">
        <v>1123</v>
      </c>
      <c r="F362" s="82" t="s">
        <v>1296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6"/>
        <v>2</v>
      </c>
      <c r="M362" s="26">
        <f t="shared" si="32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67">
        <f>SUMIFS([1]Up!$J:$J,[1]Up!$D:$D,D362)</f>
        <v>0</v>
      </c>
      <c r="BF362" s="82"/>
      <c r="BG362" s="82" t="str">
        <f t="shared" si="37"/>
        <v>PL20</v>
      </c>
      <c r="BH362" s="53" t="str">
        <f t="shared" si="38"/>
        <v/>
      </c>
      <c r="BI362" s="53" t="s">
        <v>148</v>
      </c>
      <c r="BJ362" s="53" t="s">
        <v>1099</v>
      </c>
      <c r="BK362" s="53" t="s">
        <v>1100</v>
      </c>
      <c r="BL362" s="53" t="s">
        <v>1307</v>
      </c>
      <c r="BM362" s="53">
        <v>2</v>
      </c>
      <c r="BN362" s="83">
        <v>46242</v>
      </c>
      <c r="BO362" s="53"/>
      <c r="BP362" s="53"/>
    </row>
    <row r="363" spans="3:68" ht="14.25" hidden="1" customHeight="1">
      <c r="C363" s="82" t="s">
        <v>13</v>
      </c>
      <c r="D363" s="82" t="s">
        <v>1529</v>
      </c>
      <c r="E363" s="82" t="s">
        <v>1493</v>
      </c>
      <c r="F363" s="82" t="s">
        <v>1296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6"/>
        <v>1</v>
      </c>
      <c r="M363" s="26">
        <f t="shared" si="32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67">
        <f>SUMIFS([1]Up!$J:$J,[1]Up!$D:$D,D363)</f>
        <v>0</v>
      </c>
      <c r="BF363" s="82"/>
      <c r="BG363" s="82" t="str">
        <f t="shared" si="37"/>
        <v>PL10</v>
      </c>
      <c r="BH363" s="53" t="str">
        <f t="shared" si="38"/>
        <v/>
      </c>
      <c r="BI363" s="53" t="s">
        <v>148</v>
      </c>
      <c r="BJ363" s="53" t="s">
        <v>1004</v>
      </c>
      <c r="BK363" s="53" t="s">
        <v>1005</v>
      </c>
      <c r="BL363" s="53" t="s">
        <v>1063</v>
      </c>
      <c r="BM363" s="53">
        <v>1</v>
      </c>
      <c r="BN363" s="83">
        <v>46088</v>
      </c>
      <c r="BO363" s="53"/>
      <c r="BP363" s="53"/>
    </row>
    <row r="364" spans="3:68" ht="14.25" hidden="1" customHeight="1">
      <c r="C364" s="82" t="s">
        <v>13</v>
      </c>
      <c r="D364" s="82" t="s">
        <v>1530</v>
      </c>
      <c r="E364" s="82" t="s">
        <v>1477</v>
      </c>
      <c r="F364" s="82" t="s">
        <v>1084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6"/>
        <v>1</v>
      </c>
      <c r="M364" s="26">
        <f t="shared" si="32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67">
        <f>SUMIFS([1]Up!$J:$J,[1]Up!$D:$D,D364)</f>
        <v>0</v>
      </c>
      <c r="BF364" s="82" t="s">
        <v>2073</v>
      </c>
      <c r="BG364" s="82" t="str">
        <f t="shared" si="37"/>
        <v>PL10</v>
      </c>
      <c r="BH364" s="53" t="str">
        <f t="shared" si="38"/>
        <v>Thừa 1</v>
      </c>
      <c r="BI364" s="53" t="s">
        <v>154</v>
      </c>
      <c r="BJ364" s="53" t="s">
        <v>1004</v>
      </c>
      <c r="BK364" s="53" t="s">
        <v>1005</v>
      </c>
      <c r="BL364" s="53" t="s">
        <v>57</v>
      </c>
      <c r="BM364" s="53">
        <v>1</v>
      </c>
      <c r="BN364" s="83"/>
      <c r="BO364" s="53"/>
      <c r="BP364" s="53"/>
    </row>
    <row r="365" spans="3:68" ht="14.25" hidden="1" customHeight="1">
      <c r="C365" s="82" t="s">
        <v>13</v>
      </c>
      <c r="D365" s="82" t="s">
        <v>1531</v>
      </c>
      <c r="E365" s="82" t="s">
        <v>1501</v>
      </c>
      <c r="F365" s="82" t="s">
        <v>1296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6"/>
        <v>1</v>
      </c>
      <c r="M365" s="26">
        <f t="shared" si="32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67">
        <f>SUMIFS([1]Up!$J:$J,[1]Up!$D:$D,D365)</f>
        <v>0</v>
      </c>
      <c r="BF365" s="82"/>
      <c r="BG365" s="82" t="str">
        <f t="shared" si="37"/>
        <v>PL10</v>
      </c>
      <c r="BH365" s="53" t="str">
        <f t="shared" si="38"/>
        <v/>
      </c>
      <c r="BI365" s="53" t="s">
        <v>148</v>
      </c>
      <c r="BJ365" s="53" t="s">
        <v>1004</v>
      </c>
      <c r="BK365" s="53" t="s">
        <v>1005</v>
      </c>
      <c r="BL365" s="53" t="s">
        <v>1063</v>
      </c>
      <c r="BM365" s="53">
        <v>1</v>
      </c>
      <c r="BN365" s="83">
        <v>46088</v>
      </c>
      <c r="BO365" s="53"/>
      <c r="BP365" s="53"/>
    </row>
    <row r="366" spans="3:68" ht="14.25" hidden="1" customHeight="1">
      <c r="C366" s="82" t="s">
        <v>13</v>
      </c>
      <c r="D366" s="82" t="s">
        <v>1532</v>
      </c>
      <c r="E366" s="82" t="s">
        <v>1503</v>
      </c>
      <c r="F366" s="82" t="s">
        <v>1296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6"/>
        <v>2</v>
      </c>
      <c r="M366" s="26">
        <f t="shared" si="32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67">
        <f>SUMIFS([1]Up!$J:$J,[1]Up!$D:$D,D366)</f>
        <v>0</v>
      </c>
      <c r="BF366" s="82"/>
      <c r="BG366" s="82" t="str">
        <f t="shared" si="37"/>
        <v>PL20</v>
      </c>
      <c r="BH366" s="53" t="str">
        <f t="shared" si="38"/>
        <v/>
      </c>
      <c r="BI366" s="53" t="s">
        <v>148</v>
      </c>
      <c r="BJ366" s="53" t="s">
        <v>1099</v>
      </c>
      <c r="BK366" s="53" t="s">
        <v>1100</v>
      </c>
      <c r="BL366" s="53" t="s">
        <v>1307</v>
      </c>
      <c r="BM366" s="53">
        <v>2</v>
      </c>
      <c r="BN366" s="83">
        <v>46242</v>
      </c>
      <c r="BO366" s="53"/>
      <c r="BP366" s="53"/>
    </row>
    <row r="367" spans="3:68" ht="14.25" hidden="1" customHeight="1">
      <c r="C367" s="82" t="s">
        <v>13</v>
      </c>
      <c r="D367" s="82" t="s">
        <v>1533</v>
      </c>
      <c r="E367" s="82" t="s">
        <v>1505</v>
      </c>
      <c r="F367" s="82" t="s">
        <v>1084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6"/>
        <v>1</v>
      </c>
      <c r="M367" s="26">
        <f t="shared" si="32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67">
        <f>SUMIFS([1]Up!$J:$J,[1]Up!$D:$D,D367)</f>
        <v>0</v>
      </c>
      <c r="BF367" s="82" t="s">
        <v>2228</v>
      </c>
      <c r="BG367" s="82" t="str">
        <f t="shared" si="37"/>
        <v>PL12</v>
      </c>
      <c r="BH367" s="53" t="str">
        <f t="shared" si="38"/>
        <v>Thừa 1</v>
      </c>
      <c r="BI367" s="53" t="s">
        <v>154</v>
      </c>
      <c r="BJ367" s="53" t="s">
        <v>1020</v>
      </c>
      <c r="BK367" s="53" t="s">
        <v>1021</v>
      </c>
      <c r="BL367" s="53" t="s">
        <v>57</v>
      </c>
      <c r="BM367" s="53">
        <v>1</v>
      </c>
      <c r="BN367" s="83"/>
      <c r="BO367" s="53"/>
      <c r="BP367" s="53"/>
    </row>
    <row r="368" spans="3:68" ht="14.25" hidden="1" customHeight="1">
      <c r="C368" s="82" t="s">
        <v>13</v>
      </c>
      <c r="D368" s="82" t="s">
        <v>1534</v>
      </c>
      <c r="E368" s="82" t="s">
        <v>1495</v>
      </c>
      <c r="F368" s="82" t="s">
        <v>1084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6"/>
        <v>1</v>
      </c>
      <c r="M368" s="26">
        <f t="shared" si="32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67">
        <f>SUMIFS([1]Up!$J:$J,[1]Up!$D:$D,D368)</f>
        <v>0</v>
      </c>
      <c r="BF368" s="82" t="s">
        <v>2071</v>
      </c>
      <c r="BG368" s="82" t="str">
        <f t="shared" si="37"/>
        <v>PL12</v>
      </c>
      <c r="BH368" s="53" t="str">
        <f t="shared" si="38"/>
        <v>Thừa 2</v>
      </c>
      <c r="BI368" s="53" t="s">
        <v>154</v>
      </c>
      <c r="BJ368" s="53" t="s">
        <v>1020</v>
      </c>
      <c r="BK368" s="53" t="s">
        <v>1021</v>
      </c>
      <c r="BL368" s="53" t="s">
        <v>57</v>
      </c>
      <c r="BM368" s="53">
        <v>1</v>
      </c>
      <c r="BN368" s="83"/>
      <c r="BO368" s="53"/>
      <c r="BP368" s="53"/>
    </row>
    <row r="369" spans="3:69" ht="14.25" hidden="1" customHeight="1">
      <c r="C369" s="82" t="s">
        <v>13</v>
      </c>
      <c r="D369" s="82" t="s">
        <v>1535</v>
      </c>
      <c r="E369" s="82" t="s">
        <v>1508</v>
      </c>
      <c r="F369" s="82" t="s">
        <v>1296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6"/>
        <v>3</v>
      </c>
      <c r="M369" s="26">
        <f t="shared" si="32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67">
        <f>SUMIFS([1]Up!$J:$J,[1]Up!$D:$D,D369)</f>
        <v>0</v>
      </c>
      <c r="BF369" s="82"/>
      <c r="BG369" s="82" t="str">
        <f t="shared" si="37"/>
        <v>PL12</v>
      </c>
      <c r="BH369" s="53" t="str">
        <f t="shared" si="38"/>
        <v/>
      </c>
      <c r="BI369" s="53" t="s">
        <v>148</v>
      </c>
      <c r="BJ369" s="53" t="s">
        <v>1020</v>
      </c>
      <c r="BK369" s="53" t="s">
        <v>1021</v>
      </c>
      <c r="BL369" s="53" t="s">
        <v>1022</v>
      </c>
      <c r="BM369" s="53">
        <v>3</v>
      </c>
      <c r="BN369" s="83">
        <v>46088</v>
      </c>
      <c r="BO369" s="53"/>
      <c r="BP369" s="53"/>
    </row>
    <row r="370" spans="3:69" ht="14.25" hidden="1" customHeight="1">
      <c r="C370" s="82" t="s">
        <v>13</v>
      </c>
      <c r="D370" s="82" t="s">
        <v>1536</v>
      </c>
      <c r="E370" s="82" t="s">
        <v>1493</v>
      </c>
      <c r="F370" s="82" t="s">
        <v>1296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6"/>
        <v>1</v>
      </c>
      <c r="M370" s="26">
        <f t="shared" si="32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67">
        <f>SUMIFS([1]Up!$J:$J,[1]Up!$D:$D,D370)</f>
        <v>0</v>
      </c>
      <c r="BF370" s="82"/>
      <c r="BG370" s="82" t="str">
        <f t="shared" si="37"/>
        <v>PL10</v>
      </c>
      <c r="BH370" s="53" t="str">
        <f t="shared" si="38"/>
        <v/>
      </c>
      <c r="BI370" s="53" t="s">
        <v>148</v>
      </c>
      <c r="BJ370" s="53" t="s">
        <v>1004</v>
      </c>
      <c r="BK370" s="53" t="s">
        <v>1005</v>
      </c>
      <c r="BL370" s="53" t="s">
        <v>1063</v>
      </c>
      <c r="BM370" s="53">
        <v>1</v>
      </c>
      <c r="BN370" s="83">
        <v>46088</v>
      </c>
      <c r="BO370" s="53"/>
      <c r="BP370" s="53"/>
    </row>
    <row r="371" spans="3:69" ht="14.25" hidden="1" customHeight="1">
      <c r="C371" s="82" t="s">
        <v>11</v>
      </c>
      <c r="D371" s="82" t="s">
        <v>1537</v>
      </c>
      <c r="E371" s="82" t="s">
        <v>1075</v>
      </c>
      <c r="F371" s="82" t="s">
        <v>1076</v>
      </c>
      <c r="G371" s="82">
        <v>812</v>
      </c>
      <c r="H371" s="82" t="s">
        <v>1077</v>
      </c>
      <c r="I371" s="82">
        <v>6</v>
      </c>
      <c r="J371" s="82">
        <v>13.05696</v>
      </c>
      <c r="K371" s="82">
        <v>78.341759999999994</v>
      </c>
      <c r="L371" s="26">
        <f t="shared" si="36"/>
        <v>3</v>
      </c>
      <c r="M371" s="26">
        <f t="shared" si="32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67">
        <f>SUMIFS([1]Up!$J:$J,[1]Up!$D:$D,D371)</f>
        <v>0</v>
      </c>
      <c r="BF371" s="82"/>
      <c r="BG371" s="82" t="str">
        <f t="shared" si="37"/>
        <v/>
      </c>
      <c r="BH371" s="53" t="str">
        <f t="shared" si="38"/>
        <v/>
      </c>
      <c r="BI371" s="53" t="s">
        <v>148</v>
      </c>
      <c r="BJ371" s="53" t="s">
        <v>1078</v>
      </c>
      <c r="BK371" s="53" t="s">
        <v>1075</v>
      </c>
      <c r="BL371" s="84" t="s">
        <v>2161</v>
      </c>
      <c r="BM371" s="53">
        <v>12</v>
      </c>
      <c r="BN371" s="83" t="s">
        <v>2224</v>
      </c>
      <c r="BO371" s="53"/>
      <c r="BP371" s="53"/>
      <c r="BQ371" s="238"/>
    </row>
    <row r="372" spans="3:69" ht="14.25" hidden="1" customHeight="1">
      <c r="C372" s="82" t="s">
        <v>13</v>
      </c>
      <c r="D372" s="82" t="s">
        <v>1538</v>
      </c>
      <c r="E372" s="82" t="s">
        <v>1477</v>
      </c>
      <c r="F372" s="82" t="s">
        <v>1084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6"/>
        <v>2</v>
      </c>
      <c r="M372" s="26">
        <f t="shared" si="32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67">
        <f>SUMIFS([1]Up!$J:$J,[1]Up!$D:$D,D372)</f>
        <v>0</v>
      </c>
      <c r="BF372" s="82" t="s">
        <v>2237</v>
      </c>
      <c r="BG372" s="82" t="str">
        <f t="shared" si="37"/>
        <v>PL10</v>
      </c>
      <c r="BH372" s="53" t="str">
        <f t="shared" si="38"/>
        <v/>
      </c>
      <c r="BI372" s="53" t="s">
        <v>154</v>
      </c>
      <c r="BJ372" s="53" t="s">
        <v>1004</v>
      </c>
      <c r="BK372" s="53" t="s">
        <v>1005</v>
      </c>
      <c r="BL372" s="53" t="s">
        <v>57</v>
      </c>
      <c r="BM372" s="53">
        <v>4</v>
      </c>
      <c r="BN372" s="83"/>
      <c r="BO372" s="53"/>
      <c r="BP372" s="53"/>
    </row>
    <row r="373" spans="3:69" ht="14.25" hidden="1" customHeight="1">
      <c r="C373" s="82" t="s">
        <v>13</v>
      </c>
      <c r="D373" s="82" t="s">
        <v>1539</v>
      </c>
      <c r="E373" s="82" t="s">
        <v>1479</v>
      </c>
      <c r="F373" s="82" t="s">
        <v>1084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6"/>
        <v>0</v>
      </c>
      <c r="M373" s="26">
        <f t="shared" si="32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67">
        <f>SUMIFS([1]Up!$J:$J,[1]Up!$D:$D,D373)</f>
        <v>0</v>
      </c>
      <c r="BF373" s="82"/>
      <c r="BG373" s="82" t="str">
        <f t="shared" si="37"/>
        <v>PL12</v>
      </c>
      <c r="BH373" s="53" t="str">
        <f t="shared" si="38"/>
        <v/>
      </c>
      <c r="BI373" s="53" t="s">
        <v>154</v>
      </c>
      <c r="BJ373" s="53" t="s">
        <v>1020</v>
      </c>
      <c r="BK373" s="53" t="s">
        <v>1021</v>
      </c>
      <c r="BL373" s="53" t="s">
        <v>57</v>
      </c>
      <c r="BM373" s="53">
        <v>4</v>
      </c>
      <c r="BN373" s="83"/>
      <c r="BO373" s="53"/>
      <c r="BP373" s="53"/>
    </row>
    <row r="374" spans="3:69" ht="14.25" hidden="1" customHeight="1">
      <c r="C374" s="82" t="s">
        <v>13</v>
      </c>
      <c r="D374" s="82" t="s">
        <v>1540</v>
      </c>
      <c r="E374" s="82" t="s">
        <v>1479</v>
      </c>
      <c r="F374" s="82" t="s">
        <v>1084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6"/>
        <v>0</v>
      </c>
      <c r="M374" s="26">
        <f t="shared" si="32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67">
        <f>SUMIFS([1]Up!$J:$J,[1]Up!$D:$D,D374)</f>
        <v>0</v>
      </c>
      <c r="BF374" s="82"/>
      <c r="BG374" s="82" t="str">
        <f t="shared" si="37"/>
        <v>PL12</v>
      </c>
      <c r="BH374" s="53" t="str">
        <f t="shared" si="38"/>
        <v/>
      </c>
      <c r="BI374" s="53" t="s">
        <v>154</v>
      </c>
      <c r="BJ374" s="53" t="s">
        <v>1020</v>
      </c>
      <c r="BK374" s="53" t="s">
        <v>1021</v>
      </c>
      <c r="BL374" s="53" t="s">
        <v>57</v>
      </c>
      <c r="BM374" s="53">
        <v>4</v>
      </c>
      <c r="BN374" s="83"/>
      <c r="BO374" s="53"/>
      <c r="BP374" s="53"/>
    </row>
    <row r="375" spans="3:69" ht="14.25" hidden="1" customHeight="1">
      <c r="C375" s="82" t="s">
        <v>13</v>
      </c>
      <c r="D375" s="82" t="s">
        <v>1541</v>
      </c>
      <c r="E375" s="82" t="s">
        <v>1482</v>
      </c>
      <c r="F375" s="82" t="s">
        <v>1296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6"/>
        <v>3</v>
      </c>
      <c r="M375" s="26">
        <f t="shared" si="32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67">
        <f>SUMIFS([1]Up!$J:$J,[1]Up!$D:$D,D375)</f>
        <v>0</v>
      </c>
      <c r="BF375" s="82"/>
      <c r="BG375" s="82" t="str">
        <f t="shared" si="37"/>
        <v>PL12</v>
      </c>
      <c r="BH375" s="53" t="str">
        <f t="shared" si="38"/>
        <v/>
      </c>
      <c r="BI375" s="53" t="s">
        <v>148</v>
      </c>
      <c r="BJ375" s="53" t="s">
        <v>1020</v>
      </c>
      <c r="BK375" s="53" t="s">
        <v>1021</v>
      </c>
      <c r="BL375" s="84" t="s">
        <v>2159</v>
      </c>
      <c r="BM375" s="53">
        <v>12</v>
      </c>
      <c r="BN375" s="83">
        <v>46302</v>
      </c>
      <c r="BO375" s="53"/>
      <c r="BP375" s="53"/>
      <c r="BQ375" s="238"/>
    </row>
    <row r="376" spans="3:69" ht="14.25" hidden="1" customHeight="1">
      <c r="C376" s="82" t="s">
        <v>13</v>
      </c>
      <c r="D376" s="82" t="s">
        <v>1542</v>
      </c>
      <c r="E376" s="82" t="s">
        <v>1482</v>
      </c>
      <c r="F376" s="82" t="s">
        <v>1296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6"/>
        <v>3</v>
      </c>
      <c r="M376" s="26">
        <f t="shared" si="32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67">
        <f>SUMIFS([1]Up!$J:$J,[1]Up!$D:$D,D376)</f>
        <v>0</v>
      </c>
      <c r="BF376" s="82"/>
      <c r="BG376" s="82" t="str">
        <f t="shared" si="37"/>
        <v>PL12</v>
      </c>
      <c r="BH376" s="53" t="str">
        <f t="shared" si="38"/>
        <v/>
      </c>
      <c r="BI376" s="53" t="s">
        <v>148</v>
      </c>
      <c r="BJ376" s="53" t="s">
        <v>1020</v>
      </c>
      <c r="BK376" s="53" t="s">
        <v>1021</v>
      </c>
      <c r="BL376" s="84" t="s">
        <v>2159</v>
      </c>
      <c r="BM376" s="53">
        <v>12</v>
      </c>
      <c r="BN376" s="83">
        <v>46302</v>
      </c>
      <c r="BO376" s="53"/>
      <c r="BP376" s="53"/>
      <c r="BQ376" s="238"/>
    </row>
    <row r="377" spans="3:69" ht="14.25" hidden="1" customHeight="1">
      <c r="C377" s="82" t="s">
        <v>13</v>
      </c>
      <c r="D377" s="82" t="s">
        <v>1543</v>
      </c>
      <c r="E377" s="82" t="s">
        <v>1163</v>
      </c>
      <c r="F377" s="82" t="s">
        <v>1296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6"/>
        <v>6</v>
      </c>
      <c r="M377" s="26">
        <f t="shared" si="32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26"/>
      <c r="AZ377" s="26"/>
      <c r="BA377" s="26"/>
      <c r="BB377" s="26"/>
      <c r="BC377" s="26"/>
      <c r="BD377" s="26"/>
      <c r="BE377" s="67">
        <f>SUMIFS([1]Up!$J:$J,[1]Up!$D:$D,D377)</f>
        <v>0</v>
      </c>
      <c r="BF377" s="82"/>
      <c r="BG377" s="82" t="str">
        <f t="shared" si="37"/>
        <v>PL16</v>
      </c>
      <c r="BH377" s="53" t="str">
        <f t="shared" si="38"/>
        <v/>
      </c>
      <c r="BI377" s="53" t="s">
        <v>148</v>
      </c>
      <c r="BJ377" s="53" t="s">
        <v>987</v>
      </c>
      <c r="BK377" s="53" t="s">
        <v>988</v>
      </c>
      <c r="BL377" s="84" t="s">
        <v>2160</v>
      </c>
      <c r="BM377" s="53">
        <v>24</v>
      </c>
      <c r="BN377" s="83" t="s">
        <v>2225</v>
      </c>
      <c r="BO377" s="53"/>
      <c r="BP377" s="53"/>
      <c r="BQ377" s="238"/>
    </row>
    <row r="378" spans="3:69" ht="14.25" hidden="1" customHeight="1">
      <c r="C378" s="82" t="s">
        <v>13</v>
      </c>
      <c r="D378" s="82" t="s">
        <v>1544</v>
      </c>
      <c r="E378" s="82" t="s">
        <v>1228</v>
      </c>
      <c r="F378" s="82" t="s">
        <v>1296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6"/>
        <v>0</v>
      </c>
      <c r="M378" s="26">
        <f t="shared" si="32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67">
        <f>SUMIFS([1]Up!$J:$J,[1]Up!$D:$D,D378)</f>
        <v>0</v>
      </c>
      <c r="BF378" s="82"/>
      <c r="BG378" s="82" t="str">
        <f t="shared" si="37"/>
        <v>PL10</v>
      </c>
      <c r="BH378" s="53" t="str">
        <f t="shared" si="38"/>
        <v/>
      </c>
      <c r="BI378" s="53" t="s">
        <v>154</v>
      </c>
      <c r="BJ378" s="53" t="s">
        <v>1004</v>
      </c>
      <c r="BK378" s="53" t="s">
        <v>1005</v>
      </c>
      <c r="BL378" s="84" t="s">
        <v>2156</v>
      </c>
      <c r="BM378" s="53">
        <v>4</v>
      </c>
      <c r="BN378" s="83">
        <v>46302</v>
      </c>
      <c r="BO378" s="53"/>
      <c r="BP378" s="53"/>
      <c r="BQ378" s="238"/>
    </row>
    <row r="379" spans="3:69" ht="14.25" hidden="1" customHeight="1">
      <c r="C379" s="82" t="s">
        <v>13</v>
      </c>
      <c r="D379" s="82" t="s">
        <v>1545</v>
      </c>
      <c r="E379" s="82" t="s">
        <v>1487</v>
      </c>
      <c r="F379" s="82" t="s">
        <v>1296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6"/>
        <v>2</v>
      </c>
      <c r="M379" s="26">
        <f t="shared" si="32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67">
        <f>SUMIFS([1]Up!$J:$J,[1]Up!$D:$D,D379)</f>
        <v>0</v>
      </c>
      <c r="BF379" s="82"/>
      <c r="BG379" s="82" t="str">
        <f t="shared" si="37"/>
        <v>PL20</v>
      </c>
      <c r="BH379" s="53" t="str">
        <f t="shared" si="38"/>
        <v/>
      </c>
      <c r="BI379" s="53" t="s">
        <v>148</v>
      </c>
      <c r="BJ379" s="53" t="s">
        <v>1099</v>
      </c>
      <c r="BK379" s="53" t="s">
        <v>1100</v>
      </c>
      <c r="BL379" s="84" t="s">
        <v>2157</v>
      </c>
      <c r="BM379" s="53">
        <v>8</v>
      </c>
      <c r="BN379" s="83">
        <v>46242</v>
      </c>
      <c r="BO379" s="53"/>
      <c r="BP379" s="53"/>
      <c r="BQ379" s="238"/>
    </row>
    <row r="380" spans="3:69" ht="14.25" hidden="1" customHeight="1">
      <c r="C380" s="82" t="s">
        <v>13</v>
      </c>
      <c r="D380" s="82" t="s">
        <v>1546</v>
      </c>
      <c r="E380" s="82" t="s">
        <v>1489</v>
      </c>
      <c r="F380" s="82" t="s">
        <v>1296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6"/>
        <v>3</v>
      </c>
      <c r="M380" s="26">
        <f t="shared" si="32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67">
        <f>SUMIFS([1]Up!$J:$J,[1]Up!$D:$D,D380)</f>
        <v>0</v>
      </c>
      <c r="BF380" s="82"/>
      <c r="BG380" s="82" t="str">
        <f t="shared" si="37"/>
        <v>PL20</v>
      </c>
      <c r="BH380" s="53" t="str">
        <f t="shared" si="38"/>
        <v/>
      </c>
      <c r="BI380" s="53" t="s">
        <v>148</v>
      </c>
      <c r="BJ380" s="53" t="s">
        <v>1099</v>
      </c>
      <c r="BK380" s="53" t="s">
        <v>1100</v>
      </c>
      <c r="BL380" s="84" t="s">
        <v>2157</v>
      </c>
      <c r="BM380" s="53">
        <v>12</v>
      </c>
      <c r="BN380" s="83">
        <v>46242</v>
      </c>
      <c r="BO380" s="53"/>
      <c r="BP380" s="53"/>
      <c r="BQ380" s="238"/>
    </row>
    <row r="381" spans="3:69" ht="14.25" hidden="1" customHeight="1">
      <c r="C381" s="82" t="s">
        <v>13</v>
      </c>
      <c r="D381" s="82" t="s">
        <v>1547</v>
      </c>
      <c r="E381" s="82" t="s">
        <v>1489</v>
      </c>
      <c r="F381" s="82" t="s">
        <v>1296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6"/>
        <v>1</v>
      </c>
      <c r="M381" s="26">
        <f t="shared" si="32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67">
        <f>SUMIFS([1]Up!$J:$J,[1]Up!$D:$D,D381)</f>
        <v>0</v>
      </c>
      <c r="BF381" s="82"/>
      <c r="BG381" s="82" t="str">
        <f t="shared" si="37"/>
        <v>PL20</v>
      </c>
      <c r="BH381" s="53" t="str">
        <f t="shared" si="38"/>
        <v/>
      </c>
      <c r="BI381" s="53" t="s">
        <v>148</v>
      </c>
      <c r="BJ381" s="53" t="s">
        <v>1099</v>
      </c>
      <c r="BK381" s="53" t="s">
        <v>1100</v>
      </c>
      <c r="BL381" s="84" t="s">
        <v>2157</v>
      </c>
      <c r="BM381" s="53">
        <v>4</v>
      </c>
      <c r="BN381" s="83">
        <v>46242</v>
      </c>
      <c r="BO381" s="53"/>
      <c r="BP381" s="53"/>
      <c r="BQ381" s="238"/>
    </row>
    <row r="382" spans="3:69" ht="14.25" hidden="1" customHeight="1">
      <c r="C382" s="82" t="s">
        <v>13</v>
      </c>
      <c r="D382" s="82" t="s">
        <v>1548</v>
      </c>
      <c r="E382" s="82" t="s">
        <v>1199</v>
      </c>
      <c r="F382" s="82" t="s">
        <v>1296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6"/>
        <v>1</v>
      </c>
      <c r="M382" s="26">
        <f t="shared" si="32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>
        <v>1</v>
      </c>
      <c r="AY382" s="26"/>
      <c r="AZ382" s="26"/>
      <c r="BA382" s="26"/>
      <c r="BB382" s="26"/>
      <c r="BC382" s="26"/>
      <c r="BD382" s="26"/>
      <c r="BE382" s="67">
        <f>SUMIFS([1]Up!$J:$J,[1]Up!$D:$D,D382)</f>
        <v>0</v>
      </c>
      <c r="BF382" s="82"/>
      <c r="BG382" s="82" t="str">
        <f t="shared" si="37"/>
        <v>PL30</v>
      </c>
      <c r="BH382" s="53" t="str">
        <f t="shared" si="38"/>
        <v/>
      </c>
      <c r="BI382" s="53" t="s">
        <v>148</v>
      </c>
      <c r="BJ382" s="53" t="s">
        <v>1058</v>
      </c>
      <c r="BK382" s="53" t="s">
        <v>1059</v>
      </c>
      <c r="BL382" s="84" t="s">
        <v>2179</v>
      </c>
      <c r="BM382" s="53">
        <v>4</v>
      </c>
      <c r="BN382" s="83">
        <v>46302</v>
      </c>
      <c r="BO382" s="53"/>
      <c r="BP382" s="53"/>
      <c r="BQ382" s="238"/>
    </row>
    <row r="383" spans="3:69" ht="14.25" hidden="1" customHeight="1">
      <c r="C383" s="82" t="s">
        <v>13</v>
      </c>
      <c r="D383" s="82" t="s">
        <v>1549</v>
      </c>
      <c r="E383" s="82" t="s">
        <v>1493</v>
      </c>
      <c r="F383" s="82" t="s">
        <v>1296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6"/>
        <v>2</v>
      </c>
      <c r="M383" s="26">
        <f t="shared" si="32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26"/>
      <c r="AZ383" s="26"/>
      <c r="BA383" s="26"/>
      <c r="BB383" s="26">
        <v>1</v>
      </c>
      <c r="BC383" s="26"/>
      <c r="BD383" s="26"/>
      <c r="BE383" s="67">
        <f>SUMIFS([1]Up!$J:$J,[1]Up!$D:$D,D383)</f>
        <v>1</v>
      </c>
      <c r="BF383" s="82"/>
      <c r="BG383" s="82" t="str">
        <f t="shared" si="37"/>
        <v>PL10</v>
      </c>
      <c r="BH383" s="53" t="str">
        <f t="shared" si="38"/>
        <v/>
      </c>
      <c r="BI383" s="53" t="s">
        <v>148</v>
      </c>
      <c r="BJ383" s="53" t="s">
        <v>1004</v>
      </c>
      <c r="BK383" s="53" t="s">
        <v>1005</v>
      </c>
      <c r="BL383" s="84" t="s">
        <v>2156</v>
      </c>
      <c r="BM383" s="53">
        <v>4</v>
      </c>
      <c r="BN383" s="83">
        <v>46302</v>
      </c>
      <c r="BO383" s="53"/>
      <c r="BP383" s="53"/>
      <c r="BQ383" s="238"/>
    </row>
    <row r="384" spans="3:69" ht="14.25" hidden="1" customHeight="1">
      <c r="C384" s="82" t="s">
        <v>13</v>
      </c>
      <c r="D384" s="82" t="s">
        <v>1550</v>
      </c>
      <c r="E384" s="82" t="s">
        <v>1495</v>
      </c>
      <c r="F384" s="82" t="s">
        <v>1296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6"/>
        <v>0</v>
      </c>
      <c r="M384" s="26">
        <f t="shared" si="32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67">
        <f>SUMIFS([1]Up!$J:$J,[1]Up!$D:$D,D384)</f>
        <v>0</v>
      </c>
      <c r="BF384" s="82"/>
      <c r="BG384" s="82" t="str">
        <f t="shared" si="37"/>
        <v>PL12</v>
      </c>
      <c r="BH384" s="53" t="str">
        <f t="shared" si="38"/>
        <v/>
      </c>
      <c r="BI384" s="53" t="s">
        <v>154</v>
      </c>
      <c r="BJ384" s="53" t="s">
        <v>1020</v>
      </c>
      <c r="BK384" s="53" t="s">
        <v>1021</v>
      </c>
      <c r="BL384" s="53" t="s">
        <v>57</v>
      </c>
      <c r="BM384" s="53">
        <v>4</v>
      </c>
      <c r="BN384" s="83"/>
      <c r="BO384" s="53"/>
      <c r="BP384" s="53"/>
    </row>
    <row r="385" spans="3:69" ht="14.25" hidden="1" customHeight="1">
      <c r="C385" s="82" t="s">
        <v>13</v>
      </c>
      <c r="D385" s="82" t="s">
        <v>1551</v>
      </c>
      <c r="E385" s="82" t="s">
        <v>1497</v>
      </c>
      <c r="F385" s="82" t="s">
        <v>1296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6"/>
        <v>1</v>
      </c>
      <c r="M385" s="26">
        <f t="shared" si="32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67">
        <f>SUMIFS([1]Up!$J:$J,[1]Up!$D:$D,D385)</f>
        <v>0</v>
      </c>
      <c r="BF385" s="82"/>
      <c r="BG385" s="82" t="str">
        <f t="shared" si="37"/>
        <v>PL10</v>
      </c>
      <c r="BH385" s="53" t="str">
        <f t="shared" si="38"/>
        <v/>
      </c>
      <c r="BI385" s="53" t="s">
        <v>148</v>
      </c>
      <c r="BJ385" s="53" t="s">
        <v>1004</v>
      </c>
      <c r="BK385" s="53" t="s">
        <v>1005</v>
      </c>
      <c r="BL385" s="84" t="s">
        <v>2156</v>
      </c>
      <c r="BM385" s="53">
        <v>4</v>
      </c>
      <c r="BN385" s="83">
        <v>46302</v>
      </c>
      <c r="BO385" s="53"/>
      <c r="BP385" s="53"/>
      <c r="BQ385" s="238"/>
    </row>
    <row r="386" spans="3:69" ht="14.25" hidden="1" customHeight="1">
      <c r="C386" s="82" t="s">
        <v>13</v>
      </c>
      <c r="D386" s="82" t="s">
        <v>1552</v>
      </c>
      <c r="E386" s="82" t="s">
        <v>1157</v>
      </c>
      <c r="F386" s="82" t="s">
        <v>1296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6"/>
        <v>2</v>
      </c>
      <c r="M386" s="26">
        <f t="shared" si="32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26"/>
      <c r="AZ386" s="26"/>
      <c r="BA386" s="26"/>
      <c r="BB386" s="26"/>
      <c r="BC386" s="26"/>
      <c r="BD386" s="26"/>
      <c r="BE386" s="67">
        <f>SUMIFS([1]Up!$J:$J,[1]Up!$D:$D,D386)</f>
        <v>0</v>
      </c>
      <c r="BF386" s="82"/>
      <c r="BG386" s="82" t="str">
        <f t="shared" si="37"/>
        <v>PL15</v>
      </c>
      <c r="BH386" s="53" t="str">
        <f t="shared" si="38"/>
        <v/>
      </c>
      <c r="BI386" s="53" t="s">
        <v>148</v>
      </c>
      <c r="BJ386" s="53" t="s">
        <v>1093</v>
      </c>
      <c r="BK386" s="53" t="s">
        <v>1094</v>
      </c>
      <c r="BL386" s="84" t="s">
        <v>2155</v>
      </c>
      <c r="BM386" s="53">
        <v>8</v>
      </c>
      <c r="BN386" s="83" t="s">
        <v>2224</v>
      </c>
      <c r="BO386" s="53"/>
      <c r="BP386" s="53"/>
      <c r="BQ386" s="238"/>
    </row>
    <row r="387" spans="3:69" ht="14.25" hidden="1" customHeight="1">
      <c r="C387" s="82" t="s">
        <v>13</v>
      </c>
      <c r="D387" s="82" t="s">
        <v>1553</v>
      </c>
      <c r="E387" s="82" t="s">
        <v>1477</v>
      </c>
      <c r="F387" s="82" t="s">
        <v>1084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6"/>
        <v>2</v>
      </c>
      <c r="M387" s="26">
        <f t="shared" si="32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67">
        <f>SUMIFS([1]Up!$J:$J,[1]Up!$D:$D,D387)</f>
        <v>0</v>
      </c>
      <c r="BF387" s="82" t="s">
        <v>2228</v>
      </c>
      <c r="BG387" s="82" t="str">
        <f t="shared" si="37"/>
        <v>PL10</v>
      </c>
      <c r="BH387" s="53" t="str">
        <f t="shared" si="38"/>
        <v/>
      </c>
      <c r="BI387" s="53" t="s">
        <v>154</v>
      </c>
      <c r="BJ387" s="53" t="s">
        <v>1004</v>
      </c>
      <c r="BK387" s="53" t="s">
        <v>1005</v>
      </c>
      <c r="BL387" s="53" t="s">
        <v>57</v>
      </c>
      <c r="BM387" s="53">
        <v>4</v>
      </c>
      <c r="BN387" s="83"/>
      <c r="BO387" s="53"/>
      <c r="BP387" s="53"/>
    </row>
    <row r="388" spans="3:69" ht="14.25" hidden="1" customHeight="1">
      <c r="C388" s="82" t="s">
        <v>13</v>
      </c>
      <c r="D388" s="82" t="s">
        <v>1554</v>
      </c>
      <c r="E388" s="82" t="s">
        <v>1495</v>
      </c>
      <c r="F388" s="82" t="s">
        <v>1084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6"/>
        <v>2</v>
      </c>
      <c r="M388" s="26">
        <f t="shared" si="32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67">
        <f>SUMIFS([1]Up!$J:$J,[1]Up!$D:$D,D388)</f>
        <v>0</v>
      </c>
      <c r="BF388" s="82" t="s">
        <v>2249</v>
      </c>
      <c r="BG388" s="82" t="str">
        <f t="shared" si="37"/>
        <v>PL12</v>
      </c>
      <c r="BH388" s="53" t="str">
        <f t="shared" si="38"/>
        <v>Thừa 1</v>
      </c>
      <c r="BI388" s="53" t="s">
        <v>154</v>
      </c>
      <c r="BJ388" s="53" t="s">
        <v>1020</v>
      </c>
      <c r="BK388" s="53" t="s">
        <v>1021</v>
      </c>
      <c r="BL388" s="53" t="s">
        <v>57</v>
      </c>
      <c r="BM388" s="53">
        <v>4</v>
      </c>
      <c r="BN388" s="83"/>
      <c r="BO388" s="53"/>
      <c r="BP388" s="53"/>
    </row>
    <row r="389" spans="3:69" ht="14.25" hidden="1" customHeight="1">
      <c r="C389" s="82" t="s">
        <v>13</v>
      </c>
      <c r="D389" s="82" t="s">
        <v>1555</v>
      </c>
      <c r="E389" s="82" t="s">
        <v>1508</v>
      </c>
      <c r="F389" s="82" t="s">
        <v>1296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6"/>
        <v>0</v>
      </c>
      <c r="M389" s="26">
        <f t="shared" si="32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67">
        <f>SUMIFS([1]Up!$J:$J,[1]Up!$D:$D,D389)</f>
        <v>0</v>
      </c>
      <c r="BF389" s="82"/>
      <c r="BG389" s="82" t="str">
        <f t="shared" si="37"/>
        <v>PL12</v>
      </c>
      <c r="BH389" s="53" t="str">
        <f t="shared" si="38"/>
        <v/>
      </c>
      <c r="BI389" s="53" t="s">
        <v>148</v>
      </c>
      <c r="BJ389" s="53" t="s">
        <v>1020</v>
      </c>
      <c r="BK389" s="53" t="s">
        <v>1021</v>
      </c>
      <c r="BL389" s="84" t="s">
        <v>2159</v>
      </c>
      <c r="BM389" s="53">
        <v>12</v>
      </c>
      <c r="BN389" s="83">
        <v>46302</v>
      </c>
      <c r="BO389" s="53"/>
      <c r="BP389" s="53"/>
      <c r="BQ389" s="238"/>
    </row>
    <row r="390" spans="3:69" ht="14.25" hidden="1" customHeight="1">
      <c r="C390" s="82" t="s">
        <v>13</v>
      </c>
      <c r="D390" s="82" t="s">
        <v>1556</v>
      </c>
      <c r="E390" s="82" t="s">
        <v>1524</v>
      </c>
      <c r="F390" s="82" t="s">
        <v>1296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6"/>
        <v>2</v>
      </c>
      <c r="M390" s="26">
        <f t="shared" si="32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67">
        <f>SUMIFS([1]Up!$J:$J,[1]Up!$D:$D,D390)</f>
        <v>0</v>
      </c>
      <c r="BF390" s="82"/>
      <c r="BG390" s="82" t="str">
        <f t="shared" si="37"/>
        <v>PL20</v>
      </c>
      <c r="BH390" s="53" t="str">
        <f t="shared" si="38"/>
        <v/>
      </c>
      <c r="BI390" s="53" t="s">
        <v>148</v>
      </c>
      <c r="BJ390" s="53" t="s">
        <v>1099</v>
      </c>
      <c r="BK390" s="53" t="s">
        <v>1100</v>
      </c>
      <c r="BL390" s="84" t="s">
        <v>2157</v>
      </c>
      <c r="BM390" s="53">
        <v>8</v>
      </c>
      <c r="BN390" s="83">
        <v>46242</v>
      </c>
      <c r="BO390" s="53"/>
      <c r="BP390" s="53"/>
      <c r="BQ390" s="238"/>
    </row>
    <row r="391" spans="3:69" ht="14.25" hidden="1" customHeight="1">
      <c r="C391" s="82" t="s">
        <v>13</v>
      </c>
      <c r="D391" s="82" t="s">
        <v>1557</v>
      </c>
      <c r="E391" s="82" t="s">
        <v>1526</v>
      </c>
      <c r="F391" s="82" t="s">
        <v>1296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6"/>
        <v>0</v>
      </c>
      <c r="M391" s="26">
        <f t="shared" si="32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67">
        <f>SUMIFS([1]Up!$J:$J,[1]Up!$D:$D,D391)</f>
        <v>0</v>
      </c>
      <c r="BF391" s="82"/>
      <c r="BG391" s="82" t="str">
        <f t="shared" si="37"/>
        <v>PL12</v>
      </c>
      <c r="BH391" s="53" t="str">
        <f t="shared" si="38"/>
        <v/>
      </c>
      <c r="BI391" s="53" t="s">
        <v>154</v>
      </c>
      <c r="BJ391" s="53" t="s">
        <v>1020</v>
      </c>
      <c r="BK391" s="53" t="s">
        <v>1021</v>
      </c>
      <c r="BL391" s="53" t="s">
        <v>57</v>
      </c>
      <c r="BM391" s="53">
        <v>4</v>
      </c>
      <c r="BN391" s="83"/>
      <c r="BO391" s="53"/>
      <c r="BP391" s="53"/>
    </row>
    <row r="392" spans="3:69" ht="14.25" hidden="1" customHeight="1">
      <c r="C392" s="82" t="s">
        <v>13</v>
      </c>
      <c r="D392" s="82" t="s">
        <v>1558</v>
      </c>
      <c r="E392" s="82" t="s">
        <v>1125</v>
      </c>
      <c r="F392" s="82" t="s">
        <v>1296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6"/>
        <v>2</v>
      </c>
      <c r="M392" s="26">
        <f t="shared" si="32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26"/>
      <c r="AZ392" s="26"/>
      <c r="BA392" s="26"/>
      <c r="BB392" s="26"/>
      <c r="BC392" s="26"/>
      <c r="BD392" s="26"/>
      <c r="BE392" s="67">
        <f>SUMIFS([1]Up!$J:$J,[1]Up!$D:$D,D392)</f>
        <v>0</v>
      </c>
      <c r="BF392" s="82"/>
      <c r="BG392" s="82" t="str">
        <f t="shared" si="37"/>
        <v>PL15</v>
      </c>
      <c r="BH392" s="53" t="str">
        <f t="shared" si="38"/>
        <v/>
      </c>
      <c r="BI392" s="53" t="s">
        <v>148</v>
      </c>
      <c r="BJ392" s="53" t="s">
        <v>1093</v>
      </c>
      <c r="BK392" s="53" t="s">
        <v>1094</v>
      </c>
      <c r="BL392" s="84" t="s">
        <v>2155</v>
      </c>
      <c r="BM392" s="53">
        <v>8</v>
      </c>
      <c r="BN392" s="83" t="s">
        <v>2224</v>
      </c>
      <c r="BO392" s="53"/>
      <c r="BP392" s="53"/>
      <c r="BQ392" s="238"/>
    </row>
    <row r="393" spans="3:69" ht="14.25" hidden="1" customHeight="1">
      <c r="C393" s="82" t="s">
        <v>13</v>
      </c>
      <c r="D393" s="82" t="s">
        <v>1559</v>
      </c>
      <c r="E393" s="82" t="s">
        <v>1123</v>
      </c>
      <c r="F393" s="82" t="s">
        <v>1296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6"/>
        <v>2</v>
      </c>
      <c r="M393" s="26">
        <f t="shared" si="32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67">
        <f>SUMIFS([1]Up!$J:$J,[1]Up!$D:$D,D393)</f>
        <v>0</v>
      </c>
      <c r="BF393" s="82"/>
      <c r="BG393" s="82" t="str">
        <f t="shared" si="37"/>
        <v>PL20</v>
      </c>
      <c r="BH393" s="53" t="str">
        <f t="shared" si="38"/>
        <v/>
      </c>
      <c r="BI393" s="53" t="s">
        <v>148</v>
      </c>
      <c r="BJ393" s="53" t="s">
        <v>1099</v>
      </c>
      <c r="BK393" s="53" t="s">
        <v>1100</v>
      </c>
      <c r="BL393" s="84" t="s">
        <v>2157</v>
      </c>
      <c r="BM393" s="53">
        <v>8</v>
      </c>
      <c r="BN393" s="83">
        <v>46242</v>
      </c>
      <c r="BO393" s="53"/>
      <c r="BP393" s="53"/>
      <c r="BQ393" s="238"/>
    </row>
    <row r="394" spans="3:69" ht="14.25" hidden="1" customHeight="1">
      <c r="C394" s="82" t="s">
        <v>13</v>
      </c>
      <c r="D394" s="82" t="s">
        <v>1560</v>
      </c>
      <c r="E394" s="82" t="s">
        <v>1493</v>
      </c>
      <c r="F394" s="82" t="s">
        <v>1296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6"/>
        <v>1</v>
      </c>
      <c r="M394" s="26">
        <f t="shared" si="32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67">
        <f>SUMIFS([1]Up!$J:$J,[1]Up!$D:$D,D394)</f>
        <v>0</v>
      </c>
      <c r="BF394" s="82"/>
      <c r="BG394" s="82" t="str">
        <f t="shared" si="37"/>
        <v>PL10</v>
      </c>
      <c r="BH394" s="53" t="str">
        <f t="shared" si="38"/>
        <v/>
      </c>
      <c r="BI394" s="53" t="s">
        <v>148</v>
      </c>
      <c r="BJ394" s="53" t="s">
        <v>1004</v>
      </c>
      <c r="BK394" s="53" t="s">
        <v>1005</v>
      </c>
      <c r="BL394" s="84" t="s">
        <v>2156</v>
      </c>
      <c r="BM394" s="53">
        <v>4</v>
      </c>
      <c r="BN394" s="83">
        <v>46302</v>
      </c>
      <c r="BO394" s="53"/>
      <c r="BP394" s="53"/>
      <c r="BQ394" s="238"/>
    </row>
    <row r="395" spans="3:69" ht="14.25" hidden="1" customHeight="1">
      <c r="C395" s="82" t="s">
        <v>13</v>
      </c>
      <c r="D395" s="82" t="s">
        <v>1561</v>
      </c>
      <c r="E395" s="82" t="s">
        <v>1477</v>
      </c>
      <c r="F395" s="82" t="s">
        <v>1084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6"/>
        <v>2</v>
      </c>
      <c r="M395" s="26">
        <f t="shared" si="32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67">
        <f>SUMIFS([1]Up!$J:$J,[1]Up!$D:$D,D395)</f>
        <v>0</v>
      </c>
      <c r="BF395" s="82" t="s">
        <v>2237</v>
      </c>
      <c r="BG395" s="82" t="str">
        <f t="shared" si="37"/>
        <v>PL10</v>
      </c>
      <c r="BH395" s="53" t="str">
        <f t="shared" si="38"/>
        <v/>
      </c>
      <c r="BI395" s="53" t="s">
        <v>154</v>
      </c>
      <c r="BJ395" s="53" t="s">
        <v>1004</v>
      </c>
      <c r="BK395" s="53" t="s">
        <v>1005</v>
      </c>
      <c r="BL395" s="53" t="s">
        <v>57</v>
      </c>
      <c r="BM395" s="53">
        <v>4</v>
      </c>
      <c r="BN395" s="83"/>
      <c r="BO395" s="53"/>
      <c r="BP395" s="53"/>
    </row>
    <row r="396" spans="3:69" ht="14.25" hidden="1" customHeight="1">
      <c r="C396" s="82" t="s">
        <v>13</v>
      </c>
      <c r="D396" s="82" t="s">
        <v>1562</v>
      </c>
      <c r="E396" s="82" t="s">
        <v>1501</v>
      </c>
      <c r="F396" s="82" t="s">
        <v>1296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6"/>
        <v>1</v>
      </c>
      <c r="M396" s="26">
        <f t="shared" si="32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>
        <v>1</v>
      </c>
      <c r="BA396" s="26"/>
      <c r="BB396" s="26"/>
      <c r="BC396" s="26"/>
      <c r="BD396" s="26"/>
      <c r="BE396" s="67">
        <f>SUMIFS([1]Up!$J:$J,[1]Up!$D:$D,D396)</f>
        <v>0</v>
      </c>
      <c r="BF396" s="82"/>
      <c r="BG396" s="82" t="str">
        <f t="shared" si="37"/>
        <v>PL10</v>
      </c>
      <c r="BH396" s="53" t="str">
        <f t="shared" si="38"/>
        <v/>
      </c>
      <c r="BI396" s="53" t="s">
        <v>154</v>
      </c>
      <c r="BJ396" s="53" t="s">
        <v>1004</v>
      </c>
      <c r="BK396" s="53" t="s">
        <v>1005</v>
      </c>
      <c r="BL396" s="84" t="s">
        <v>2156</v>
      </c>
      <c r="BM396" s="53">
        <v>4</v>
      </c>
      <c r="BN396" s="83">
        <v>46302</v>
      </c>
      <c r="BO396" s="53"/>
      <c r="BP396" s="53"/>
      <c r="BQ396" s="238"/>
    </row>
    <row r="397" spans="3:69" ht="14.25" hidden="1" customHeight="1">
      <c r="C397" s="82" t="s">
        <v>13</v>
      </c>
      <c r="D397" s="82" t="s">
        <v>1563</v>
      </c>
      <c r="E397" s="82" t="s">
        <v>1503</v>
      </c>
      <c r="F397" s="82" t="s">
        <v>1296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6"/>
        <v>2</v>
      </c>
      <c r="M397" s="26">
        <f t="shared" si="32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67">
        <f>SUMIFS([1]Up!$J:$J,[1]Up!$D:$D,D397)</f>
        <v>0</v>
      </c>
      <c r="BF397" s="82"/>
      <c r="BG397" s="82" t="str">
        <f t="shared" si="37"/>
        <v>PL20</v>
      </c>
      <c r="BH397" s="53" t="str">
        <f t="shared" si="38"/>
        <v/>
      </c>
      <c r="BI397" s="53" t="s">
        <v>148</v>
      </c>
      <c r="BJ397" s="53" t="s">
        <v>1099</v>
      </c>
      <c r="BK397" s="53" t="s">
        <v>1100</v>
      </c>
      <c r="BL397" s="84" t="s">
        <v>2157</v>
      </c>
      <c r="BM397" s="53">
        <v>8</v>
      </c>
      <c r="BN397" s="83">
        <v>46242</v>
      </c>
      <c r="BO397" s="53"/>
      <c r="BP397" s="53"/>
      <c r="BQ397" s="238"/>
    </row>
    <row r="398" spans="3:69" ht="14.25" hidden="1" customHeight="1">
      <c r="C398" s="82" t="s">
        <v>13</v>
      </c>
      <c r="D398" s="82" t="s">
        <v>1564</v>
      </c>
      <c r="E398" s="82" t="s">
        <v>1505</v>
      </c>
      <c r="F398" s="82" t="s">
        <v>1084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6"/>
        <v>0</v>
      </c>
      <c r="M398" s="26">
        <f t="shared" si="32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67">
        <f>SUMIFS([1]Up!$J:$J,[1]Up!$D:$D,D398)</f>
        <v>0</v>
      </c>
      <c r="BF398" s="82"/>
      <c r="BG398" s="82" t="str">
        <f t="shared" si="37"/>
        <v>PL12</v>
      </c>
      <c r="BH398" s="53" t="str">
        <f t="shared" si="38"/>
        <v/>
      </c>
      <c r="BI398" s="53" t="s">
        <v>154</v>
      </c>
      <c r="BJ398" s="53" t="s">
        <v>1020</v>
      </c>
      <c r="BK398" s="53" t="s">
        <v>1021</v>
      </c>
      <c r="BL398" s="53" t="s">
        <v>57</v>
      </c>
      <c r="BM398" s="53">
        <v>4</v>
      </c>
      <c r="BN398" s="83"/>
      <c r="BO398" s="53"/>
      <c r="BP398" s="53"/>
    </row>
    <row r="399" spans="3:69" ht="14.25" hidden="1" customHeight="1">
      <c r="C399" s="82" t="s">
        <v>13</v>
      </c>
      <c r="D399" s="82" t="s">
        <v>1565</v>
      </c>
      <c r="E399" s="82" t="s">
        <v>1495</v>
      </c>
      <c r="F399" s="82" t="s">
        <v>1084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6"/>
        <v>2</v>
      </c>
      <c r="M399" s="26">
        <f t="shared" si="32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67">
        <f>SUMIFS([1]Up!$J:$J,[1]Up!$D:$D,D399)</f>
        <v>0</v>
      </c>
      <c r="BF399" s="82" t="s">
        <v>2244</v>
      </c>
      <c r="BG399" s="82" t="str">
        <f t="shared" si="37"/>
        <v>PL12</v>
      </c>
      <c r="BH399" s="53" t="str">
        <f t="shared" si="38"/>
        <v>Thừa 1</v>
      </c>
      <c r="BI399" s="53" t="s">
        <v>154</v>
      </c>
      <c r="BJ399" s="53" t="s">
        <v>1020</v>
      </c>
      <c r="BK399" s="53" t="s">
        <v>1021</v>
      </c>
      <c r="BL399" s="53" t="s">
        <v>57</v>
      </c>
      <c r="BM399" s="53">
        <v>4</v>
      </c>
      <c r="BN399" s="83"/>
      <c r="BO399" s="53"/>
      <c r="BP399" s="53"/>
    </row>
    <row r="400" spans="3:69" ht="14.25" hidden="1" customHeight="1">
      <c r="C400" s="82" t="s">
        <v>13</v>
      </c>
      <c r="D400" s="82" t="s">
        <v>1566</v>
      </c>
      <c r="E400" s="82" t="s">
        <v>1508</v>
      </c>
      <c r="F400" s="82" t="s">
        <v>1296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6"/>
        <v>3</v>
      </c>
      <c r="M400" s="26">
        <f t="shared" si="32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67">
        <f>SUMIFS([1]Up!$J:$J,[1]Up!$D:$D,D400)</f>
        <v>0</v>
      </c>
      <c r="BF400" s="82"/>
      <c r="BG400" s="82" t="str">
        <f t="shared" si="37"/>
        <v>PL12</v>
      </c>
      <c r="BH400" s="53" t="str">
        <f t="shared" si="38"/>
        <v/>
      </c>
      <c r="BI400" s="53" t="s">
        <v>148</v>
      </c>
      <c r="BJ400" s="53" t="s">
        <v>1020</v>
      </c>
      <c r="BK400" s="53" t="s">
        <v>1021</v>
      </c>
      <c r="BL400" s="84" t="s">
        <v>2159</v>
      </c>
      <c r="BM400" s="53">
        <v>12</v>
      </c>
      <c r="BN400" s="83">
        <v>46302</v>
      </c>
      <c r="BO400" s="53"/>
      <c r="BP400" s="53"/>
      <c r="BQ400" s="238"/>
    </row>
    <row r="401" spans="3:69" ht="14.25" hidden="1" customHeight="1">
      <c r="C401" s="82" t="s">
        <v>13</v>
      </c>
      <c r="D401" s="82" t="s">
        <v>1567</v>
      </c>
      <c r="E401" s="82" t="s">
        <v>1493</v>
      </c>
      <c r="F401" s="82" t="s">
        <v>1296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6"/>
        <v>1</v>
      </c>
      <c r="M401" s="26">
        <f t="shared" si="32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67">
        <f>SUMIFS([1]Up!$J:$J,[1]Up!$D:$D,D401)</f>
        <v>0</v>
      </c>
      <c r="BF401" s="82"/>
      <c r="BG401" s="82" t="str">
        <f t="shared" si="37"/>
        <v>PL10</v>
      </c>
      <c r="BH401" s="53" t="str">
        <f t="shared" si="38"/>
        <v/>
      </c>
      <c r="BI401" s="53" t="s">
        <v>148</v>
      </c>
      <c r="BJ401" s="53" t="s">
        <v>1004</v>
      </c>
      <c r="BK401" s="53" t="s">
        <v>1005</v>
      </c>
      <c r="BL401" s="84" t="s">
        <v>2156</v>
      </c>
      <c r="BM401" s="53">
        <v>4</v>
      </c>
      <c r="BN401" s="83">
        <v>46302</v>
      </c>
      <c r="BO401" s="53"/>
      <c r="BP401" s="53"/>
      <c r="BQ401" s="238"/>
    </row>
    <row r="402" spans="3:69" ht="14.25" hidden="1" customHeight="1">
      <c r="C402" s="82" t="s">
        <v>13</v>
      </c>
      <c r="D402" s="82" t="s">
        <v>1568</v>
      </c>
      <c r="E402" s="82" t="s">
        <v>1477</v>
      </c>
      <c r="F402" s="82" t="s">
        <v>1084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6"/>
        <v>2</v>
      </c>
      <c r="M402" s="26">
        <f t="shared" si="32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67">
        <f>SUMIFS([1]Up!$J:$J,[1]Up!$D:$D,D402)</f>
        <v>0</v>
      </c>
      <c r="BF402" s="82" t="s">
        <v>2073</v>
      </c>
      <c r="BG402" s="82" t="str">
        <f t="shared" si="37"/>
        <v>PL10</v>
      </c>
      <c r="BH402" s="53" t="str">
        <f t="shared" si="38"/>
        <v/>
      </c>
      <c r="BI402" s="53" t="s">
        <v>154</v>
      </c>
      <c r="BJ402" s="53" t="s">
        <v>1004</v>
      </c>
      <c r="BK402" s="53" t="s">
        <v>1005</v>
      </c>
      <c r="BL402" s="53" t="s">
        <v>57</v>
      </c>
      <c r="BM402" s="53">
        <v>4</v>
      </c>
      <c r="BN402" s="83"/>
      <c r="BO402" s="53"/>
      <c r="BP402" s="53"/>
    </row>
    <row r="403" spans="3:69" ht="14.25" hidden="1" customHeight="1">
      <c r="C403" s="82" t="s">
        <v>13</v>
      </c>
      <c r="D403" s="82" t="s">
        <v>1569</v>
      </c>
      <c r="E403" s="82" t="s">
        <v>1501</v>
      </c>
      <c r="F403" s="82" t="s">
        <v>1296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6"/>
        <v>1</v>
      </c>
      <c r="M403" s="26">
        <f t="shared" si="32"/>
        <v>1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67">
        <f>SUMIFS([1]Up!$J:$J,[1]Up!$D:$D,D403)</f>
        <v>0</v>
      </c>
      <c r="BF403" s="82"/>
      <c r="BG403" s="82" t="str">
        <f t="shared" si="37"/>
        <v>PL10</v>
      </c>
      <c r="BH403" s="53" t="str">
        <f t="shared" si="38"/>
        <v/>
      </c>
      <c r="BI403" s="53" t="s">
        <v>154</v>
      </c>
      <c r="BJ403" s="53" t="s">
        <v>1004</v>
      </c>
      <c r="BK403" s="53" t="s">
        <v>1005</v>
      </c>
      <c r="BL403" s="84" t="s">
        <v>2156</v>
      </c>
      <c r="BM403" s="53">
        <v>4</v>
      </c>
      <c r="BN403" s="83">
        <v>46302</v>
      </c>
      <c r="BO403" s="53"/>
      <c r="BP403" s="53"/>
      <c r="BQ403" s="238"/>
    </row>
    <row r="404" spans="3:69" ht="14.25" hidden="1" customHeight="1">
      <c r="C404" s="82" t="s">
        <v>13</v>
      </c>
      <c r="D404" s="82" t="s">
        <v>1570</v>
      </c>
      <c r="E404" s="82" t="s">
        <v>1503</v>
      </c>
      <c r="F404" s="82" t="s">
        <v>1296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6"/>
        <v>2</v>
      </c>
      <c r="M404" s="26">
        <f t="shared" si="32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67">
        <f>SUMIFS([1]Up!$J:$J,[1]Up!$D:$D,D404)</f>
        <v>0</v>
      </c>
      <c r="BF404" s="82"/>
      <c r="BG404" s="82" t="str">
        <f t="shared" si="37"/>
        <v>PL20</v>
      </c>
      <c r="BH404" s="53" t="str">
        <f t="shared" si="38"/>
        <v/>
      </c>
      <c r="BI404" s="53" t="s">
        <v>148</v>
      </c>
      <c r="BJ404" s="53" t="s">
        <v>1099</v>
      </c>
      <c r="BK404" s="53" t="s">
        <v>1100</v>
      </c>
      <c r="BL404" s="84" t="s">
        <v>2157</v>
      </c>
      <c r="BM404" s="53">
        <v>8</v>
      </c>
      <c r="BN404" s="83">
        <v>46242</v>
      </c>
      <c r="BO404" s="53"/>
      <c r="BP404" s="53"/>
      <c r="BQ404" s="238"/>
    </row>
    <row r="405" spans="3:69" ht="14.25" hidden="1" customHeight="1">
      <c r="C405" s="82" t="s">
        <v>13</v>
      </c>
      <c r="D405" s="82" t="s">
        <v>1571</v>
      </c>
      <c r="E405" s="82" t="s">
        <v>1505</v>
      </c>
      <c r="F405" s="82" t="s">
        <v>1084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6"/>
        <v>0</v>
      </c>
      <c r="M405" s="26">
        <f t="shared" si="32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67">
        <f>SUMIFS([1]Up!$J:$J,[1]Up!$D:$D,D405)</f>
        <v>0</v>
      </c>
      <c r="BF405" s="82"/>
      <c r="BG405" s="82" t="str">
        <f t="shared" si="37"/>
        <v>PL12</v>
      </c>
      <c r="BH405" s="53" t="str">
        <f t="shared" si="38"/>
        <v/>
      </c>
      <c r="BI405" s="53" t="s">
        <v>154</v>
      </c>
      <c r="BJ405" s="53" t="s">
        <v>1020</v>
      </c>
      <c r="BK405" s="53" t="s">
        <v>1021</v>
      </c>
      <c r="BL405" s="53" t="s">
        <v>57</v>
      </c>
      <c r="BM405" s="53">
        <v>4</v>
      </c>
      <c r="BN405" s="83"/>
      <c r="BO405" s="53"/>
      <c r="BP405" s="53"/>
    </row>
    <row r="406" spans="3:69" ht="14.25" hidden="1" customHeight="1">
      <c r="C406" s="82" t="s">
        <v>13</v>
      </c>
      <c r="D406" s="82" t="s">
        <v>1572</v>
      </c>
      <c r="E406" s="82" t="s">
        <v>1495</v>
      </c>
      <c r="F406" s="82" t="s">
        <v>1084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6"/>
        <v>2</v>
      </c>
      <c r="M406" s="26">
        <f t="shared" si="32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67">
        <f>SUMIFS([1]Up!$J:$J,[1]Up!$D:$D,D406)</f>
        <v>0</v>
      </c>
      <c r="BF406" s="82" t="s">
        <v>2247</v>
      </c>
      <c r="BG406" s="82" t="str">
        <f t="shared" si="37"/>
        <v>PL12</v>
      </c>
      <c r="BH406" s="53" t="str">
        <f t="shared" si="38"/>
        <v>Thừa 1</v>
      </c>
      <c r="BI406" s="53" t="s">
        <v>154</v>
      </c>
      <c r="BJ406" s="53" t="s">
        <v>1020</v>
      </c>
      <c r="BK406" s="53" t="s">
        <v>1021</v>
      </c>
      <c r="BL406" s="53" t="s">
        <v>57</v>
      </c>
      <c r="BM406" s="53">
        <v>4</v>
      </c>
      <c r="BN406" s="83"/>
      <c r="BO406" s="53"/>
      <c r="BP406" s="53"/>
    </row>
    <row r="407" spans="3:69" ht="14.25" hidden="1" customHeight="1">
      <c r="C407" s="82" t="s">
        <v>13</v>
      </c>
      <c r="D407" s="82" t="s">
        <v>1573</v>
      </c>
      <c r="E407" s="82" t="s">
        <v>1508</v>
      </c>
      <c r="F407" s="82" t="s">
        <v>1296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6"/>
        <v>0</v>
      </c>
      <c r="M407" s="26">
        <f t="shared" si="32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67">
        <f>SUMIFS([1]Up!$J:$J,[1]Up!$D:$D,D407)</f>
        <v>0</v>
      </c>
      <c r="BF407" s="82"/>
      <c r="BG407" s="82" t="str">
        <f t="shared" si="37"/>
        <v>PL12</v>
      </c>
      <c r="BH407" s="53" t="str">
        <f t="shared" si="38"/>
        <v/>
      </c>
      <c r="BI407" s="53" t="s">
        <v>148</v>
      </c>
      <c r="BJ407" s="53" t="s">
        <v>1020</v>
      </c>
      <c r="BK407" s="53" t="s">
        <v>1021</v>
      </c>
      <c r="BL407" s="84" t="s">
        <v>2159</v>
      </c>
      <c r="BM407" s="53">
        <v>12</v>
      </c>
      <c r="BN407" s="83">
        <v>46302</v>
      </c>
      <c r="BO407" s="53"/>
      <c r="BP407" s="53"/>
      <c r="BQ407" s="238"/>
    </row>
    <row r="408" spans="3:69" ht="14.25" hidden="1" customHeight="1">
      <c r="C408" s="82" t="s">
        <v>13</v>
      </c>
      <c r="D408" s="82" t="s">
        <v>1574</v>
      </c>
      <c r="E408" s="82" t="s">
        <v>1493</v>
      </c>
      <c r="F408" s="82" t="s">
        <v>1296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6"/>
        <v>1</v>
      </c>
      <c r="M408" s="26">
        <f t="shared" si="32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67">
        <f>SUMIFS([1]Up!$J:$J,[1]Up!$D:$D,D408)</f>
        <v>0</v>
      </c>
      <c r="BF408" s="82"/>
      <c r="BG408" s="82" t="str">
        <f t="shared" si="37"/>
        <v>PL10</v>
      </c>
      <c r="BH408" s="53" t="str">
        <f t="shared" si="38"/>
        <v/>
      </c>
      <c r="BI408" s="53" t="s">
        <v>148</v>
      </c>
      <c r="BJ408" s="53" t="s">
        <v>1004</v>
      </c>
      <c r="BK408" s="53" t="s">
        <v>1005</v>
      </c>
      <c r="BL408" s="84" t="s">
        <v>2156</v>
      </c>
      <c r="BM408" s="53">
        <v>4</v>
      </c>
      <c r="BN408" s="83">
        <v>46302</v>
      </c>
      <c r="BO408" s="53"/>
      <c r="BP408" s="53"/>
      <c r="BQ408" s="238"/>
    </row>
    <row r="409" spans="3:69" ht="14.25" hidden="1" customHeight="1">
      <c r="C409" s="82" t="s">
        <v>11</v>
      </c>
      <c r="D409" s="82" t="s">
        <v>1575</v>
      </c>
      <c r="E409" s="82" t="s">
        <v>1075</v>
      </c>
      <c r="F409" s="82" t="s">
        <v>1076</v>
      </c>
      <c r="G409" s="82">
        <v>812</v>
      </c>
      <c r="H409" s="82" t="s">
        <v>1077</v>
      </c>
      <c r="I409" s="82">
        <v>6</v>
      </c>
      <c r="J409" s="82">
        <v>13.05696</v>
      </c>
      <c r="K409" s="82">
        <v>78.341759999999994</v>
      </c>
      <c r="L409" s="26">
        <f t="shared" si="36"/>
        <v>6</v>
      </c>
      <c r="M409" s="26">
        <f t="shared" si="32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67">
        <f>SUMIFS([1]Up!$J:$J,[1]Up!$D:$D,D409)</f>
        <v>0</v>
      </c>
      <c r="BF409" s="82"/>
      <c r="BG409" s="82" t="str">
        <f t="shared" si="37"/>
        <v/>
      </c>
      <c r="BH409" s="53" t="str">
        <f t="shared" si="38"/>
        <v/>
      </c>
      <c r="BI409" s="53" t="s">
        <v>148</v>
      </c>
      <c r="BJ409" s="53" t="s">
        <v>1078</v>
      </c>
      <c r="BK409" s="53" t="s">
        <v>1075</v>
      </c>
      <c r="BL409" s="53" t="s">
        <v>1289</v>
      </c>
      <c r="BM409" s="53">
        <v>6</v>
      </c>
      <c r="BN409" s="83">
        <v>46362</v>
      </c>
      <c r="BO409" s="53"/>
      <c r="BP409" s="53"/>
    </row>
    <row r="410" spans="3:69" ht="14.25" hidden="1" customHeight="1">
      <c r="C410" s="82" t="s">
        <v>13</v>
      </c>
      <c r="D410" s="82" t="s">
        <v>1576</v>
      </c>
      <c r="E410" s="82" t="s">
        <v>1577</v>
      </c>
      <c r="F410" s="82" t="s">
        <v>1084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6"/>
        <v>1</v>
      </c>
      <c r="M410" s="26">
        <f t="shared" si="32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67">
        <f>SUMIFS([1]Up!$J:$J,[1]Up!$D:$D,D410)</f>
        <v>0</v>
      </c>
      <c r="BF410" s="82" t="s">
        <v>2083</v>
      </c>
      <c r="BG410" s="82" t="str">
        <f t="shared" si="37"/>
        <v>PL10</v>
      </c>
      <c r="BH410" s="53" t="str">
        <f t="shared" si="38"/>
        <v>Thừa 8</v>
      </c>
      <c r="BI410" s="53" t="s">
        <v>154</v>
      </c>
      <c r="BJ410" s="53" t="s">
        <v>1004</v>
      </c>
      <c r="BK410" s="53" t="s">
        <v>1005</v>
      </c>
      <c r="BL410" s="53" t="s">
        <v>57</v>
      </c>
      <c r="BM410" s="53">
        <v>1</v>
      </c>
      <c r="BN410" s="83"/>
      <c r="BO410" s="53"/>
      <c r="BP410" s="53"/>
    </row>
    <row r="411" spans="3:69" ht="14.25" hidden="1" customHeight="1">
      <c r="C411" s="82" t="s">
        <v>13</v>
      </c>
      <c r="D411" s="82" t="s">
        <v>1578</v>
      </c>
      <c r="E411" s="82" t="s">
        <v>1157</v>
      </c>
      <c r="F411" s="82" t="s">
        <v>1296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6"/>
        <v>2</v>
      </c>
      <c r="M411" s="26">
        <f t="shared" si="32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67">
        <f>SUMIFS([1]Up!$J:$J,[1]Up!$D:$D,D411)</f>
        <v>0</v>
      </c>
      <c r="BF411" s="82"/>
      <c r="BG411" s="82" t="str">
        <f t="shared" si="37"/>
        <v>PL15</v>
      </c>
      <c r="BH411" s="53" t="str">
        <f t="shared" si="38"/>
        <v/>
      </c>
      <c r="BI411" s="53" t="s">
        <v>148</v>
      </c>
      <c r="BJ411" s="53" t="s">
        <v>1093</v>
      </c>
      <c r="BK411" s="53" t="s">
        <v>1094</v>
      </c>
      <c r="BL411" s="53" t="s">
        <v>1303</v>
      </c>
      <c r="BM411" s="53">
        <v>2</v>
      </c>
      <c r="BN411" s="83">
        <v>46088</v>
      </c>
      <c r="BO411" s="53"/>
      <c r="BP411" s="53"/>
    </row>
    <row r="412" spans="3:69" ht="14.25" hidden="1" customHeight="1">
      <c r="C412" s="82" t="s">
        <v>13</v>
      </c>
      <c r="D412" s="82" t="s">
        <v>1579</v>
      </c>
      <c r="E412" s="82" t="s">
        <v>1497</v>
      </c>
      <c r="F412" s="82" t="s">
        <v>1296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6"/>
        <v>1</v>
      </c>
      <c r="M412" s="26">
        <f t="shared" si="32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67">
        <f>SUMIFS([1]Up!$J:$J,[1]Up!$D:$D,D412)</f>
        <v>0</v>
      </c>
      <c r="BF412" s="82"/>
      <c r="BG412" s="82" t="str">
        <f t="shared" si="37"/>
        <v>PL10</v>
      </c>
      <c r="BH412" s="53" t="str">
        <f t="shared" si="38"/>
        <v/>
      </c>
      <c r="BI412" s="53" t="s">
        <v>148</v>
      </c>
      <c r="BJ412" s="53" t="s">
        <v>1004</v>
      </c>
      <c r="BK412" s="53" t="s">
        <v>1005</v>
      </c>
      <c r="BL412" s="53" t="s">
        <v>1063</v>
      </c>
      <c r="BM412" s="53">
        <v>1</v>
      </c>
      <c r="BN412" s="83">
        <v>46088</v>
      </c>
      <c r="BO412" s="53"/>
      <c r="BP412" s="53"/>
    </row>
    <row r="413" spans="3:69" ht="14.25" hidden="1" customHeight="1">
      <c r="C413" s="82" t="s">
        <v>13</v>
      </c>
      <c r="D413" s="82" t="s">
        <v>1580</v>
      </c>
      <c r="E413" s="82" t="s">
        <v>1581</v>
      </c>
      <c r="F413" s="82" t="s">
        <v>1296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6"/>
        <v>7</v>
      </c>
      <c r="M413" s="26">
        <f t="shared" si="32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67">
        <f>SUMIFS([1]Up!$J:$J,[1]Up!$D:$D,D413)</f>
        <v>0</v>
      </c>
      <c r="BF413" s="82"/>
      <c r="BG413" s="82" t="str">
        <f t="shared" si="37"/>
        <v>PL10</v>
      </c>
      <c r="BH413" s="53" t="str">
        <f t="shared" si="38"/>
        <v/>
      </c>
      <c r="BI413" s="53" t="s">
        <v>148</v>
      </c>
      <c r="BJ413" s="53" t="s">
        <v>1004</v>
      </c>
      <c r="BK413" s="53" t="s">
        <v>1005</v>
      </c>
      <c r="BL413" s="53" t="s">
        <v>1063</v>
      </c>
      <c r="BM413" s="53">
        <v>7</v>
      </c>
      <c r="BN413" s="83">
        <v>46088</v>
      </c>
      <c r="BO413" s="53"/>
      <c r="BP413" s="53"/>
    </row>
    <row r="414" spans="3:69" ht="14.25" hidden="1" customHeight="1">
      <c r="C414" s="82" t="s">
        <v>13</v>
      </c>
      <c r="D414" s="82" t="s">
        <v>1582</v>
      </c>
      <c r="E414" s="82" t="s">
        <v>1581</v>
      </c>
      <c r="F414" s="82" t="s">
        <v>1296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9">MIN(SUM(N414:BD414),I414)</f>
        <v>7</v>
      </c>
      <c r="M414" s="26">
        <f t="shared" si="32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67">
        <f>SUMIFS([1]Up!$J:$J,[1]Up!$D:$D,D414)</f>
        <v>0</v>
      </c>
      <c r="BF414" s="82"/>
      <c r="BG414" s="82" t="str">
        <f t="shared" ref="BG414:BG477" si="40">IFERROR(IF(C414="Plate",LEFT(E414,FIND("*",E414,1)-1),""),IF(C414="Plate",LEFT(E414,FIND("x",E414,1)-1),""))</f>
        <v>PL10</v>
      </c>
      <c r="BH414" s="53" t="str">
        <f t="shared" ref="BH414:BH477" si="41">IF(ROUND(SUM(N414:BD414)-I414,0)&gt;0,"Thừa "&amp;SUM(N414:BD414)-I414,"")</f>
        <v/>
      </c>
      <c r="BI414" s="53" t="s">
        <v>148</v>
      </c>
      <c r="BJ414" s="53" t="s">
        <v>1004</v>
      </c>
      <c r="BK414" s="53" t="s">
        <v>1005</v>
      </c>
      <c r="BL414" s="53" t="s">
        <v>1063</v>
      </c>
      <c r="BM414" s="53">
        <v>7</v>
      </c>
      <c r="BN414" s="83">
        <v>46088</v>
      </c>
      <c r="BO414" s="53"/>
      <c r="BP414" s="53"/>
    </row>
    <row r="415" spans="3:69" ht="14.25" hidden="1" customHeight="1">
      <c r="C415" s="82" t="s">
        <v>13</v>
      </c>
      <c r="D415" s="82" t="s">
        <v>1583</v>
      </c>
      <c r="E415" s="82" t="s">
        <v>1584</v>
      </c>
      <c r="F415" s="82" t="s">
        <v>1296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9"/>
        <v>14</v>
      </c>
      <c r="M415" s="26">
        <f t="shared" si="32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67">
        <f>SUMIFS([1]Up!$J:$J,[1]Up!$D:$D,D415)</f>
        <v>0</v>
      </c>
      <c r="BF415" s="82"/>
      <c r="BG415" s="82" t="str">
        <f t="shared" si="40"/>
        <v>PL16</v>
      </c>
      <c r="BH415" s="53" t="str">
        <f t="shared" si="41"/>
        <v/>
      </c>
      <c r="BI415" s="53" t="s">
        <v>148</v>
      </c>
      <c r="BJ415" s="53" t="s">
        <v>987</v>
      </c>
      <c r="BK415" s="53" t="s">
        <v>988</v>
      </c>
      <c r="BL415" s="53" t="s">
        <v>989</v>
      </c>
      <c r="BM415" s="53">
        <v>14</v>
      </c>
      <c r="BN415" s="83" t="s">
        <v>2222</v>
      </c>
      <c r="BO415" s="53"/>
      <c r="BP415" s="53"/>
    </row>
    <row r="416" spans="3:69" ht="14.25" hidden="1" customHeight="1">
      <c r="C416" s="82" t="s">
        <v>13</v>
      </c>
      <c r="D416" s="82" t="s">
        <v>1585</v>
      </c>
      <c r="E416" s="82" t="s">
        <v>1586</v>
      </c>
      <c r="F416" s="82" t="s">
        <v>1296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9"/>
        <v>4</v>
      </c>
      <c r="M416" s="26">
        <f t="shared" si="32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67">
        <f>SUMIFS([1]Up!$J:$J,[1]Up!$D:$D,D416)</f>
        <v>0</v>
      </c>
      <c r="BF416" s="82"/>
      <c r="BG416" s="82" t="str">
        <f t="shared" si="40"/>
        <v>PL10</v>
      </c>
      <c r="BH416" s="53" t="str">
        <f t="shared" si="41"/>
        <v/>
      </c>
      <c r="BI416" s="53" t="s">
        <v>148</v>
      </c>
      <c r="BJ416" s="53" t="s">
        <v>1004</v>
      </c>
      <c r="BK416" s="53" t="s">
        <v>1005</v>
      </c>
      <c r="BL416" s="53" t="s">
        <v>1063</v>
      </c>
      <c r="BM416" s="53">
        <v>4</v>
      </c>
      <c r="BN416" s="83">
        <v>46088</v>
      </c>
      <c r="BO416" s="53"/>
      <c r="BP416" s="53"/>
    </row>
    <row r="417" spans="3:69" ht="14.25" hidden="1" customHeight="1">
      <c r="C417" s="82" t="s">
        <v>13</v>
      </c>
      <c r="D417" s="82" t="s">
        <v>1587</v>
      </c>
      <c r="E417" s="82" t="s">
        <v>1588</v>
      </c>
      <c r="F417" s="82" t="s">
        <v>1296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9"/>
        <v>4</v>
      </c>
      <c r="M417" s="26">
        <f t="shared" si="32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67">
        <f>SUMIFS([1]Up!$J:$J,[1]Up!$D:$D,D417)</f>
        <v>0</v>
      </c>
      <c r="BF417" s="82"/>
      <c r="BG417" s="82" t="str">
        <f t="shared" si="40"/>
        <v>PL10</v>
      </c>
      <c r="BH417" s="53" t="str">
        <f t="shared" si="41"/>
        <v/>
      </c>
      <c r="BI417" s="53" t="s">
        <v>148</v>
      </c>
      <c r="BJ417" s="53" t="s">
        <v>1004</v>
      </c>
      <c r="BK417" s="53" t="s">
        <v>1005</v>
      </c>
      <c r="BL417" s="53" t="s">
        <v>1063</v>
      </c>
      <c r="BM417" s="53">
        <v>4</v>
      </c>
      <c r="BN417" s="83">
        <v>46088</v>
      </c>
      <c r="BO417" s="53"/>
      <c r="BP417" s="53"/>
    </row>
    <row r="418" spans="3:69" ht="14.25" hidden="1" customHeight="1">
      <c r="C418" s="82" t="s">
        <v>13</v>
      </c>
      <c r="D418" s="82" t="s">
        <v>1589</v>
      </c>
      <c r="E418" s="82" t="s">
        <v>1514</v>
      </c>
      <c r="F418" s="82" t="s">
        <v>1296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9"/>
        <v>4</v>
      </c>
      <c r="M418" s="26">
        <f t="shared" si="32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67">
        <f>SUMIFS([1]Up!$J:$J,[1]Up!$D:$D,D418)</f>
        <v>0</v>
      </c>
      <c r="BF418" s="82"/>
      <c r="BG418" s="82" t="str">
        <f t="shared" si="40"/>
        <v>PL15</v>
      </c>
      <c r="BH418" s="53" t="str">
        <f t="shared" si="41"/>
        <v/>
      </c>
      <c r="BI418" s="53" t="s">
        <v>148</v>
      </c>
      <c r="BJ418" s="53" t="s">
        <v>1093</v>
      </c>
      <c r="BK418" s="53" t="s">
        <v>1094</v>
      </c>
      <c r="BL418" s="53" t="s">
        <v>1303</v>
      </c>
      <c r="BM418" s="53">
        <v>4</v>
      </c>
      <c r="BN418" s="83">
        <v>46088</v>
      </c>
      <c r="BO418" s="53"/>
      <c r="BP418" s="53"/>
    </row>
    <row r="419" spans="3:69" ht="14.25" hidden="1" customHeight="1">
      <c r="C419" s="82" t="s">
        <v>13</v>
      </c>
      <c r="D419" s="82" t="s">
        <v>1590</v>
      </c>
      <c r="E419" s="82" t="s">
        <v>1577</v>
      </c>
      <c r="F419" s="82" t="s">
        <v>1084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9"/>
        <v>1</v>
      </c>
      <c r="M419" s="26">
        <f t="shared" si="32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67">
        <f>SUMIFS([1]Up!$J:$J,[1]Up!$D:$D,D419)</f>
        <v>0</v>
      </c>
      <c r="BF419" s="82" t="s">
        <v>2229</v>
      </c>
      <c r="BG419" s="82" t="str">
        <f t="shared" si="40"/>
        <v>PL10</v>
      </c>
      <c r="BH419" s="53" t="str">
        <f t="shared" si="41"/>
        <v>Thừa 6</v>
      </c>
      <c r="BI419" s="53" t="s">
        <v>154</v>
      </c>
      <c r="BJ419" s="53" t="s">
        <v>1004</v>
      </c>
      <c r="BK419" s="53" t="s">
        <v>1005</v>
      </c>
      <c r="BL419" s="53" t="s">
        <v>57</v>
      </c>
      <c r="BM419" s="53">
        <v>1</v>
      </c>
      <c r="BN419" s="83"/>
      <c r="BO419" s="53"/>
      <c r="BP419" s="53"/>
    </row>
    <row r="420" spans="3:69" ht="14.25" hidden="1" customHeight="1">
      <c r="C420" s="82" t="s">
        <v>13</v>
      </c>
      <c r="D420" s="82" t="s">
        <v>1591</v>
      </c>
      <c r="E420" s="82" t="s">
        <v>1592</v>
      </c>
      <c r="F420" s="82" t="s">
        <v>1296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9"/>
        <v>3</v>
      </c>
      <c r="M420" s="26">
        <f t="shared" si="32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67">
        <f>SUMIFS([1]Up!$J:$J,[1]Up!$D:$D,D420)</f>
        <v>0</v>
      </c>
      <c r="BF420" s="82"/>
      <c r="BG420" s="82" t="str">
        <f t="shared" si="40"/>
        <v>PL10</v>
      </c>
      <c r="BH420" s="53" t="str">
        <f t="shared" si="41"/>
        <v/>
      </c>
      <c r="BI420" s="53" t="s">
        <v>148</v>
      </c>
      <c r="BJ420" s="53" t="s">
        <v>1004</v>
      </c>
      <c r="BK420" s="53" t="s">
        <v>1005</v>
      </c>
      <c r="BL420" s="53" t="s">
        <v>1063</v>
      </c>
      <c r="BM420" s="53">
        <v>3</v>
      </c>
      <c r="BN420" s="83">
        <v>46088</v>
      </c>
      <c r="BO420" s="53"/>
      <c r="BP420" s="53"/>
    </row>
    <row r="421" spans="3:69" ht="14.25" hidden="1" customHeight="1">
      <c r="C421" s="82" t="s">
        <v>13</v>
      </c>
      <c r="D421" s="82" t="s">
        <v>1593</v>
      </c>
      <c r="E421" s="82" t="s">
        <v>1125</v>
      </c>
      <c r="F421" s="82" t="s">
        <v>1296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9"/>
        <v>1</v>
      </c>
      <c r="M421" s="26">
        <f t="shared" si="32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67">
        <f>SUMIFS([1]Up!$J:$J,[1]Up!$D:$D,D421)</f>
        <v>0</v>
      </c>
      <c r="BF421" s="82"/>
      <c r="BG421" s="82" t="str">
        <f t="shared" si="40"/>
        <v>PL15</v>
      </c>
      <c r="BH421" s="53" t="str">
        <f t="shared" si="41"/>
        <v/>
      </c>
      <c r="BI421" s="53" t="s">
        <v>148</v>
      </c>
      <c r="BJ421" s="53" t="s">
        <v>1093</v>
      </c>
      <c r="BK421" s="53" t="s">
        <v>1094</v>
      </c>
      <c r="BL421" s="53" t="s">
        <v>1303</v>
      </c>
      <c r="BM421" s="53">
        <v>1</v>
      </c>
      <c r="BN421" s="83">
        <v>46088</v>
      </c>
      <c r="BO421" s="53"/>
      <c r="BP421" s="53"/>
    </row>
    <row r="422" spans="3:69" ht="14.25" hidden="1" customHeight="1">
      <c r="C422" s="82" t="s">
        <v>13</v>
      </c>
      <c r="D422" s="82" t="s">
        <v>1594</v>
      </c>
      <c r="E422" s="82" t="s">
        <v>1123</v>
      </c>
      <c r="F422" s="82" t="s">
        <v>1296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9"/>
        <v>1</v>
      </c>
      <c r="M422" s="26">
        <f t="shared" si="32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67">
        <f>SUMIFS([1]Up!$J:$J,[1]Up!$D:$D,D422)</f>
        <v>0</v>
      </c>
      <c r="BF422" s="82"/>
      <c r="BG422" s="82" t="str">
        <f t="shared" si="40"/>
        <v>PL20</v>
      </c>
      <c r="BH422" s="53" t="str">
        <f t="shared" si="41"/>
        <v/>
      </c>
      <c r="BI422" s="53" t="s">
        <v>148</v>
      </c>
      <c r="BJ422" s="53" t="s">
        <v>1099</v>
      </c>
      <c r="BK422" s="53" t="s">
        <v>1100</v>
      </c>
      <c r="BL422" s="53" t="s">
        <v>1307</v>
      </c>
      <c r="BM422" s="53">
        <v>1</v>
      </c>
      <c r="BN422" s="83">
        <v>46242</v>
      </c>
      <c r="BO422" s="53"/>
      <c r="BP422" s="53"/>
    </row>
    <row r="423" spans="3:69" ht="14.25" hidden="1" customHeight="1">
      <c r="C423" s="82" t="s">
        <v>13</v>
      </c>
      <c r="D423" s="82" t="s">
        <v>1595</v>
      </c>
      <c r="E423" s="82" t="s">
        <v>1577</v>
      </c>
      <c r="F423" s="82" t="s">
        <v>1084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9"/>
        <v>1</v>
      </c>
      <c r="M423" s="26">
        <f t="shared" si="32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67">
        <f>SUMIFS([1]Up!$J:$J,[1]Up!$D:$D,D423)</f>
        <v>0</v>
      </c>
      <c r="BF423" s="82" t="s">
        <v>2230</v>
      </c>
      <c r="BG423" s="82" t="str">
        <f t="shared" si="40"/>
        <v>PL10</v>
      </c>
      <c r="BH423" s="53" t="str">
        <f t="shared" si="41"/>
        <v>Thừa 6</v>
      </c>
      <c r="BI423" s="53" t="s">
        <v>154</v>
      </c>
      <c r="BJ423" s="53" t="s">
        <v>1004</v>
      </c>
      <c r="BK423" s="53" t="s">
        <v>1005</v>
      </c>
      <c r="BL423" s="53" t="s">
        <v>57</v>
      </c>
      <c r="BM423" s="53">
        <v>1</v>
      </c>
      <c r="BN423" s="83"/>
      <c r="BO423" s="53"/>
      <c r="BP423" s="53"/>
    </row>
    <row r="424" spans="3:69" ht="14.25" hidden="1" customHeight="1">
      <c r="C424" s="82" t="s">
        <v>13</v>
      </c>
      <c r="D424" s="82" t="s">
        <v>1596</v>
      </c>
      <c r="E424" s="82" t="s">
        <v>1592</v>
      </c>
      <c r="F424" s="82" t="s">
        <v>1296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9"/>
        <v>7</v>
      </c>
      <c r="M424" s="26">
        <f t="shared" si="32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67">
        <f>SUMIFS([1]Up!$J:$J,[1]Up!$D:$D,D424)</f>
        <v>0</v>
      </c>
      <c r="BF424" s="82"/>
      <c r="BG424" s="82" t="str">
        <f t="shared" si="40"/>
        <v>PL10</v>
      </c>
      <c r="BH424" s="53" t="str">
        <f t="shared" si="41"/>
        <v/>
      </c>
      <c r="BI424" s="53" t="s">
        <v>148</v>
      </c>
      <c r="BJ424" s="53" t="s">
        <v>1004</v>
      </c>
      <c r="BK424" s="53" t="s">
        <v>1005</v>
      </c>
      <c r="BL424" s="53" t="s">
        <v>1063</v>
      </c>
      <c r="BM424" s="53">
        <v>7</v>
      </c>
      <c r="BN424" s="83">
        <v>46088</v>
      </c>
      <c r="BO424" s="53"/>
      <c r="BP424" s="53"/>
    </row>
    <row r="425" spans="3:69" ht="14.25" hidden="1" customHeight="1">
      <c r="C425" s="82" t="s">
        <v>13</v>
      </c>
      <c r="D425" s="82" t="s">
        <v>1597</v>
      </c>
      <c r="E425" s="82" t="s">
        <v>1125</v>
      </c>
      <c r="F425" s="82" t="s">
        <v>1296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9"/>
        <v>1</v>
      </c>
      <c r="M425" s="26">
        <f t="shared" si="32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67">
        <f>SUMIFS([1]Up!$J:$J,[1]Up!$D:$D,D425)</f>
        <v>0</v>
      </c>
      <c r="BF425" s="82"/>
      <c r="BG425" s="82" t="str">
        <f t="shared" si="40"/>
        <v>PL15</v>
      </c>
      <c r="BH425" s="53" t="str">
        <f t="shared" si="41"/>
        <v/>
      </c>
      <c r="BI425" s="53" t="s">
        <v>148</v>
      </c>
      <c r="BJ425" s="53" t="s">
        <v>1093</v>
      </c>
      <c r="BK425" s="53" t="s">
        <v>1094</v>
      </c>
      <c r="BL425" s="53" t="s">
        <v>1303</v>
      </c>
      <c r="BM425" s="53">
        <v>1</v>
      </c>
      <c r="BN425" s="83">
        <v>46088</v>
      </c>
      <c r="BO425" s="53"/>
      <c r="BP425" s="53"/>
    </row>
    <row r="426" spans="3:69" ht="14.25" hidden="1" customHeight="1">
      <c r="C426" s="82" t="s">
        <v>13</v>
      </c>
      <c r="D426" s="82" t="s">
        <v>1598</v>
      </c>
      <c r="E426" s="82" t="s">
        <v>1123</v>
      </c>
      <c r="F426" s="82" t="s">
        <v>1296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9"/>
        <v>1</v>
      </c>
      <c r="M426" s="26">
        <f t="shared" si="32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67">
        <f>SUMIFS([1]Up!$J:$J,[1]Up!$D:$D,D426)</f>
        <v>0</v>
      </c>
      <c r="BF426" s="82"/>
      <c r="BG426" s="82" t="str">
        <f t="shared" si="40"/>
        <v>PL20</v>
      </c>
      <c r="BH426" s="53" t="str">
        <f t="shared" si="41"/>
        <v/>
      </c>
      <c r="BI426" s="53" t="s">
        <v>148</v>
      </c>
      <c r="BJ426" s="53" t="s">
        <v>1099</v>
      </c>
      <c r="BK426" s="53" t="s">
        <v>1100</v>
      </c>
      <c r="BL426" s="53" t="s">
        <v>1307</v>
      </c>
      <c r="BM426" s="53">
        <v>1</v>
      </c>
      <c r="BN426" s="83">
        <v>46242</v>
      </c>
      <c r="BO426" s="53"/>
      <c r="BP426" s="53"/>
    </row>
    <row r="427" spans="3:69" ht="14.25" hidden="1" customHeight="1">
      <c r="C427" s="82" t="s">
        <v>11</v>
      </c>
      <c r="D427" s="82" t="s">
        <v>1599</v>
      </c>
      <c r="E427" s="82" t="s">
        <v>1075</v>
      </c>
      <c r="F427" s="82" t="s">
        <v>1076</v>
      </c>
      <c r="G427" s="82">
        <v>812</v>
      </c>
      <c r="H427" s="82" t="s">
        <v>1077</v>
      </c>
      <c r="I427" s="82">
        <v>12</v>
      </c>
      <c r="J427" s="82">
        <v>13.05696</v>
      </c>
      <c r="K427" s="82">
        <v>156.68351999999999</v>
      </c>
      <c r="L427" s="26">
        <f t="shared" si="39"/>
        <v>6</v>
      </c>
      <c r="M427" s="26">
        <f t="shared" si="32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26"/>
      <c r="AZ427" s="26"/>
      <c r="BA427" s="26"/>
      <c r="BB427" s="26"/>
      <c r="BC427" s="26"/>
      <c r="BD427" s="26"/>
      <c r="BE427" s="67">
        <f>SUMIFS([1]Up!$J:$J,[1]Up!$D:$D,D427)</f>
        <v>0</v>
      </c>
      <c r="BF427" s="82"/>
      <c r="BG427" s="82" t="str">
        <f t="shared" si="40"/>
        <v/>
      </c>
      <c r="BH427" s="53" t="str">
        <f t="shared" si="41"/>
        <v/>
      </c>
      <c r="BI427" s="53" t="s">
        <v>148</v>
      </c>
      <c r="BJ427" s="53" t="s">
        <v>1078</v>
      </c>
      <c r="BK427" s="53" t="s">
        <v>1075</v>
      </c>
      <c r="BL427" s="84" t="s">
        <v>2161</v>
      </c>
      <c r="BM427" s="53">
        <v>24</v>
      </c>
      <c r="BN427" s="83" t="s">
        <v>2224</v>
      </c>
      <c r="BO427" s="53"/>
      <c r="BP427" s="53"/>
      <c r="BQ427" s="238"/>
    </row>
    <row r="428" spans="3:69" ht="14.25" hidden="1" customHeight="1">
      <c r="C428" s="82" t="s">
        <v>13</v>
      </c>
      <c r="D428" s="82" t="s">
        <v>1600</v>
      </c>
      <c r="E428" s="82" t="s">
        <v>1577</v>
      </c>
      <c r="F428" s="82" t="s">
        <v>1084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9"/>
        <v>1</v>
      </c>
      <c r="M428" s="26">
        <f t="shared" si="32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67">
        <f>SUMIFS([1]Up!$J:$J,[1]Up!$D:$D,D428)</f>
        <v>0</v>
      </c>
      <c r="BF428" s="82" t="s">
        <v>1829</v>
      </c>
      <c r="BG428" s="82" t="str">
        <f t="shared" si="40"/>
        <v>PL10</v>
      </c>
      <c r="BH428" s="53" t="str">
        <f t="shared" si="41"/>
        <v/>
      </c>
      <c r="BI428" s="53" t="s">
        <v>154</v>
      </c>
      <c r="BJ428" s="53" t="s">
        <v>1004</v>
      </c>
      <c r="BK428" s="53" t="s">
        <v>1005</v>
      </c>
      <c r="BL428" s="53" t="s">
        <v>57</v>
      </c>
      <c r="BM428" s="53">
        <v>4</v>
      </c>
      <c r="BN428" s="83"/>
      <c r="BO428" s="53"/>
      <c r="BP428" s="53"/>
    </row>
    <row r="429" spans="3:69" ht="14.25" hidden="1" customHeight="1">
      <c r="C429" s="82" t="s">
        <v>13</v>
      </c>
      <c r="D429" s="82" t="s">
        <v>1601</v>
      </c>
      <c r="E429" s="82" t="s">
        <v>1157</v>
      </c>
      <c r="F429" s="82" t="s">
        <v>1296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9"/>
        <v>2</v>
      </c>
      <c r="M429" s="26">
        <f t="shared" si="32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67">
        <f>SUMIFS([1]Up!$J:$J,[1]Up!$D:$D,D429)</f>
        <v>0</v>
      </c>
      <c r="BF429" s="82"/>
      <c r="BG429" s="82" t="str">
        <f t="shared" si="40"/>
        <v>PL15</v>
      </c>
      <c r="BH429" s="53" t="str">
        <f t="shared" si="41"/>
        <v/>
      </c>
      <c r="BI429" s="53" t="s">
        <v>148</v>
      </c>
      <c r="BJ429" s="53" t="s">
        <v>1093</v>
      </c>
      <c r="BK429" s="53" t="s">
        <v>1094</v>
      </c>
      <c r="BL429" s="84" t="s">
        <v>2155</v>
      </c>
      <c r="BM429" s="53">
        <v>8</v>
      </c>
      <c r="BN429" s="83" t="s">
        <v>2224</v>
      </c>
      <c r="BO429" s="53"/>
      <c r="BP429" s="53"/>
      <c r="BQ429" s="238"/>
    </row>
    <row r="430" spans="3:69" ht="14.25" hidden="1" customHeight="1">
      <c r="C430" s="82" t="s">
        <v>13</v>
      </c>
      <c r="D430" s="82" t="s">
        <v>1602</v>
      </c>
      <c r="E430" s="82" t="s">
        <v>1497</v>
      </c>
      <c r="F430" s="82" t="s">
        <v>1296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9"/>
        <v>1</v>
      </c>
      <c r="M430" s="26">
        <f t="shared" si="32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67">
        <f>SUMIFS([1]Up!$J:$J,[1]Up!$D:$D,D430)</f>
        <v>0</v>
      </c>
      <c r="BF430" s="82"/>
      <c r="BG430" s="82" t="str">
        <f t="shared" si="40"/>
        <v>PL10</v>
      </c>
      <c r="BH430" s="53" t="str">
        <f t="shared" si="41"/>
        <v/>
      </c>
      <c r="BI430" s="53" t="s">
        <v>148</v>
      </c>
      <c r="BJ430" s="53" t="s">
        <v>1004</v>
      </c>
      <c r="BK430" s="53" t="s">
        <v>1005</v>
      </c>
      <c r="BL430" s="84" t="s">
        <v>2156</v>
      </c>
      <c r="BM430" s="53">
        <v>4</v>
      </c>
      <c r="BN430" s="83">
        <v>46302</v>
      </c>
      <c r="BO430" s="53"/>
      <c r="BP430" s="53"/>
      <c r="BQ430" s="238"/>
    </row>
    <row r="431" spans="3:69" ht="14.25" hidden="1" customHeight="1">
      <c r="C431" s="82" t="s">
        <v>13</v>
      </c>
      <c r="D431" s="82" t="s">
        <v>1603</v>
      </c>
      <c r="E431" s="82" t="s">
        <v>1581</v>
      </c>
      <c r="F431" s="82" t="s">
        <v>1296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9"/>
        <v>7</v>
      </c>
      <c r="M431" s="26">
        <f t="shared" si="32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67">
        <f>SUMIFS([1]Up!$J:$J,[1]Up!$D:$D,D431)</f>
        <v>0</v>
      </c>
      <c r="BF431" s="82"/>
      <c r="BG431" s="82" t="str">
        <f t="shared" si="40"/>
        <v>PL10</v>
      </c>
      <c r="BH431" s="53" t="str">
        <f t="shared" si="41"/>
        <v/>
      </c>
      <c r="BI431" s="53" t="s">
        <v>148</v>
      </c>
      <c r="BJ431" s="53" t="s">
        <v>1004</v>
      </c>
      <c r="BK431" s="53" t="s">
        <v>1005</v>
      </c>
      <c r="BL431" s="84" t="s">
        <v>2156</v>
      </c>
      <c r="BM431" s="53">
        <v>28</v>
      </c>
      <c r="BN431" s="83">
        <v>46302</v>
      </c>
      <c r="BO431" s="53"/>
      <c r="BP431" s="53"/>
      <c r="BQ431" s="238"/>
    </row>
    <row r="432" spans="3:69" ht="14.25" hidden="1" customHeight="1">
      <c r="C432" s="82" t="s">
        <v>13</v>
      </c>
      <c r="D432" s="82" t="s">
        <v>1604</v>
      </c>
      <c r="E432" s="82" t="s">
        <v>1581</v>
      </c>
      <c r="F432" s="82" t="s">
        <v>1296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9"/>
        <v>8</v>
      </c>
      <c r="M432" s="26">
        <f t="shared" si="32"/>
        <v>6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26"/>
      <c r="AZ432" s="26"/>
      <c r="BA432" s="26">
        <v>1</v>
      </c>
      <c r="BB432" s="26">
        <v>1</v>
      </c>
      <c r="BC432" s="26"/>
      <c r="BD432" s="26"/>
      <c r="BE432" s="67">
        <f>SUMIFS([1]Up!$J:$J,[1]Up!$D:$D,D432)</f>
        <v>1</v>
      </c>
      <c r="BF432" s="82"/>
      <c r="BG432" s="82" t="str">
        <f t="shared" si="40"/>
        <v>PL10</v>
      </c>
      <c r="BH432" s="53" t="str">
        <f t="shared" si="41"/>
        <v/>
      </c>
      <c r="BI432" s="53" t="s">
        <v>148</v>
      </c>
      <c r="BJ432" s="53" t="s">
        <v>1004</v>
      </c>
      <c r="BK432" s="53" t="s">
        <v>1005</v>
      </c>
      <c r="BL432" s="84" t="s">
        <v>2156</v>
      </c>
      <c r="BM432" s="53">
        <v>28</v>
      </c>
      <c r="BN432" s="83">
        <v>46302</v>
      </c>
      <c r="BO432" s="53"/>
      <c r="BP432" s="53"/>
      <c r="BQ432" s="238"/>
    </row>
    <row r="433" spans="3:69" ht="14.25" hidden="1" customHeight="1">
      <c r="C433" s="82" t="s">
        <v>13</v>
      </c>
      <c r="D433" s="82" t="s">
        <v>1605</v>
      </c>
      <c r="E433" s="82" t="s">
        <v>1584</v>
      </c>
      <c r="F433" s="82" t="s">
        <v>1296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9"/>
        <v>14</v>
      </c>
      <c r="M433" s="26">
        <f t="shared" si="32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26"/>
      <c r="AZ433" s="26"/>
      <c r="BA433" s="26"/>
      <c r="BB433" s="26"/>
      <c r="BC433" s="26"/>
      <c r="BD433" s="26"/>
      <c r="BE433" s="67">
        <f>SUMIFS([1]Up!$J:$J,[1]Up!$D:$D,D433)</f>
        <v>0</v>
      </c>
      <c r="BF433" s="82"/>
      <c r="BG433" s="82" t="str">
        <f t="shared" si="40"/>
        <v>PL16</v>
      </c>
      <c r="BH433" s="53" t="str">
        <f t="shared" si="41"/>
        <v/>
      </c>
      <c r="BI433" s="53" t="s">
        <v>148</v>
      </c>
      <c r="BJ433" s="53" t="s">
        <v>987</v>
      </c>
      <c r="BK433" s="53" t="s">
        <v>988</v>
      </c>
      <c r="BL433" s="84" t="s">
        <v>2160</v>
      </c>
      <c r="BM433" s="53">
        <v>56</v>
      </c>
      <c r="BN433" s="83" t="s">
        <v>2225</v>
      </c>
      <c r="BO433" s="53"/>
      <c r="BP433" s="53"/>
      <c r="BQ433" s="238"/>
    </row>
    <row r="434" spans="3:69" ht="14.25" hidden="1" customHeight="1">
      <c r="C434" s="82" t="s">
        <v>13</v>
      </c>
      <c r="D434" s="82" t="s">
        <v>1606</v>
      </c>
      <c r="E434" s="82" t="s">
        <v>1577</v>
      </c>
      <c r="F434" s="82" t="s">
        <v>1084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9"/>
        <v>2</v>
      </c>
      <c r="M434" s="26">
        <f t="shared" si="32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67">
        <f>SUMIFS([1]Up!$J:$J,[1]Up!$D:$D,D434)</f>
        <v>0</v>
      </c>
      <c r="BF434" s="82" t="s">
        <v>2239</v>
      </c>
      <c r="BG434" s="82" t="str">
        <f>IFERROR(IF(C434="Plate",LEFT(E434,FIND("*",E434,1)-1),""),IF(C434="Plate",LEFT(E434,FIND("x",E434,1)-1),""))</f>
        <v>PL10</v>
      </c>
      <c r="BH434" s="53" t="str">
        <f t="shared" si="41"/>
        <v>Thừa 5</v>
      </c>
      <c r="BI434" s="53" t="s">
        <v>154</v>
      </c>
      <c r="BJ434" s="53" t="s">
        <v>1004</v>
      </c>
      <c r="BK434" s="53" t="s">
        <v>1005</v>
      </c>
      <c r="BL434" s="53" t="s">
        <v>57</v>
      </c>
      <c r="BM434" s="53">
        <v>4</v>
      </c>
      <c r="BN434" s="83"/>
      <c r="BO434" s="53"/>
      <c r="BP434" s="53"/>
    </row>
    <row r="435" spans="3:69" ht="14.25" hidden="1" customHeight="1">
      <c r="C435" s="82" t="s">
        <v>13</v>
      </c>
      <c r="D435" s="82" t="s">
        <v>1607</v>
      </c>
      <c r="E435" s="82" t="s">
        <v>1592</v>
      </c>
      <c r="F435" s="82" t="s">
        <v>1296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9"/>
        <v>7</v>
      </c>
      <c r="M435" s="26">
        <f t="shared" si="32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26"/>
      <c r="AZ435" s="26"/>
      <c r="BA435" s="26">
        <v>1</v>
      </c>
      <c r="BB435" s="26"/>
      <c r="BC435" s="26"/>
      <c r="BD435" s="26"/>
      <c r="BE435" s="67">
        <f>SUMIFS([1]Up!$J:$J,[1]Up!$D:$D,D435)</f>
        <v>0</v>
      </c>
      <c r="BF435" s="82"/>
      <c r="BG435" s="82" t="str">
        <f t="shared" si="40"/>
        <v>PL10</v>
      </c>
      <c r="BH435" s="53" t="str">
        <f t="shared" si="41"/>
        <v/>
      </c>
      <c r="BI435" s="53" t="s">
        <v>148</v>
      </c>
      <c r="BJ435" s="53" t="s">
        <v>1004</v>
      </c>
      <c r="BK435" s="53" t="s">
        <v>1005</v>
      </c>
      <c r="BL435" s="84" t="s">
        <v>2156</v>
      </c>
      <c r="BM435" s="53">
        <v>28</v>
      </c>
      <c r="BN435" s="83">
        <v>46302</v>
      </c>
      <c r="BO435" s="53"/>
      <c r="BP435" s="53"/>
      <c r="BQ435" s="238"/>
    </row>
    <row r="436" spans="3:69" ht="14.25" hidden="1" customHeight="1">
      <c r="C436" s="82" t="s">
        <v>13</v>
      </c>
      <c r="D436" s="82" t="s">
        <v>1608</v>
      </c>
      <c r="E436" s="82" t="s">
        <v>1125</v>
      </c>
      <c r="F436" s="82" t="s">
        <v>1296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9"/>
        <v>2</v>
      </c>
      <c r="M436" s="26">
        <f t="shared" si="32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26"/>
      <c r="AZ436" s="26"/>
      <c r="BA436" s="26"/>
      <c r="BB436" s="26"/>
      <c r="BC436" s="26"/>
      <c r="BD436" s="26"/>
      <c r="BE436" s="67">
        <f>SUMIFS([1]Up!$J:$J,[1]Up!$D:$D,D436)</f>
        <v>0</v>
      </c>
      <c r="BF436" s="82"/>
      <c r="BG436" s="82" t="str">
        <f t="shared" si="40"/>
        <v>PL15</v>
      </c>
      <c r="BH436" s="53" t="str">
        <f t="shared" si="41"/>
        <v/>
      </c>
      <c r="BI436" s="53" t="s">
        <v>148</v>
      </c>
      <c r="BJ436" s="53" t="s">
        <v>1093</v>
      </c>
      <c r="BK436" s="53" t="s">
        <v>1094</v>
      </c>
      <c r="BL436" s="84" t="s">
        <v>2155</v>
      </c>
      <c r="BM436" s="53">
        <v>4</v>
      </c>
      <c r="BN436" s="83" t="s">
        <v>2224</v>
      </c>
      <c r="BO436" s="53"/>
      <c r="BP436" s="53"/>
      <c r="BQ436" s="238"/>
    </row>
    <row r="437" spans="3:69" ht="14.25" hidden="1" customHeight="1">
      <c r="C437" s="82" t="s">
        <v>13</v>
      </c>
      <c r="D437" s="82" t="s">
        <v>1609</v>
      </c>
      <c r="E437" s="82" t="s">
        <v>1123</v>
      </c>
      <c r="F437" s="82" t="s">
        <v>1296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9"/>
        <v>1</v>
      </c>
      <c r="M437" s="26">
        <f t="shared" si="32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67">
        <f>SUMIFS([1]Up!$J:$J,[1]Up!$D:$D,D437)</f>
        <v>0</v>
      </c>
      <c r="BF437" s="82"/>
      <c r="BG437" s="82" t="str">
        <f t="shared" si="40"/>
        <v>PL20</v>
      </c>
      <c r="BH437" s="53" t="str">
        <f t="shared" si="41"/>
        <v/>
      </c>
      <c r="BI437" s="53" t="s">
        <v>148</v>
      </c>
      <c r="BJ437" s="53" t="s">
        <v>1099</v>
      </c>
      <c r="BK437" s="53" t="s">
        <v>1100</v>
      </c>
      <c r="BL437" s="84" t="s">
        <v>2157</v>
      </c>
      <c r="BM437" s="53">
        <v>4</v>
      </c>
      <c r="BN437" s="83">
        <v>46242</v>
      </c>
      <c r="BO437" s="53"/>
      <c r="BP437" s="53"/>
      <c r="BQ437" s="238"/>
    </row>
    <row r="438" spans="3:69" ht="14.25" hidden="1" customHeight="1">
      <c r="C438" s="82" t="s">
        <v>13</v>
      </c>
      <c r="D438" s="82" t="s">
        <v>1610</v>
      </c>
      <c r="E438" s="82" t="s">
        <v>1577</v>
      </c>
      <c r="F438" s="82" t="s">
        <v>1084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9"/>
        <v>2</v>
      </c>
      <c r="M438" s="26">
        <f t="shared" si="32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67">
        <f>SUMIFS([1]Up!$J:$J,[1]Up!$D:$D,D438)</f>
        <v>0</v>
      </c>
      <c r="BF438" s="82" t="s">
        <v>2238</v>
      </c>
      <c r="BG438" s="82" t="str">
        <f t="shared" si="40"/>
        <v>PL10</v>
      </c>
      <c r="BH438" s="53" t="str">
        <f t="shared" si="41"/>
        <v>Thừa 4</v>
      </c>
      <c r="BI438" s="53" t="s">
        <v>154</v>
      </c>
      <c r="BJ438" s="53" t="s">
        <v>1004</v>
      </c>
      <c r="BK438" s="53" t="s">
        <v>1005</v>
      </c>
      <c r="BL438" s="53" t="s">
        <v>57</v>
      </c>
      <c r="BM438" s="53">
        <v>4</v>
      </c>
      <c r="BN438" s="83"/>
      <c r="BO438" s="53"/>
      <c r="BP438" s="53"/>
    </row>
    <row r="439" spans="3:69" ht="14.25" hidden="1" customHeight="1">
      <c r="C439" s="82" t="s">
        <v>13</v>
      </c>
      <c r="D439" s="82" t="s">
        <v>1611</v>
      </c>
      <c r="E439" s="82" t="s">
        <v>1592</v>
      </c>
      <c r="F439" s="82" t="s">
        <v>1296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9"/>
        <v>7</v>
      </c>
      <c r="M439" s="26">
        <f t="shared" si="32"/>
        <v>7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26"/>
      <c r="AZ439" s="26"/>
      <c r="BA439" s="26">
        <v>6</v>
      </c>
      <c r="BB439" s="26"/>
      <c r="BC439" s="26"/>
      <c r="BD439" s="26"/>
      <c r="BE439" s="67">
        <f>SUMIFS([1]Up!$J:$J,[1]Up!$D:$D,D439)</f>
        <v>0</v>
      </c>
      <c r="BF439" s="82"/>
      <c r="BG439" s="82" t="str">
        <f t="shared" si="40"/>
        <v>PL10</v>
      </c>
      <c r="BH439" s="53" t="str">
        <f t="shared" si="41"/>
        <v/>
      </c>
      <c r="BI439" s="53" t="s">
        <v>148</v>
      </c>
      <c r="BJ439" s="53" t="s">
        <v>1004</v>
      </c>
      <c r="BK439" s="53" t="s">
        <v>1005</v>
      </c>
      <c r="BL439" s="84" t="s">
        <v>2156</v>
      </c>
      <c r="BM439" s="53">
        <v>28</v>
      </c>
      <c r="BN439" s="83">
        <v>46302</v>
      </c>
      <c r="BO439" s="53"/>
      <c r="BP439" s="53"/>
      <c r="BQ439" s="238"/>
    </row>
    <row r="440" spans="3:69" ht="14.25" hidden="1" customHeight="1">
      <c r="C440" s="82" t="s">
        <v>13</v>
      </c>
      <c r="D440" s="82" t="s">
        <v>1612</v>
      </c>
      <c r="E440" s="82" t="s">
        <v>1125</v>
      </c>
      <c r="F440" s="82" t="s">
        <v>1296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9"/>
        <v>2</v>
      </c>
      <c r="M440" s="26">
        <f t="shared" si="32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26"/>
      <c r="AZ440" s="26"/>
      <c r="BA440" s="26"/>
      <c r="BB440" s="26"/>
      <c r="BC440" s="26"/>
      <c r="BD440" s="26"/>
      <c r="BE440" s="67">
        <f>SUMIFS([1]Up!$J:$J,[1]Up!$D:$D,D440)</f>
        <v>0</v>
      </c>
      <c r="BF440" s="82"/>
      <c r="BG440" s="82" t="str">
        <f t="shared" si="40"/>
        <v>PL15</v>
      </c>
      <c r="BH440" s="53" t="str">
        <f t="shared" si="41"/>
        <v/>
      </c>
      <c r="BI440" s="53" t="s">
        <v>148</v>
      </c>
      <c r="BJ440" s="53" t="s">
        <v>1093</v>
      </c>
      <c r="BK440" s="53" t="s">
        <v>1094</v>
      </c>
      <c r="BL440" s="84" t="s">
        <v>2155</v>
      </c>
      <c r="BM440" s="53">
        <v>4</v>
      </c>
      <c r="BN440" s="83" t="s">
        <v>2224</v>
      </c>
      <c r="BO440" s="53"/>
      <c r="BP440" s="53"/>
      <c r="BQ440" s="238"/>
    </row>
    <row r="441" spans="3:69" ht="14.25" hidden="1" customHeight="1">
      <c r="C441" s="82" t="s">
        <v>13</v>
      </c>
      <c r="D441" s="82" t="s">
        <v>1613</v>
      </c>
      <c r="E441" s="82" t="s">
        <v>1123</v>
      </c>
      <c r="F441" s="82" t="s">
        <v>1296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9"/>
        <v>1</v>
      </c>
      <c r="M441" s="26">
        <f t="shared" si="32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67">
        <f>SUMIFS([1]Up!$J:$J,[1]Up!$D:$D,D441)</f>
        <v>0</v>
      </c>
      <c r="BF441" s="82"/>
      <c r="BG441" s="82" t="str">
        <f t="shared" si="40"/>
        <v>PL20</v>
      </c>
      <c r="BH441" s="53" t="str">
        <f t="shared" si="41"/>
        <v/>
      </c>
      <c r="BI441" s="53" t="s">
        <v>148</v>
      </c>
      <c r="BJ441" s="53" t="s">
        <v>1099</v>
      </c>
      <c r="BK441" s="53" t="s">
        <v>1100</v>
      </c>
      <c r="BL441" s="84" t="s">
        <v>2157</v>
      </c>
      <c r="BM441" s="53">
        <v>4</v>
      </c>
      <c r="BN441" s="83">
        <v>46242</v>
      </c>
      <c r="BO441" s="53"/>
      <c r="BP441" s="53"/>
      <c r="BQ441" s="238"/>
    </row>
    <row r="442" spans="3:69" ht="14.25" hidden="1" customHeight="1">
      <c r="C442" s="82" t="s">
        <v>11</v>
      </c>
      <c r="D442" s="82" t="s">
        <v>1614</v>
      </c>
      <c r="E442" s="82" t="s">
        <v>1075</v>
      </c>
      <c r="F442" s="82" t="s">
        <v>1010</v>
      </c>
      <c r="G442" s="82">
        <v>812</v>
      </c>
      <c r="H442" s="82" t="s">
        <v>1077</v>
      </c>
      <c r="I442" s="82">
        <v>2</v>
      </c>
      <c r="J442" s="82">
        <v>13.1</v>
      </c>
      <c r="K442" s="82">
        <v>26.2</v>
      </c>
      <c r="L442" s="26">
        <f t="shared" si="39"/>
        <v>2</v>
      </c>
      <c r="M442" s="26">
        <f t="shared" si="32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67">
        <f>SUMIFS([1]Up!$J:$J,[1]Up!$D:$D,D442)</f>
        <v>0</v>
      </c>
      <c r="BF442" s="82"/>
      <c r="BG442" s="82" t="str">
        <f t="shared" si="40"/>
        <v/>
      </c>
      <c r="BH442" s="53" t="str">
        <f t="shared" si="41"/>
        <v/>
      </c>
      <c r="BI442" s="53" t="s">
        <v>148</v>
      </c>
      <c r="BJ442" s="53" t="s">
        <v>1078</v>
      </c>
      <c r="BK442" s="53" t="s">
        <v>1075</v>
      </c>
      <c r="BL442" s="53" t="s">
        <v>1289</v>
      </c>
      <c r="BM442" s="53">
        <v>2</v>
      </c>
      <c r="BN442" s="83">
        <v>46362</v>
      </c>
      <c r="BO442" s="53"/>
      <c r="BP442" s="53"/>
    </row>
    <row r="443" spans="3:69" ht="14.25" hidden="1" customHeight="1">
      <c r="C443" s="82" t="s">
        <v>13</v>
      </c>
      <c r="D443" s="82" t="s">
        <v>1615</v>
      </c>
      <c r="E443" s="82" t="s">
        <v>1194</v>
      </c>
      <c r="F443" s="82" t="s">
        <v>1195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9"/>
        <v>1</v>
      </c>
      <c r="M443" s="26">
        <f t="shared" si="32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67">
        <f>SUMIFS([1]Up!$J:$J,[1]Up!$D:$D,D443)</f>
        <v>0</v>
      </c>
      <c r="BF443" s="82" t="s">
        <v>2070</v>
      </c>
      <c r="BG443" s="82" t="str">
        <f t="shared" si="40"/>
        <v>PL10</v>
      </c>
      <c r="BH443" s="53" t="str">
        <f t="shared" si="41"/>
        <v>Thừa 4</v>
      </c>
      <c r="BI443" s="53" t="s">
        <v>154</v>
      </c>
      <c r="BJ443" s="53" t="s">
        <v>1004</v>
      </c>
      <c r="BK443" s="53" t="s">
        <v>1005</v>
      </c>
      <c r="BL443" s="53" t="s">
        <v>57</v>
      </c>
      <c r="BM443" s="53">
        <v>1</v>
      </c>
      <c r="BN443" s="83"/>
      <c r="BO443" s="53"/>
      <c r="BP443" s="53"/>
    </row>
    <row r="444" spans="3:69" ht="14.25" hidden="1" customHeight="1">
      <c r="C444" s="82" t="s">
        <v>13</v>
      </c>
      <c r="D444" s="82" t="s">
        <v>1616</v>
      </c>
      <c r="E444" s="82" t="s">
        <v>1123</v>
      </c>
      <c r="F444" s="82" t="s">
        <v>1210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9"/>
        <v>2</v>
      </c>
      <c r="M444" s="26">
        <f t="shared" si="32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67">
        <f>SUMIFS([1]Up!$J:$J,[1]Up!$D:$D,D444)</f>
        <v>0</v>
      </c>
      <c r="BF444" s="82"/>
      <c r="BG444" s="82" t="str">
        <f t="shared" si="40"/>
        <v>PL20</v>
      </c>
      <c r="BH444" s="53" t="str">
        <f t="shared" si="41"/>
        <v/>
      </c>
      <c r="BI444" s="53" t="s">
        <v>148</v>
      </c>
      <c r="BJ444" s="53" t="s">
        <v>1099</v>
      </c>
      <c r="BK444" s="53" t="s">
        <v>1100</v>
      </c>
      <c r="BL444" s="53" t="s">
        <v>1307</v>
      </c>
      <c r="BM444" s="53">
        <v>2</v>
      </c>
      <c r="BN444" s="83">
        <v>46242</v>
      </c>
      <c r="BO444" s="53"/>
      <c r="BP444" s="53"/>
    </row>
    <row r="445" spans="3:69" ht="14.25" hidden="1" customHeight="1">
      <c r="C445" s="82" t="s">
        <v>13</v>
      </c>
      <c r="D445" s="82" t="s">
        <v>1617</v>
      </c>
      <c r="E445" s="82" t="s">
        <v>1125</v>
      </c>
      <c r="F445" s="82" t="s">
        <v>1212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9"/>
        <v>2</v>
      </c>
      <c r="M445" s="26">
        <f t="shared" si="32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67">
        <f>SUMIFS([1]Up!$J:$J,[1]Up!$D:$D,D445)</f>
        <v>0</v>
      </c>
      <c r="BF445" s="82"/>
      <c r="BG445" s="82" t="str">
        <f t="shared" si="40"/>
        <v>PL15</v>
      </c>
      <c r="BH445" s="53" t="str">
        <f t="shared" si="41"/>
        <v/>
      </c>
      <c r="BI445" s="53" t="s">
        <v>148</v>
      </c>
      <c r="BJ445" s="53" t="s">
        <v>1093</v>
      </c>
      <c r="BK445" s="53" t="s">
        <v>1094</v>
      </c>
      <c r="BL445" s="53" t="s">
        <v>1303</v>
      </c>
      <c r="BM445" s="53">
        <v>2</v>
      </c>
      <c r="BN445" s="83">
        <v>46088</v>
      </c>
      <c r="BO445" s="53"/>
      <c r="BP445" s="53"/>
    </row>
    <row r="446" spans="3:69" ht="14.25" hidden="1" customHeight="1">
      <c r="C446" s="82" t="s">
        <v>13</v>
      </c>
      <c r="D446" s="82" t="s">
        <v>1618</v>
      </c>
      <c r="E446" s="82" t="s">
        <v>1222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9"/>
        <v>2</v>
      </c>
      <c r="M446" s="26">
        <f t="shared" si="32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67">
        <f>SUMIFS([1]Up!$J:$J,[1]Up!$D:$D,D446)</f>
        <v>0</v>
      </c>
      <c r="BF446" s="82"/>
      <c r="BG446" s="82" t="str">
        <f t="shared" si="40"/>
        <v>PL15</v>
      </c>
      <c r="BH446" s="53" t="str">
        <f t="shared" si="41"/>
        <v/>
      </c>
      <c r="BI446" s="53" t="s">
        <v>148</v>
      </c>
      <c r="BJ446" s="53" t="s">
        <v>1093</v>
      </c>
      <c r="BK446" s="53" t="s">
        <v>1094</v>
      </c>
      <c r="BL446" s="53" t="s">
        <v>1303</v>
      </c>
      <c r="BM446" s="53">
        <v>2</v>
      </c>
      <c r="BN446" s="83">
        <v>46088</v>
      </c>
      <c r="BO446" s="53"/>
      <c r="BP446" s="53"/>
    </row>
    <row r="447" spans="3:69" ht="14.25" hidden="1" customHeight="1">
      <c r="C447" s="82" t="s">
        <v>13</v>
      </c>
      <c r="D447" s="82" t="s">
        <v>1619</v>
      </c>
      <c r="E447" s="82" t="s">
        <v>1620</v>
      </c>
      <c r="F447" s="82" t="s">
        <v>1204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9"/>
        <v>1</v>
      </c>
      <c r="M447" s="26">
        <f t="shared" si="32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67">
        <f>SUMIFS([1]Up!$J:$J,[1]Up!$D:$D,D447)</f>
        <v>0</v>
      </c>
      <c r="BF447" s="82" t="s">
        <v>2071</v>
      </c>
      <c r="BG447" s="82" t="str">
        <f t="shared" si="40"/>
        <v>PL10</v>
      </c>
      <c r="BH447" s="53" t="str">
        <f t="shared" si="41"/>
        <v>Thừa 2</v>
      </c>
      <c r="BI447" s="53" t="s">
        <v>148</v>
      </c>
      <c r="BJ447" s="53" t="s">
        <v>1004</v>
      </c>
      <c r="BK447" s="53" t="s">
        <v>1005</v>
      </c>
      <c r="BL447" s="53" t="s">
        <v>57</v>
      </c>
      <c r="BM447" s="53">
        <v>1</v>
      </c>
      <c r="BN447" s="83"/>
      <c r="BO447" s="53"/>
      <c r="BP447" s="53"/>
    </row>
    <row r="448" spans="3:69" ht="14.25" hidden="1" customHeight="1">
      <c r="C448" s="82" t="s">
        <v>13</v>
      </c>
      <c r="D448" s="82" t="s">
        <v>1621</v>
      </c>
      <c r="E448" s="82" t="s">
        <v>1622</v>
      </c>
      <c r="F448" s="82" t="s">
        <v>1204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9"/>
        <v>1</v>
      </c>
      <c r="M448" s="26">
        <f t="shared" si="32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67">
        <f>SUMIFS([1]Up!$J:$J,[1]Up!$D:$D,D448)</f>
        <v>0</v>
      </c>
      <c r="BF448" s="82" t="s">
        <v>2076</v>
      </c>
      <c r="BG448" s="82" t="str">
        <f t="shared" si="40"/>
        <v>PL20</v>
      </c>
      <c r="BH448" s="53" t="str">
        <f t="shared" si="41"/>
        <v>Thừa 7</v>
      </c>
      <c r="BI448" s="53" t="s">
        <v>148</v>
      </c>
      <c r="BJ448" s="53" t="s">
        <v>1099</v>
      </c>
      <c r="BK448" s="53" t="s">
        <v>1100</v>
      </c>
      <c r="BL448" s="53" t="s">
        <v>57</v>
      </c>
      <c r="BM448" s="53">
        <v>1</v>
      </c>
      <c r="BN448" s="83"/>
      <c r="BO448" s="53"/>
      <c r="BP448" s="53"/>
    </row>
    <row r="449" spans="3:68" ht="14.25" hidden="1" customHeight="1">
      <c r="C449" s="82" t="s">
        <v>13</v>
      </c>
      <c r="D449" s="82" t="s">
        <v>1623</v>
      </c>
      <c r="E449" s="82" t="s">
        <v>1624</v>
      </c>
      <c r="F449" s="82" t="s">
        <v>1212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9"/>
        <v>1</v>
      </c>
      <c r="M449" s="26">
        <f t="shared" si="32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>
        <v>1</v>
      </c>
      <c r="BE449" s="67">
        <f>SUMIFS([1]Up!$J:$J,[1]Up!$D:$D,D449)</f>
        <v>0</v>
      </c>
      <c r="BF449" s="82"/>
      <c r="BG449" s="82" t="str">
        <f t="shared" si="40"/>
        <v>PL10</v>
      </c>
      <c r="BH449" s="53" t="str">
        <f t="shared" si="41"/>
        <v/>
      </c>
      <c r="BI449" s="53" t="s">
        <v>154</v>
      </c>
      <c r="BJ449" s="53" t="s">
        <v>1004</v>
      </c>
      <c r="BK449" s="53" t="s">
        <v>1005</v>
      </c>
      <c r="BL449" s="53" t="s">
        <v>1063</v>
      </c>
      <c r="BM449" s="53">
        <v>1</v>
      </c>
      <c r="BN449" s="83">
        <v>46088</v>
      </c>
      <c r="BO449" s="53"/>
      <c r="BP449" s="53"/>
    </row>
    <row r="450" spans="3:68" ht="14.25" hidden="1" customHeight="1">
      <c r="C450" s="82" t="s">
        <v>13</v>
      </c>
      <c r="D450" s="82" t="s">
        <v>1625</v>
      </c>
      <c r="E450" s="82" t="s">
        <v>1626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9"/>
        <v>2</v>
      </c>
      <c r="M450" s="26">
        <f t="shared" si="32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67">
        <f>SUMIFS([1]Up!$J:$J,[1]Up!$D:$D,D450)</f>
        <v>0</v>
      </c>
      <c r="BF450" s="82"/>
      <c r="BG450" s="82" t="str">
        <f t="shared" si="40"/>
        <v>PL20</v>
      </c>
      <c r="BH450" s="53" t="str">
        <f t="shared" si="41"/>
        <v/>
      </c>
      <c r="BI450" s="53" t="s">
        <v>148</v>
      </c>
      <c r="BJ450" s="53" t="s">
        <v>1099</v>
      </c>
      <c r="BK450" s="53" t="s">
        <v>1100</v>
      </c>
      <c r="BL450" s="53" t="s">
        <v>1307</v>
      </c>
      <c r="BM450" s="53">
        <v>2</v>
      </c>
      <c r="BN450" s="83">
        <v>46242</v>
      </c>
      <c r="BO450" s="53"/>
      <c r="BP450" s="53"/>
    </row>
    <row r="451" spans="3:68" ht="14.25" hidden="1" customHeight="1">
      <c r="C451" s="82" t="s">
        <v>13</v>
      </c>
      <c r="D451" s="82" t="s">
        <v>1627</v>
      </c>
      <c r="E451" s="82" t="s">
        <v>1628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9"/>
        <v>1</v>
      </c>
      <c r="M451" s="26">
        <f t="shared" si="32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67">
        <f>SUMIFS([1]Up!$J:$J,[1]Up!$D:$D,D451)</f>
        <v>0</v>
      </c>
      <c r="BF451" s="82"/>
      <c r="BG451" s="82" t="str">
        <f t="shared" si="40"/>
        <v>PL10</v>
      </c>
      <c r="BH451" s="53" t="str">
        <f t="shared" si="41"/>
        <v/>
      </c>
      <c r="BI451" s="53" t="s">
        <v>148</v>
      </c>
      <c r="BJ451" s="53" t="s">
        <v>1004</v>
      </c>
      <c r="BK451" s="53" t="s">
        <v>1005</v>
      </c>
      <c r="BL451" s="53" t="s">
        <v>1063</v>
      </c>
      <c r="BM451" s="53">
        <v>1</v>
      </c>
      <c r="BN451" s="83">
        <v>46088</v>
      </c>
      <c r="BO451" s="53"/>
      <c r="BP451" s="53"/>
    </row>
    <row r="452" spans="3:68" ht="14.25" hidden="1" customHeight="1">
      <c r="C452" s="82" t="s">
        <v>13</v>
      </c>
      <c r="D452" s="82" t="s">
        <v>1629</v>
      </c>
      <c r="E452" s="82" t="s">
        <v>1630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9"/>
        <v>1</v>
      </c>
      <c r="M452" s="26">
        <f t="shared" si="32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>
        <v>-1</v>
      </c>
      <c r="BE452" s="67">
        <f>SUMIFS([1]Up!$J:$J,[1]Up!$D:$D,D452)</f>
        <v>0</v>
      </c>
      <c r="BF452" s="82" t="s">
        <v>2236</v>
      </c>
      <c r="BG452" s="82" t="str">
        <f t="shared" si="40"/>
        <v>PL3</v>
      </c>
      <c r="BH452" s="53" t="str">
        <f t="shared" si="41"/>
        <v/>
      </c>
      <c r="BI452" s="53" t="s">
        <v>148</v>
      </c>
      <c r="BJ452" s="53" t="s">
        <v>1631</v>
      </c>
      <c r="BK452" s="53" t="s">
        <v>961</v>
      </c>
      <c r="BL452" s="53" t="s">
        <v>1632</v>
      </c>
      <c r="BM452" s="53">
        <v>1</v>
      </c>
      <c r="BN452" s="83" t="s">
        <v>2222</v>
      </c>
      <c r="BO452" s="53"/>
      <c r="BP452" s="53"/>
    </row>
    <row r="453" spans="3:68" ht="14.25" hidden="1" customHeight="1">
      <c r="C453" s="82" t="s">
        <v>13</v>
      </c>
      <c r="D453" s="82" t="s">
        <v>1633</v>
      </c>
      <c r="E453" s="82" t="s">
        <v>1157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9"/>
        <v>2</v>
      </c>
      <c r="M453" s="26">
        <f t="shared" si="32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67">
        <f>SUMIFS([1]Up!$J:$J,[1]Up!$D:$D,D453)</f>
        <v>0</v>
      </c>
      <c r="BF453" s="82"/>
      <c r="BG453" s="82" t="str">
        <f t="shared" si="40"/>
        <v>PL15</v>
      </c>
      <c r="BH453" s="53" t="str">
        <f t="shared" si="41"/>
        <v/>
      </c>
      <c r="BI453" s="53" t="s">
        <v>148</v>
      </c>
      <c r="BJ453" s="53" t="s">
        <v>1093</v>
      </c>
      <c r="BK453" s="53" t="s">
        <v>1094</v>
      </c>
      <c r="BL453" s="53" t="s">
        <v>1303</v>
      </c>
      <c r="BM453" s="53">
        <v>2</v>
      </c>
      <c r="BN453" s="83">
        <v>46088</v>
      </c>
      <c r="BO453" s="53"/>
      <c r="BP453" s="53"/>
    </row>
    <row r="454" spans="3:68" ht="14.25" hidden="1" customHeight="1">
      <c r="C454" s="82" t="s">
        <v>13</v>
      </c>
      <c r="D454" s="82" t="s">
        <v>1634</v>
      </c>
      <c r="E454" s="82" t="s">
        <v>1635</v>
      </c>
      <c r="F454" s="82" t="s">
        <v>1195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9"/>
        <v>1</v>
      </c>
      <c r="M454" s="26">
        <f t="shared" si="32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67">
        <f>SUMIFS([1]Up!$J:$J,[1]Up!$D:$D,D454)</f>
        <v>0</v>
      </c>
      <c r="BF454" s="82" t="s">
        <v>2073</v>
      </c>
      <c r="BG454" s="82" t="str">
        <f t="shared" si="40"/>
        <v>PL10</v>
      </c>
      <c r="BH454" s="53" t="str">
        <f t="shared" si="41"/>
        <v>Thừa 1</v>
      </c>
      <c r="BI454" s="53" t="s">
        <v>154</v>
      </c>
      <c r="BJ454" s="53" t="s">
        <v>1004</v>
      </c>
      <c r="BK454" s="53" t="s">
        <v>1005</v>
      </c>
      <c r="BL454" s="53" t="s">
        <v>57</v>
      </c>
      <c r="BM454" s="53">
        <v>1</v>
      </c>
      <c r="BN454" s="83"/>
      <c r="BO454" s="53"/>
      <c r="BP454" s="53"/>
    </row>
    <row r="455" spans="3:68" ht="14.25" hidden="1" customHeight="1">
      <c r="C455" s="82" t="s">
        <v>13</v>
      </c>
      <c r="D455" s="82" t="s">
        <v>1636</v>
      </c>
      <c r="E455" s="82" t="s">
        <v>1637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9"/>
        <v>1</v>
      </c>
      <c r="M455" s="26">
        <f t="shared" si="32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67">
        <f>SUMIFS([1]Up!$J:$J,[1]Up!$D:$D,D455)</f>
        <v>0</v>
      </c>
      <c r="BF455" s="82" t="s">
        <v>2073</v>
      </c>
      <c r="BG455" s="82" t="str">
        <f t="shared" si="40"/>
        <v>PL10</v>
      </c>
      <c r="BH455" s="53" t="str">
        <f t="shared" si="41"/>
        <v>Thừa 1</v>
      </c>
      <c r="BI455" s="53" t="s">
        <v>148</v>
      </c>
      <c r="BJ455" s="53" t="s">
        <v>1004</v>
      </c>
      <c r="BK455" s="53" t="s">
        <v>1005</v>
      </c>
      <c r="BL455" s="53" t="s">
        <v>57</v>
      </c>
      <c r="BM455" s="53">
        <v>1</v>
      </c>
      <c r="BN455" s="83"/>
      <c r="BO455" s="53"/>
      <c r="BP455" s="53"/>
    </row>
    <row r="456" spans="3:68" ht="14.25" hidden="1" customHeight="1">
      <c r="C456" s="82" t="s">
        <v>13</v>
      </c>
      <c r="D456" s="82" t="s">
        <v>1638</v>
      </c>
      <c r="E456" s="82" t="s">
        <v>1639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9"/>
        <v>1</v>
      </c>
      <c r="M456" s="26">
        <f t="shared" si="32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67">
        <f>SUMIFS([1]Up!$J:$J,[1]Up!$D:$D,D456)</f>
        <v>0</v>
      </c>
      <c r="BF456" s="82"/>
      <c r="BG456" s="82" t="str">
        <f t="shared" si="40"/>
        <v>PL10</v>
      </c>
      <c r="BH456" s="53" t="str">
        <f t="shared" si="41"/>
        <v/>
      </c>
      <c r="BI456" s="53" t="s">
        <v>148</v>
      </c>
      <c r="BJ456" s="53" t="s">
        <v>1004</v>
      </c>
      <c r="BK456" s="53" t="s">
        <v>1005</v>
      </c>
      <c r="BL456" s="53" t="s">
        <v>1063</v>
      </c>
      <c r="BM456" s="53">
        <v>1</v>
      </c>
      <c r="BN456" s="83">
        <v>46088</v>
      </c>
      <c r="BO456" s="53"/>
      <c r="BP456" s="53"/>
    </row>
    <row r="457" spans="3:68" ht="14.25" hidden="1" customHeight="1">
      <c r="C457" s="82" t="s">
        <v>13</v>
      </c>
      <c r="D457" s="82" t="s">
        <v>1640</v>
      </c>
      <c r="E457" s="82" t="s">
        <v>1641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9"/>
        <v>2</v>
      </c>
      <c r="M457" s="26">
        <f t="shared" si="32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67">
        <f>SUMIFS([1]Up!$J:$J,[1]Up!$D:$D,D457)</f>
        <v>0</v>
      </c>
      <c r="BF457" s="82"/>
      <c r="BG457" s="82" t="str">
        <f t="shared" si="40"/>
        <v>PL16</v>
      </c>
      <c r="BH457" s="53" t="str">
        <f t="shared" si="41"/>
        <v/>
      </c>
      <c r="BI457" s="53" t="s">
        <v>148</v>
      </c>
      <c r="BJ457" s="53" t="s">
        <v>987</v>
      </c>
      <c r="BK457" s="53" t="s">
        <v>988</v>
      </c>
      <c r="BL457" s="53" t="s">
        <v>989</v>
      </c>
      <c r="BM457" s="53">
        <v>2</v>
      </c>
      <c r="BN457" s="83" t="s">
        <v>2222</v>
      </c>
      <c r="BO457" s="53"/>
      <c r="BP457" s="53"/>
    </row>
    <row r="458" spans="3:68" ht="14.25" hidden="1" customHeight="1">
      <c r="C458" s="82" t="s">
        <v>13</v>
      </c>
      <c r="D458" s="82" t="s">
        <v>2086</v>
      </c>
      <c r="E458" s="82" t="s">
        <v>1649</v>
      </c>
      <c r="F458" s="82" t="s">
        <v>1204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9"/>
        <v>1</v>
      </c>
      <c r="M458" s="26">
        <f t="shared" ref="M458" si="42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>
        <v>1</v>
      </c>
      <c r="BE458" s="67">
        <f>SUMIFS([1]Up!$J:$J,[1]Up!$D:$D,D458)</f>
        <v>0</v>
      </c>
      <c r="BF458" s="82"/>
      <c r="BG458" s="82" t="str">
        <f t="shared" si="40"/>
        <v>PL10</v>
      </c>
      <c r="BH458" s="53" t="str">
        <f t="shared" si="41"/>
        <v/>
      </c>
      <c r="BI458" s="53"/>
      <c r="BJ458" s="53"/>
      <c r="BK458" s="53"/>
      <c r="BL458" s="53"/>
      <c r="BM458" s="53"/>
      <c r="BN458" s="83"/>
      <c r="BO458" s="53"/>
      <c r="BP458" s="53"/>
    </row>
    <row r="459" spans="3:68" ht="14.25" hidden="1" customHeight="1">
      <c r="C459" s="82" t="s">
        <v>13</v>
      </c>
      <c r="D459" s="82" t="s">
        <v>1642</v>
      </c>
      <c r="E459" s="82" t="s">
        <v>1637</v>
      </c>
      <c r="F459" s="82" t="s">
        <v>1204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9"/>
        <v>1</v>
      </c>
      <c r="M459" s="26">
        <f t="shared" si="32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67">
        <f>SUMIFS([1]Up!$J:$J,[1]Up!$D:$D,D459)</f>
        <v>0</v>
      </c>
      <c r="BF459" s="82" t="s">
        <v>2073</v>
      </c>
      <c r="BG459" s="82" t="str">
        <f t="shared" si="40"/>
        <v>PL10</v>
      </c>
      <c r="BH459" s="53" t="str">
        <f t="shared" si="41"/>
        <v>Thừa 1</v>
      </c>
      <c r="BI459" s="53" t="s">
        <v>148</v>
      </c>
      <c r="BJ459" s="53" t="s">
        <v>1004</v>
      </c>
      <c r="BK459" s="53" t="s">
        <v>1005</v>
      </c>
      <c r="BL459" s="53" t="s">
        <v>57</v>
      </c>
      <c r="BM459" s="53">
        <v>1</v>
      </c>
      <c r="BN459" s="83"/>
      <c r="BO459" s="53"/>
      <c r="BP459" s="53"/>
    </row>
    <row r="460" spans="3:68" ht="14.25" hidden="1" customHeight="1">
      <c r="C460" s="82" t="s">
        <v>13</v>
      </c>
      <c r="D460" s="82" t="s">
        <v>1643</v>
      </c>
      <c r="E460" s="82" t="s">
        <v>1644</v>
      </c>
      <c r="F460" s="82" t="s">
        <v>1204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9"/>
        <v>1</v>
      </c>
      <c r="M460" s="26">
        <f t="shared" si="32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67">
        <f>SUMIFS([1]Up!$J:$J,[1]Up!$D:$D,D460)</f>
        <v>0</v>
      </c>
      <c r="BF460" s="82"/>
      <c r="BG460" s="82" t="str">
        <f t="shared" si="40"/>
        <v>PL10</v>
      </c>
      <c r="BH460" s="53" t="str">
        <f t="shared" si="41"/>
        <v/>
      </c>
      <c r="BI460" s="53" t="s">
        <v>148</v>
      </c>
      <c r="BJ460" s="53" t="s">
        <v>1004</v>
      </c>
      <c r="BK460" s="53" t="s">
        <v>1005</v>
      </c>
      <c r="BL460" s="53" t="s">
        <v>1063</v>
      </c>
      <c r="BM460" s="53">
        <v>1</v>
      </c>
      <c r="BN460" s="83">
        <v>46088</v>
      </c>
      <c r="BO460" s="53"/>
      <c r="BP460" s="53"/>
    </row>
    <row r="461" spans="3:68" ht="14.25" hidden="1" customHeight="1">
      <c r="C461" s="82" t="s">
        <v>13</v>
      </c>
      <c r="D461" s="82" t="s">
        <v>1645</v>
      </c>
      <c r="E461" s="82" t="s">
        <v>1646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9"/>
        <v>1</v>
      </c>
      <c r="M461" s="26">
        <f t="shared" si="32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67">
        <f>SUMIFS([1]Up!$J:$J,[1]Up!$D:$D,D461)</f>
        <v>0</v>
      </c>
      <c r="BF461" s="82"/>
      <c r="BG461" s="82" t="str">
        <f t="shared" si="40"/>
        <v>PL15</v>
      </c>
      <c r="BH461" s="53" t="str">
        <f t="shared" si="41"/>
        <v/>
      </c>
      <c r="BI461" s="53" t="s">
        <v>148</v>
      </c>
      <c r="BJ461" s="53" t="s">
        <v>1093</v>
      </c>
      <c r="BK461" s="53" t="s">
        <v>1094</v>
      </c>
      <c r="BL461" s="53" t="s">
        <v>1303</v>
      </c>
      <c r="BM461" s="53">
        <v>1</v>
      </c>
      <c r="BN461" s="83">
        <v>46088</v>
      </c>
      <c r="BO461" s="53"/>
      <c r="BP461" s="53"/>
    </row>
    <row r="462" spans="3:68" ht="14.25" hidden="1" customHeight="1">
      <c r="C462" s="82" t="s">
        <v>13</v>
      </c>
      <c r="D462" s="82" t="s">
        <v>1647</v>
      </c>
      <c r="E462" s="82" t="s">
        <v>1157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9"/>
        <v>2</v>
      </c>
      <c r="M462" s="26">
        <f t="shared" si="32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67">
        <f>SUMIFS([1]Up!$J:$J,[1]Up!$D:$D,D462)</f>
        <v>0</v>
      </c>
      <c r="BF462" s="82"/>
      <c r="BG462" s="82" t="str">
        <f t="shared" si="40"/>
        <v>PL15</v>
      </c>
      <c r="BH462" s="53" t="str">
        <f t="shared" si="41"/>
        <v/>
      </c>
      <c r="BI462" s="53" t="s">
        <v>148</v>
      </c>
      <c r="BJ462" s="53" t="s">
        <v>1093</v>
      </c>
      <c r="BK462" s="53" t="s">
        <v>1094</v>
      </c>
      <c r="BL462" s="53" t="s">
        <v>1303</v>
      </c>
      <c r="BM462" s="53">
        <v>2</v>
      </c>
      <c r="BN462" s="83">
        <v>46088</v>
      </c>
      <c r="BO462" s="53"/>
      <c r="BP462" s="53"/>
    </row>
    <row r="463" spans="3:68" ht="14.25" hidden="1" customHeight="1">
      <c r="C463" s="82" t="s">
        <v>13</v>
      </c>
      <c r="D463" s="82" t="s">
        <v>1648</v>
      </c>
      <c r="E463" s="82" t="s">
        <v>1649</v>
      </c>
      <c r="F463" s="82" t="s">
        <v>1204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9"/>
        <v>1</v>
      </c>
      <c r="M463" s="26">
        <f t="shared" si="32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67">
        <f>SUMIFS([1]Up!$J:$J,[1]Up!$D:$D,D463)</f>
        <v>0</v>
      </c>
      <c r="BF463" s="82" t="s">
        <v>2071</v>
      </c>
      <c r="BG463" s="82" t="str">
        <f t="shared" si="40"/>
        <v>PL10</v>
      </c>
      <c r="BH463" s="53" t="str">
        <f t="shared" si="41"/>
        <v>Thừa 2</v>
      </c>
      <c r="BI463" s="53" t="s">
        <v>148</v>
      </c>
      <c r="BJ463" s="53" t="s">
        <v>1004</v>
      </c>
      <c r="BK463" s="53" t="s">
        <v>1005</v>
      </c>
      <c r="BL463" s="53" t="s">
        <v>57</v>
      </c>
      <c r="BM463" s="53">
        <v>1</v>
      </c>
      <c r="BN463" s="83"/>
      <c r="BO463" s="53"/>
      <c r="BP463" s="53"/>
    </row>
    <row r="464" spans="3:68" ht="14.25" hidden="1" customHeight="1">
      <c r="C464" s="82" t="s">
        <v>13</v>
      </c>
      <c r="D464" s="82" t="s">
        <v>1650</v>
      </c>
      <c r="E464" s="82" t="s">
        <v>1651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9"/>
        <v>2</v>
      </c>
      <c r="M464" s="26">
        <f t="shared" si="32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67">
        <f>SUMIFS([1]Up!$J:$J,[1]Up!$D:$D,D464)</f>
        <v>0</v>
      </c>
      <c r="BF464" s="82"/>
      <c r="BG464" s="82" t="str">
        <f t="shared" si="40"/>
        <v>PL10</v>
      </c>
      <c r="BH464" s="53" t="str">
        <f t="shared" si="41"/>
        <v/>
      </c>
      <c r="BI464" s="53" t="s">
        <v>148</v>
      </c>
      <c r="BJ464" s="53" t="s">
        <v>1004</v>
      </c>
      <c r="BK464" s="53" t="s">
        <v>1005</v>
      </c>
      <c r="BL464" s="53" t="s">
        <v>1063</v>
      </c>
      <c r="BM464" s="53">
        <v>2</v>
      </c>
      <c r="BN464" s="83">
        <v>46088</v>
      </c>
      <c r="BO464" s="53"/>
      <c r="BP464" s="53"/>
    </row>
    <row r="465" spans="3:69" ht="14.25" hidden="1" customHeight="1">
      <c r="C465" s="82" t="s">
        <v>13</v>
      </c>
      <c r="D465" s="82" t="s">
        <v>1652</v>
      </c>
      <c r="E465" s="82" t="s">
        <v>1653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9"/>
        <v>4</v>
      </c>
      <c r="M465" s="26">
        <f t="shared" si="32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67">
        <f>SUMIFS([1]Up!$J:$J,[1]Up!$D:$D,D465)</f>
        <v>0</v>
      </c>
      <c r="BF465" s="82"/>
      <c r="BG465" s="82" t="str">
        <f t="shared" si="40"/>
        <v>PL16</v>
      </c>
      <c r="BH465" s="53" t="str">
        <f t="shared" si="41"/>
        <v/>
      </c>
      <c r="BI465" s="53" t="s">
        <v>148</v>
      </c>
      <c r="BJ465" s="53" t="s">
        <v>987</v>
      </c>
      <c r="BK465" s="53" t="s">
        <v>988</v>
      </c>
      <c r="BL465" s="53" t="s">
        <v>989</v>
      </c>
      <c r="BM465" s="53">
        <v>4</v>
      </c>
      <c r="BN465" s="83" t="s">
        <v>2222</v>
      </c>
      <c r="BO465" s="53"/>
      <c r="BP465" s="53"/>
    </row>
    <row r="466" spans="3:69" ht="14.25" hidden="1" customHeight="1">
      <c r="C466" s="82" t="s">
        <v>11</v>
      </c>
      <c r="D466" s="82" t="s">
        <v>1654</v>
      </c>
      <c r="E466" s="82" t="s">
        <v>1075</v>
      </c>
      <c r="F466" s="82" t="s">
        <v>1076</v>
      </c>
      <c r="G466" s="82">
        <v>812</v>
      </c>
      <c r="H466" s="82" t="s">
        <v>1077</v>
      </c>
      <c r="I466" s="82">
        <v>4</v>
      </c>
      <c r="J466" s="82">
        <v>13.05696</v>
      </c>
      <c r="K466" s="82">
        <v>52.22784</v>
      </c>
      <c r="L466" s="26">
        <f t="shared" si="39"/>
        <v>2</v>
      </c>
      <c r="M466" s="26">
        <f t="shared" si="32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26"/>
      <c r="AZ466" s="26"/>
      <c r="BA466" s="26"/>
      <c r="BB466" s="26"/>
      <c r="BC466" s="26"/>
      <c r="BD466" s="26"/>
      <c r="BE466" s="67">
        <f>SUMIFS([1]Up!$J:$J,[1]Up!$D:$D,D466)</f>
        <v>0</v>
      </c>
      <c r="BF466" s="82"/>
      <c r="BG466" s="82" t="str">
        <f t="shared" si="40"/>
        <v/>
      </c>
      <c r="BH466" s="53" t="str">
        <f t="shared" si="41"/>
        <v/>
      </c>
      <c r="BI466" s="53" t="s">
        <v>148</v>
      </c>
      <c r="BJ466" s="53" t="s">
        <v>1078</v>
      </c>
      <c r="BK466" s="53" t="s">
        <v>1075</v>
      </c>
      <c r="BL466" s="84" t="s">
        <v>2161</v>
      </c>
      <c r="BM466" s="53">
        <v>8</v>
      </c>
      <c r="BN466" s="83" t="s">
        <v>2224</v>
      </c>
      <c r="BO466" s="53"/>
      <c r="BP466" s="53"/>
      <c r="BQ466" s="238"/>
    </row>
    <row r="467" spans="3:69" ht="14.25" hidden="1" customHeight="1">
      <c r="C467" s="82" t="s">
        <v>13</v>
      </c>
      <c r="D467" s="82" t="s">
        <v>1655</v>
      </c>
      <c r="E467" s="82" t="s">
        <v>1194</v>
      </c>
      <c r="F467" s="82" t="s">
        <v>1084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9"/>
        <v>2</v>
      </c>
      <c r="M467" s="26">
        <f t="shared" si="32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67">
        <f>SUMIFS([1]Up!$J:$J,[1]Up!$D:$D,D467)</f>
        <v>0</v>
      </c>
      <c r="BF467" s="82" t="s">
        <v>2245</v>
      </c>
      <c r="BG467" s="82" t="str">
        <f t="shared" si="40"/>
        <v>PL10</v>
      </c>
      <c r="BH467" s="53" t="str">
        <f t="shared" si="41"/>
        <v>Thừa 3</v>
      </c>
      <c r="BI467" s="53" t="s">
        <v>154</v>
      </c>
      <c r="BJ467" s="53" t="s">
        <v>1004</v>
      </c>
      <c r="BK467" s="53" t="s">
        <v>1005</v>
      </c>
      <c r="BL467" s="53" t="s">
        <v>57</v>
      </c>
      <c r="BM467" s="53">
        <v>4</v>
      </c>
      <c r="BN467" s="83"/>
      <c r="BO467" s="53"/>
      <c r="BP467" s="53"/>
    </row>
    <row r="468" spans="3:69" ht="14.25" hidden="1" customHeight="1">
      <c r="C468" s="82" t="s">
        <v>13</v>
      </c>
      <c r="D468" s="82" t="s">
        <v>1656</v>
      </c>
      <c r="E468" s="82" t="s">
        <v>1628</v>
      </c>
      <c r="F468" s="82" t="s">
        <v>1296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9"/>
        <v>2</v>
      </c>
      <c r="M468" s="26">
        <f t="shared" si="32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26"/>
      <c r="AZ468" s="26"/>
      <c r="BA468" s="26"/>
      <c r="BB468" s="26">
        <v>1</v>
      </c>
      <c r="BC468" s="26"/>
      <c r="BD468" s="26"/>
      <c r="BE468" s="67">
        <f>SUMIFS([1]Up!$J:$J,[1]Up!$D:$D,D468)</f>
        <v>1</v>
      </c>
      <c r="BF468" s="82"/>
      <c r="BG468" s="82" t="str">
        <f t="shared" si="40"/>
        <v>PL10</v>
      </c>
      <c r="BH468" s="53" t="str">
        <f t="shared" si="41"/>
        <v/>
      </c>
      <c r="BI468" s="53" t="s">
        <v>148</v>
      </c>
      <c r="BJ468" s="53" t="s">
        <v>1004</v>
      </c>
      <c r="BK468" s="53" t="s">
        <v>1005</v>
      </c>
      <c r="BL468" s="84" t="s">
        <v>2156</v>
      </c>
      <c r="BM468" s="53">
        <v>4</v>
      </c>
      <c r="BN468" s="83">
        <v>46302</v>
      </c>
      <c r="BO468" s="53"/>
      <c r="BP468" s="53"/>
      <c r="BQ468" s="238"/>
    </row>
    <row r="469" spans="3:69" ht="14.25" hidden="1" customHeight="1">
      <c r="C469" s="82" t="s">
        <v>13</v>
      </c>
      <c r="D469" s="82" t="s">
        <v>1657</v>
      </c>
      <c r="E469" s="82" t="s">
        <v>1630</v>
      </c>
      <c r="F469" s="82" t="s">
        <v>1296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9"/>
        <v>0</v>
      </c>
      <c r="M469" s="26">
        <f t="shared" si="32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67">
        <f>SUMIFS([1]Up!$J:$J,[1]Up!$D:$D,D469)</f>
        <v>0</v>
      </c>
      <c r="BF469" s="82"/>
      <c r="BG469" s="82" t="str">
        <f t="shared" si="40"/>
        <v>PL3</v>
      </c>
      <c r="BH469" s="53" t="str">
        <f t="shared" si="41"/>
        <v/>
      </c>
      <c r="BI469" s="53" t="s">
        <v>148</v>
      </c>
      <c r="BJ469" s="53" t="s">
        <v>1631</v>
      </c>
      <c r="BK469" s="53" t="s">
        <v>961</v>
      </c>
      <c r="BL469" s="84" t="s">
        <v>2189</v>
      </c>
      <c r="BM469" s="53">
        <v>4</v>
      </c>
      <c r="BN469" s="83" t="s">
        <v>2224</v>
      </c>
      <c r="BO469" s="53"/>
      <c r="BP469" s="53"/>
      <c r="BQ469" s="238"/>
    </row>
    <row r="470" spans="3:69" ht="14.25" hidden="1" customHeight="1">
      <c r="C470" s="82" t="s">
        <v>13</v>
      </c>
      <c r="D470" s="82" t="s">
        <v>1658</v>
      </c>
      <c r="E470" s="82" t="s">
        <v>1651</v>
      </c>
      <c r="F470" s="82" t="s">
        <v>1296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9"/>
        <v>2</v>
      </c>
      <c r="M470" s="26">
        <f t="shared" si="32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67">
        <f>SUMIFS([1]Up!$J:$J,[1]Up!$D:$D,D470)</f>
        <v>0</v>
      </c>
      <c r="BF470" s="82"/>
      <c r="BG470" s="82" t="str">
        <f t="shared" si="40"/>
        <v>PL10</v>
      </c>
      <c r="BH470" s="53" t="str">
        <f t="shared" si="41"/>
        <v/>
      </c>
      <c r="BI470" s="53" t="s">
        <v>148</v>
      </c>
      <c r="BJ470" s="53" t="s">
        <v>1004</v>
      </c>
      <c r="BK470" s="53" t="s">
        <v>1005</v>
      </c>
      <c r="BL470" s="84" t="s">
        <v>2156</v>
      </c>
      <c r="BM470" s="53">
        <v>8</v>
      </c>
      <c r="BN470" s="83">
        <v>46302</v>
      </c>
      <c r="BO470" s="53"/>
      <c r="BP470" s="53"/>
      <c r="BQ470" s="238"/>
    </row>
    <row r="471" spans="3:69" ht="14.25" hidden="1" customHeight="1">
      <c r="C471" s="82" t="s">
        <v>13</v>
      </c>
      <c r="D471" s="82" t="s">
        <v>1659</v>
      </c>
      <c r="E471" s="82" t="s">
        <v>1641</v>
      </c>
      <c r="F471" s="82" t="s">
        <v>1296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9"/>
        <v>2</v>
      </c>
      <c r="M471" s="26">
        <f t="shared" si="32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26"/>
      <c r="AZ471" s="26"/>
      <c r="BA471" s="26"/>
      <c r="BB471" s="26"/>
      <c r="BC471" s="26"/>
      <c r="BD471" s="26"/>
      <c r="BE471" s="67">
        <f>SUMIFS([1]Up!$J:$J,[1]Up!$D:$D,D471)</f>
        <v>0</v>
      </c>
      <c r="BF471" s="82"/>
      <c r="BG471" s="82" t="str">
        <f t="shared" si="40"/>
        <v>PL16</v>
      </c>
      <c r="BH471" s="53" t="str">
        <f t="shared" si="41"/>
        <v/>
      </c>
      <c r="BI471" s="53" t="s">
        <v>148</v>
      </c>
      <c r="BJ471" s="53" t="s">
        <v>987</v>
      </c>
      <c r="BK471" s="53" t="s">
        <v>988</v>
      </c>
      <c r="BL471" s="84" t="s">
        <v>2160</v>
      </c>
      <c r="BM471" s="53">
        <v>8</v>
      </c>
      <c r="BN471" s="83" t="s">
        <v>2225</v>
      </c>
      <c r="BO471" s="53"/>
      <c r="BP471" s="53"/>
      <c r="BQ471" s="238"/>
    </row>
    <row r="472" spans="3:69" ht="14.25" hidden="1" customHeight="1">
      <c r="C472" s="82" t="s">
        <v>13</v>
      </c>
      <c r="D472" s="82" t="s">
        <v>1660</v>
      </c>
      <c r="E472" s="82" t="s">
        <v>1157</v>
      </c>
      <c r="F472" s="82" t="s">
        <v>1296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9"/>
        <v>2</v>
      </c>
      <c r="M472" s="26">
        <f t="shared" si="32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67">
        <f>SUMIFS([1]Up!$J:$J,[1]Up!$D:$D,D472)</f>
        <v>0</v>
      </c>
      <c r="BF472" s="82"/>
      <c r="BG472" s="82" t="str">
        <f t="shared" si="40"/>
        <v>PL15</v>
      </c>
      <c r="BH472" s="53" t="str">
        <f t="shared" si="41"/>
        <v/>
      </c>
      <c r="BI472" s="53" t="s">
        <v>148</v>
      </c>
      <c r="BJ472" s="53" t="s">
        <v>1093</v>
      </c>
      <c r="BK472" s="53" t="s">
        <v>1094</v>
      </c>
      <c r="BL472" s="84" t="s">
        <v>2155</v>
      </c>
      <c r="BM472" s="53">
        <v>8</v>
      </c>
      <c r="BN472" s="83" t="s">
        <v>2224</v>
      </c>
      <c r="BO472" s="53"/>
      <c r="BP472" s="53"/>
      <c r="BQ472" s="238"/>
    </row>
    <row r="473" spans="3:69" ht="14.25" hidden="1" customHeight="1">
      <c r="C473" s="82" t="s">
        <v>13</v>
      </c>
      <c r="D473" s="82" t="s">
        <v>1661</v>
      </c>
      <c r="E473" s="82" t="s">
        <v>1641</v>
      </c>
      <c r="F473" s="82" t="s">
        <v>1296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9"/>
        <v>2</v>
      </c>
      <c r="M473" s="26">
        <f t="shared" si="32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26"/>
      <c r="AZ473" s="26"/>
      <c r="BA473" s="26"/>
      <c r="BB473" s="26"/>
      <c r="BC473" s="26"/>
      <c r="BD473" s="26"/>
      <c r="BE473" s="67">
        <f>SUMIFS([1]Up!$J:$J,[1]Up!$D:$D,D473)</f>
        <v>0</v>
      </c>
      <c r="BF473" s="82"/>
      <c r="BG473" s="82" t="str">
        <f t="shared" si="40"/>
        <v>PL16</v>
      </c>
      <c r="BH473" s="53" t="str">
        <f t="shared" si="41"/>
        <v/>
      </c>
      <c r="BI473" s="53" t="s">
        <v>148</v>
      </c>
      <c r="BJ473" s="53" t="s">
        <v>987</v>
      </c>
      <c r="BK473" s="53" t="s">
        <v>988</v>
      </c>
      <c r="BL473" s="84" t="s">
        <v>2160</v>
      </c>
      <c r="BM473" s="53">
        <v>8</v>
      </c>
      <c r="BN473" s="83" t="s">
        <v>2225</v>
      </c>
      <c r="BO473" s="53"/>
      <c r="BP473" s="53"/>
      <c r="BQ473" s="238"/>
    </row>
    <row r="474" spans="3:69" ht="14.25" hidden="1" customHeight="1">
      <c r="C474" s="82" t="s">
        <v>13</v>
      </c>
      <c r="D474" s="82" t="s">
        <v>1662</v>
      </c>
      <c r="E474" s="82" t="s">
        <v>1123</v>
      </c>
      <c r="F474" s="82" t="s">
        <v>1296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9"/>
        <v>1</v>
      </c>
      <c r="M474" s="26">
        <f t="shared" si="32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67">
        <f>SUMIFS([1]Up!$J:$J,[1]Up!$D:$D,D474)</f>
        <v>0</v>
      </c>
      <c r="BF474" s="82"/>
      <c r="BG474" s="82" t="str">
        <f t="shared" si="40"/>
        <v>PL20</v>
      </c>
      <c r="BH474" s="53" t="str">
        <f t="shared" si="41"/>
        <v/>
      </c>
      <c r="BI474" s="53" t="s">
        <v>148</v>
      </c>
      <c r="BJ474" s="53" t="s">
        <v>1099</v>
      </c>
      <c r="BK474" s="53" t="s">
        <v>1100</v>
      </c>
      <c r="BL474" s="84" t="s">
        <v>2157</v>
      </c>
      <c r="BM474" s="53">
        <v>4</v>
      </c>
      <c r="BN474" s="83">
        <v>46242</v>
      </c>
      <c r="BO474" s="53"/>
      <c r="BP474" s="53"/>
      <c r="BQ474" s="238"/>
    </row>
    <row r="475" spans="3:69" ht="14.25" hidden="1" customHeight="1">
      <c r="C475" s="82" t="s">
        <v>13</v>
      </c>
      <c r="D475" s="82" t="s">
        <v>1663</v>
      </c>
      <c r="E475" s="82" t="s">
        <v>1125</v>
      </c>
      <c r="F475" s="82" t="s">
        <v>1296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9"/>
        <v>2</v>
      </c>
      <c r="M475" s="26">
        <f t="shared" si="32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26"/>
      <c r="AZ475" s="26"/>
      <c r="BA475" s="26"/>
      <c r="BB475" s="26"/>
      <c r="BC475" s="26"/>
      <c r="BD475" s="26"/>
      <c r="BE475" s="67">
        <f>SUMIFS([1]Up!$J:$J,[1]Up!$D:$D,D475)</f>
        <v>0</v>
      </c>
      <c r="BF475" s="82"/>
      <c r="BG475" s="82" t="str">
        <f t="shared" si="40"/>
        <v>PL15</v>
      </c>
      <c r="BH475" s="53" t="str">
        <f t="shared" si="41"/>
        <v/>
      </c>
      <c r="BI475" s="53" t="s">
        <v>148</v>
      </c>
      <c r="BJ475" s="53" t="s">
        <v>1093</v>
      </c>
      <c r="BK475" s="53" t="s">
        <v>1094</v>
      </c>
      <c r="BL475" s="84" t="s">
        <v>2155</v>
      </c>
      <c r="BM475" s="53">
        <v>4</v>
      </c>
      <c r="BN475" s="83" t="s">
        <v>2224</v>
      </c>
      <c r="BO475" s="53"/>
      <c r="BP475" s="53"/>
      <c r="BQ475" s="238"/>
    </row>
    <row r="476" spans="3:69" ht="14.25" hidden="1" customHeight="1">
      <c r="C476" s="82" t="s">
        <v>13</v>
      </c>
      <c r="D476" s="82" t="s">
        <v>1664</v>
      </c>
      <c r="E476" s="82" t="s">
        <v>1665</v>
      </c>
      <c r="F476" s="82" t="s">
        <v>1084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9"/>
        <v>2</v>
      </c>
      <c r="M476" s="26">
        <f t="shared" si="32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67">
        <f>SUMIFS([1]Up!$J:$J,[1]Up!$D:$D,D476)</f>
        <v>0</v>
      </c>
      <c r="BF476" s="82" t="s">
        <v>2073</v>
      </c>
      <c r="BG476" s="82" t="str">
        <f t="shared" si="40"/>
        <v>PL10</v>
      </c>
      <c r="BH476" s="53" t="str">
        <f t="shared" si="41"/>
        <v/>
      </c>
      <c r="BI476" s="53" t="s">
        <v>154</v>
      </c>
      <c r="BJ476" s="53" t="s">
        <v>1004</v>
      </c>
      <c r="BK476" s="53" t="s">
        <v>1005</v>
      </c>
      <c r="BL476" s="53" t="s">
        <v>57</v>
      </c>
      <c r="BM476" s="53">
        <v>4</v>
      </c>
      <c r="BN476" s="83"/>
      <c r="BO476" s="53"/>
      <c r="BP476" s="53"/>
    </row>
    <row r="477" spans="3:69" ht="14.25" hidden="1" customHeight="1">
      <c r="C477" s="82" t="s">
        <v>13</v>
      </c>
      <c r="D477" s="82" t="s">
        <v>1666</v>
      </c>
      <c r="E477" s="82" t="s">
        <v>1649</v>
      </c>
      <c r="F477" s="82" t="s">
        <v>1296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9"/>
        <v>4</v>
      </c>
      <c r="M477" s="26">
        <f t="shared" si="32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26"/>
      <c r="AZ477" s="26"/>
      <c r="BA477" s="26">
        <v>4</v>
      </c>
      <c r="BB477" s="26"/>
      <c r="BC477" s="26"/>
      <c r="BD477" s="26"/>
      <c r="BE477" s="67">
        <f>SUMIFS([1]Up!$J:$J,[1]Up!$D:$D,D477)</f>
        <v>0</v>
      </c>
      <c r="BF477" s="82" t="s">
        <v>2390</v>
      </c>
      <c r="BG477" s="82" t="str">
        <f t="shared" si="40"/>
        <v>PL10</v>
      </c>
      <c r="BH477" s="53" t="str">
        <f t="shared" si="41"/>
        <v>Thừa 2</v>
      </c>
      <c r="BI477" s="53" t="s">
        <v>148</v>
      </c>
      <c r="BJ477" s="53" t="s">
        <v>1004</v>
      </c>
      <c r="BK477" s="53" t="s">
        <v>1005</v>
      </c>
      <c r="BL477" s="53" t="s">
        <v>57</v>
      </c>
      <c r="BM477" s="53">
        <v>8</v>
      </c>
      <c r="BN477" s="83"/>
      <c r="BO477" s="53"/>
      <c r="BP477" s="53"/>
    </row>
    <row r="478" spans="3:69" ht="14.25" hidden="1" customHeight="1">
      <c r="C478" s="82" t="s">
        <v>13</v>
      </c>
      <c r="D478" s="82" t="s">
        <v>1667</v>
      </c>
      <c r="E478" s="82" t="s">
        <v>1649</v>
      </c>
      <c r="F478" s="82" t="s">
        <v>1296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3">MIN(SUM(N478:BD478),I478)</f>
        <v>4</v>
      </c>
      <c r="M478" s="26">
        <f t="shared" si="32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26"/>
      <c r="AZ478" s="26"/>
      <c r="BA478" s="26">
        <v>5</v>
      </c>
      <c r="BB478" s="26"/>
      <c r="BC478" s="26"/>
      <c r="BD478" s="26"/>
      <c r="BE478" s="67">
        <f>SUMIFS([1]Up!$J:$J,[1]Up!$D:$D,D478)</f>
        <v>0</v>
      </c>
      <c r="BF478" s="82" t="s">
        <v>2391</v>
      </c>
      <c r="BG478" s="82" t="str">
        <f t="shared" ref="BG478:BG541" si="44">IFERROR(IF(C478="Plate",LEFT(E478,FIND("*",E478,1)-1),""),IF(C478="Plate",LEFT(E478,FIND("x",E478,1)-1),""))</f>
        <v>PL10</v>
      </c>
      <c r="BH478" s="53" t="str">
        <f t="shared" ref="BH478:BH541" si="45">IF(ROUND(SUM(N478:BD478)-I478,0)&gt;0,"Thừa "&amp;SUM(N478:BD478)-I478,"")</f>
        <v>Thừa 2</v>
      </c>
      <c r="BI478" s="53" t="s">
        <v>148</v>
      </c>
      <c r="BJ478" s="53" t="s">
        <v>1004</v>
      </c>
      <c r="BK478" s="53" t="s">
        <v>1005</v>
      </c>
      <c r="BL478" s="53" t="s">
        <v>57</v>
      </c>
      <c r="BM478" s="53">
        <v>8</v>
      </c>
      <c r="BN478" s="83"/>
      <c r="BO478" s="53"/>
      <c r="BP478" s="53"/>
    </row>
    <row r="479" spans="3:69" ht="14.25" hidden="1" customHeight="1">
      <c r="C479" s="82" t="s">
        <v>13</v>
      </c>
      <c r="D479" s="82" t="s">
        <v>1668</v>
      </c>
      <c r="E479" s="82" t="s">
        <v>1157</v>
      </c>
      <c r="F479" s="82" t="s">
        <v>1296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3"/>
        <v>4</v>
      </c>
      <c r="M479" s="26">
        <f t="shared" si="32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26"/>
      <c r="AZ479" s="26"/>
      <c r="BA479" s="26"/>
      <c r="BB479" s="26"/>
      <c r="BC479" s="26"/>
      <c r="BD479" s="26"/>
      <c r="BE479" s="67">
        <f>SUMIFS([1]Up!$J:$J,[1]Up!$D:$D,D479)</f>
        <v>0</v>
      </c>
      <c r="BF479" s="82"/>
      <c r="BG479" s="82" t="str">
        <f t="shared" si="44"/>
        <v>PL15</v>
      </c>
      <c r="BH479" s="53" t="str">
        <f t="shared" si="45"/>
        <v/>
      </c>
      <c r="BI479" s="53" t="s">
        <v>148</v>
      </c>
      <c r="BJ479" s="53" t="s">
        <v>1093</v>
      </c>
      <c r="BK479" s="53" t="s">
        <v>1094</v>
      </c>
      <c r="BL479" s="84" t="s">
        <v>2155</v>
      </c>
      <c r="BM479" s="53">
        <v>8</v>
      </c>
      <c r="BN479" s="83" t="s">
        <v>2224</v>
      </c>
      <c r="BO479" s="53"/>
      <c r="BP479" s="53"/>
      <c r="BQ479" s="238"/>
    </row>
    <row r="480" spans="3:69" ht="14.25" hidden="1" customHeight="1">
      <c r="C480" s="82" t="s">
        <v>13</v>
      </c>
      <c r="D480" s="82" t="s">
        <v>1669</v>
      </c>
      <c r="E480" s="82" t="s">
        <v>1670</v>
      </c>
      <c r="F480" s="82" t="s">
        <v>1296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3"/>
        <v>2</v>
      </c>
      <c r="M480" s="26">
        <f t="shared" si="32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>
        <v>3</v>
      </c>
      <c r="BB480" s="26"/>
      <c r="BC480" s="26"/>
      <c r="BD480" s="26"/>
      <c r="BE480" s="67">
        <f>SUMIFS([1]Up!$J:$J,[1]Up!$D:$D,D480)</f>
        <v>0</v>
      </c>
      <c r="BF480" s="82" t="s">
        <v>2071</v>
      </c>
      <c r="BG480" s="82" t="str">
        <f t="shared" si="44"/>
        <v>PL10</v>
      </c>
      <c r="BH480" s="53" t="str">
        <f t="shared" si="45"/>
        <v>Thừa 1</v>
      </c>
      <c r="BI480" s="53" t="s">
        <v>148</v>
      </c>
      <c r="BJ480" s="53" t="s">
        <v>1004</v>
      </c>
      <c r="BK480" s="53" t="s">
        <v>1005</v>
      </c>
      <c r="BL480" s="53" t="s">
        <v>57</v>
      </c>
      <c r="BM480" s="53">
        <v>4</v>
      </c>
      <c r="BN480" s="83"/>
      <c r="BO480" s="53"/>
      <c r="BP480" s="53"/>
    </row>
    <row r="481" spans="3:69" ht="14.25" hidden="1" customHeight="1">
      <c r="C481" s="82" t="s">
        <v>13</v>
      </c>
      <c r="D481" s="82" t="s">
        <v>1671</v>
      </c>
      <c r="E481" s="82" t="s">
        <v>1622</v>
      </c>
      <c r="F481" s="82" t="s">
        <v>1296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3"/>
        <v>2</v>
      </c>
      <c r="M481" s="26">
        <f t="shared" si="3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67">
        <f>SUMIFS([1]Up!$J:$J,[1]Up!$D:$D,D481)</f>
        <v>0</v>
      </c>
      <c r="BF481" s="82" t="s">
        <v>2072</v>
      </c>
      <c r="BG481" s="82" t="str">
        <f t="shared" si="44"/>
        <v>PL20</v>
      </c>
      <c r="BH481" s="53" t="str">
        <f t="shared" si="45"/>
        <v>Thừa 2</v>
      </c>
      <c r="BI481" s="53" t="s">
        <v>148</v>
      </c>
      <c r="BJ481" s="53" t="s">
        <v>1099</v>
      </c>
      <c r="BK481" s="53" t="s">
        <v>1100</v>
      </c>
      <c r="BL481" s="53" t="s">
        <v>57</v>
      </c>
      <c r="BM481" s="53">
        <v>4</v>
      </c>
      <c r="BN481" s="83"/>
      <c r="BO481" s="53"/>
      <c r="BP481" s="53"/>
    </row>
    <row r="482" spans="3:69" ht="14.25" hidden="1" customHeight="1">
      <c r="C482" s="82" t="s">
        <v>13</v>
      </c>
      <c r="D482" s="82" t="s">
        <v>1672</v>
      </c>
      <c r="E482" s="82" t="s">
        <v>1624</v>
      </c>
      <c r="F482" s="82" t="s">
        <v>1296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3"/>
        <v>1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>
        <v>1</v>
      </c>
      <c r="BA482" s="26"/>
      <c r="BB482" s="26"/>
      <c r="BC482" s="26"/>
      <c r="BD482" s="26"/>
      <c r="BE482" s="67">
        <f>SUMIFS([1]Up!$J:$J,[1]Up!$D:$D,D482)</f>
        <v>0</v>
      </c>
      <c r="BF482" s="82"/>
      <c r="BG482" s="82" t="str">
        <f t="shared" si="44"/>
        <v>PL10</v>
      </c>
      <c r="BH482" s="53" t="str">
        <f t="shared" si="45"/>
        <v/>
      </c>
      <c r="BI482" s="53" t="s">
        <v>154</v>
      </c>
      <c r="BJ482" s="53" t="s">
        <v>1004</v>
      </c>
      <c r="BK482" s="53" t="s">
        <v>1005</v>
      </c>
      <c r="BL482" s="84" t="s">
        <v>2156</v>
      </c>
      <c r="BM482" s="53">
        <v>4</v>
      </c>
      <c r="BN482" s="83">
        <v>46302</v>
      </c>
      <c r="BO482" s="53"/>
      <c r="BP482" s="53"/>
      <c r="BQ482" s="238"/>
    </row>
    <row r="483" spans="3:69" ht="14.25" hidden="1" customHeight="1">
      <c r="C483" s="82" t="s">
        <v>13</v>
      </c>
      <c r="D483" s="82" t="s">
        <v>1673</v>
      </c>
      <c r="E483" s="82" t="s">
        <v>1626</v>
      </c>
      <c r="F483" s="82" t="s">
        <v>1296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3"/>
        <v>2</v>
      </c>
      <c r="M483" s="26">
        <f t="shared" si="32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67">
        <f>SUMIFS([1]Up!$J:$J,[1]Up!$D:$D,D483)</f>
        <v>0</v>
      </c>
      <c r="BF483" s="82"/>
      <c r="BG483" s="82" t="str">
        <f t="shared" si="44"/>
        <v>PL20</v>
      </c>
      <c r="BH483" s="53" t="str">
        <f t="shared" si="45"/>
        <v/>
      </c>
      <c r="BI483" s="53" t="s">
        <v>148</v>
      </c>
      <c r="BJ483" s="53" t="s">
        <v>1099</v>
      </c>
      <c r="BK483" s="53" t="s">
        <v>1100</v>
      </c>
      <c r="BL483" s="84" t="s">
        <v>2157</v>
      </c>
      <c r="BM483" s="53">
        <v>8</v>
      </c>
      <c r="BN483" s="83">
        <v>46242</v>
      </c>
      <c r="BO483" s="53"/>
      <c r="BP483" s="53"/>
      <c r="BQ483" s="238"/>
    </row>
    <row r="484" spans="3:69" ht="14.25" hidden="1" customHeight="1">
      <c r="C484" s="82" t="s">
        <v>11</v>
      </c>
      <c r="D484" s="82" t="s">
        <v>1674</v>
      </c>
      <c r="E484" s="82" t="s">
        <v>1075</v>
      </c>
      <c r="F484" s="82" t="s">
        <v>1010</v>
      </c>
      <c r="G484" s="82">
        <v>812</v>
      </c>
      <c r="H484" s="82" t="s">
        <v>1077</v>
      </c>
      <c r="I484" s="82">
        <v>5</v>
      </c>
      <c r="J484" s="82">
        <v>13.1</v>
      </c>
      <c r="K484" s="82">
        <v>65.5</v>
      </c>
      <c r="L484" s="26">
        <f t="shared" si="43"/>
        <v>5</v>
      </c>
      <c r="M484" s="26">
        <f t="shared" si="32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67">
        <f>SUMIFS([1]Up!$J:$J,[1]Up!$D:$D,D484)</f>
        <v>0</v>
      </c>
      <c r="BF484" s="82"/>
      <c r="BG484" s="82" t="str">
        <f t="shared" si="44"/>
        <v/>
      </c>
      <c r="BH484" s="53" t="str">
        <f t="shared" si="45"/>
        <v/>
      </c>
      <c r="BI484" s="53" t="s">
        <v>148</v>
      </c>
      <c r="BJ484" s="53" t="s">
        <v>1078</v>
      </c>
      <c r="BK484" s="53" t="s">
        <v>1075</v>
      </c>
      <c r="BL484" s="53" t="s">
        <v>1289</v>
      </c>
      <c r="BM484" s="53">
        <v>5</v>
      </c>
      <c r="BN484" s="83">
        <v>46362</v>
      </c>
      <c r="BO484" s="53"/>
      <c r="BP484" s="53"/>
    </row>
    <row r="485" spans="3:69" ht="14.25" hidden="1" customHeight="1">
      <c r="C485" s="82" t="s">
        <v>13</v>
      </c>
      <c r="D485" s="82" t="s">
        <v>1675</v>
      </c>
      <c r="E485" s="82" t="s">
        <v>1676</v>
      </c>
      <c r="F485" s="82" t="s">
        <v>1195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3"/>
        <v>1</v>
      </c>
      <c r="M485" s="26">
        <f t="shared" si="32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67">
        <f>SUMIFS([1]Up!$J:$J,[1]Up!$D:$D,D485)</f>
        <v>0</v>
      </c>
      <c r="BF485" s="82" t="s">
        <v>2073</v>
      </c>
      <c r="BG485" s="82" t="str">
        <f t="shared" si="44"/>
        <v>PL8</v>
      </c>
      <c r="BH485" s="53" t="str">
        <f t="shared" si="45"/>
        <v>Thừa 1</v>
      </c>
      <c r="BI485" s="53" t="s">
        <v>154</v>
      </c>
      <c r="BJ485" s="53" t="s">
        <v>1011</v>
      </c>
      <c r="BK485" s="53" t="s">
        <v>1012</v>
      </c>
      <c r="BL485" s="53" t="s">
        <v>57</v>
      </c>
      <c r="BM485" s="53">
        <v>1</v>
      </c>
      <c r="BN485" s="83"/>
      <c r="BO485" s="53"/>
      <c r="BP485" s="53"/>
    </row>
    <row r="486" spans="3:69" ht="14.25" hidden="1" customHeight="1">
      <c r="C486" s="82" t="s">
        <v>13</v>
      </c>
      <c r="D486" s="82" t="s">
        <v>1677</v>
      </c>
      <c r="E486" s="82" t="s">
        <v>1254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3"/>
        <v>2</v>
      </c>
      <c r="M486" s="26">
        <f t="shared" si="32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67">
        <f>SUMIFS([1]Up!$J:$J,[1]Up!$D:$D,D486)</f>
        <v>0</v>
      </c>
      <c r="BF486" s="82"/>
      <c r="BG486" s="82" t="str">
        <f t="shared" si="44"/>
        <v>PL15</v>
      </c>
      <c r="BH486" s="53" t="str">
        <f t="shared" si="45"/>
        <v/>
      </c>
      <c r="BI486" s="53" t="s">
        <v>148</v>
      </c>
      <c r="BJ486" s="53" t="s">
        <v>1093</v>
      </c>
      <c r="BK486" s="53" t="s">
        <v>1094</v>
      </c>
      <c r="BL486" s="53" t="s">
        <v>1303</v>
      </c>
      <c r="BM486" s="53">
        <v>2</v>
      </c>
      <c r="BN486" s="83">
        <v>46088</v>
      </c>
      <c r="BO486" s="53"/>
      <c r="BP486" s="53"/>
    </row>
    <row r="487" spans="3:69" ht="14.25" hidden="1" customHeight="1">
      <c r="C487" s="82" t="s">
        <v>13</v>
      </c>
      <c r="D487" s="82" t="s">
        <v>1678</v>
      </c>
      <c r="E487" s="82" t="s">
        <v>1157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3"/>
        <v>2</v>
      </c>
      <c r="M487" s="26">
        <f t="shared" si="32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67">
        <f>SUMIFS([1]Up!$J:$J,[1]Up!$D:$D,D487)</f>
        <v>0</v>
      </c>
      <c r="BF487" s="82"/>
      <c r="BG487" s="82" t="str">
        <f t="shared" si="44"/>
        <v>PL15</v>
      </c>
      <c r="BH487" s="53" t="str">
        <f t="shared" si="45"/>
        <v/>
      </c>
      <c r="BI487" s="53" t="s">
        <v>148</v>
      </c>
      <c r="BJ487" s="53" t="s">
        <v>1093</v>
      </c>
      <c r="BK487" s="53" t="s">
        <v>1094</v>
      </c>
      <c r="BL487" s="53" t="s">
        <v>1303</v>
      </c>
      <c r="BM487" s="53">
        <v>2</v>
      </c>
      <c r="BN487" s="83">
        <v>46088</v>
      </c>
      <c r="BO487" s="53"/>
      <c r="BP487" s="53"/>
    </row>
    <row r="488" spans="3:69" ht="14.25" hidden="1" customHeight="1">
      <c r="C488" s="82" t="s">
        <v>13</v>
      </c>
      <c r="D488" s="82" t="s">
        <v>1679</v>
      </c>
      <c r="E488" s="82" t="s">
        <v>1680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3"/>
        <v>4</v>
      </c>
      <c r="M488" s="26">
        <f t="shared" si="32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67">
        <f>SUMIFS([1]Up!$J:$J,[1]Up!$D:$D,D488)</f>
        <v>0</v>
      </c>
      <c r="BF488" s="82"/>
      <c r="BG488" s="82" t="str">
        <f t="shared" si="44"/>
        <v>PL16</v>
      </c>
      <c r="BH488" s="53" t="str">
        <f t="shared" si="45"/>
        <v/>
      </c>
      <c r="BI488" s="53" t="s">
        <v>148</v>
      </c>
      <c r="BJ488" s="53" t="s">
        <v>987</v>
      </c>
      <c r="BK488" s="53" t="s">
        <v>988</v>
      </c>
      <c r="BL488" s="53" t="s">
        <v>989</v>
      </c>
      <c r="BM488" s="53">
        <v>4</v>
      </c>
      <c r="BN488" s="83" t="s">
        <v>2222</v>
      </c>
      <c r="BO488" s="53"/>
      <c r="BP488" s="53"/>
    </row>
    <row r="489" spans="3:69" ht="14.25" hidden="1" customHeight="1">
      <c r="C489" s="82" t="s">
        <v>13</v>
      </c>
      <c r="D489" s="82" t="s">
        <v>1681</v>
      </c>
      <c r="E489" s="82" t="s">
        <v>1680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3"/>
        <v>2</v>
      </c>
      <c r="M489" s="26">
        <f t="shared" si="32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67">
        <f>SUMIFS([1]Up!$J:$J,[1]Up!$D:$D,D489)</f>
        <v>0</v>
      </c>
      <c r="BF489" s="82"/>
      <c r="BG489" s="82" t="str">
        <f t="shared" si="44"/>
        <v>PL16</v>
      </c>
      <c r="BH489" s="53" t="str">
        <f t="shared" si="45"/>
        <v/>
      </c>
      <c r="BI489" s="53" t="s">
        <v>148</v>
      </c>
      <c r="BJ489" s="53" t="s">
        <v>987</v>
      </c>
      <c r="BK489" s="53" t="s">
        <v>988</v>
      </c>
      <c r="BL489" s="53" t="s">
        <v>989</v>
      </c>
      <c r="BM489" s="53">
        <v>2</v>
      </c>
      <c r="BN489" s="83" t="s">
        <v>2222</v>
      </c>
      <c r="BO489" s="53"/>
      <c r="BP489" s="53"/>
    </row>
    <row r="490" spans="3:69" ht="14.25" hidden="1" customHeight="1">
      <c r="C490" s="82" t="s">
        <v>13</v>
      </c>
      <c r="D490" s="82" t="s">
        <v>1682</v>
      </c>
      <c r="E490" s="82" t="s">
        <v>1683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3"/>
        <v>4</v>
      </c>
      <c r="M490" s="26">
        <f t="shared" si="32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67">
        <f>SUMIFS([1]Up!$J:$J,[1]Up!$D:$D,D490)</f>
        <v>0</v>
      </c>
      <c r="BF490" s="82"/>
      <c r="BG490" s="82" t="str">
        <f t="shared" si="44"/>
        <v>PL16</v>
      </c>
      <c r="BH490" s="53" t="str">
        <f t="shared" si="45"/>
        <v/>
      </c>
      <c r="BI490" s="53" t="s">
        <v>148</v>
      </c>
      <c r="BJ490" s="53" t="s">
        <v>987</v>
      </c>
      <c r="BK490" s="53" t="s">
        <v>988</v>
      </c>
      <c r="BL490" s="53" t="s">
        <v>989</v>
      </c>
      <c r="BM490" s="53">
        <v>4</v>
      </c>
      <c r="BN490" s="83" t="s">
        <v>2222</v>
      </c>
      <c r="BO490" s="53"/>
      <c r="BP490" s="53"/>
    </row>
    <row r="491" spans="3:69" ht="14.25" hidden="1" customHeight="1">
      <c r="C491" s="82" t="s">
        <v>13</v>
      </c>
      <c r="D491" s="82" t="s">
        <v>1684</v>
      </c>
      <c r="E491" s="82" t="s">
        <v>1222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3"/>
        <v>1</v>
      </c>
      <c r="M491" s="26">
        <f t="shared" si="32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67">
        <f>SUMIFS([1]Up!$J:$J,[1]Up!$D:$D,D491)</f>
        <v>0</v>
      </c>
      <c r="BF491" s="82"/>
      <c r="BG491" s="82" t="str">
        <f t="shared" si="44"/>
        <v>PL15</v>
      </c>
      <c r="BH491" s="53" t="str">
        <f t="shared" si="45"/>
        <v/>
      </c>
      <c r="BI491" s="53" t="s">
        <v>148</v>
      </c>
      <c r="BJ491" s="53" t="s">
        <v>1093</v>
      </c>
      <c r="BK491" s="53" t="s">
        <v>1094</v>
      </c>
      <c r="BL491" s="53" t="s">
        <v>1303</v>
      </c>
      <c r="BM491" s="53">
        <v>1</v>
      </c>
      <c r="BN491" s="83">
        <v>46088</v>
      </c>
      <c r="BO491" s="53"/>
      <c r="BP491" s="53"/>
    </row>
    <row r="492" spans="3:69" ht="14.25" hidden="1" customHeight="1">
      <c r="C492" s="82" t="s">
        <v>13</v>
      </c>
      <c r="D492" s="82" t="s">
        <v>1685</v>
      </c>
      <c r="E492" s="82" t="s">
        <v>1123</v>
      </c>
      <c r="F492" s="82" t="s">
        <v>1210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3"/>
        <v>2</v>
      </c>
      <c r="M492" s="26">
        <f t="shared" si="32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67">
        <f>SUMIFS([1]Up!$J:$J,[1]Up!$D:$D,D492)</f>
        <v>0</v>
      </c>
      <c r="BF492" s="82"/>
      <c r="BG492" s="82" t="str">
        <f t="shared" si="44"/>
        <v>PL20</v>
      </c>
      <c r="BH492" s="53" t="str">
        <f t="shared" si="45"/>
        <v/>
      </c>
      <c r="BI492" s="53" t="s">
        <v>148</v>
      </c>
      <c r="BJ492" s="53" t="s">
        <v>1099</v>
      </c>
      <c r="BK492" s="53" t="s">
        <v>1100</v>
      </c>
      <c r="BL492" s="53" t="s">
        <v>1307</v>
      </c>
      <c r="BM492" s="53">
        <v>2</v>
      </c>
      <c r="BN492" s="83">
        <v>46242</v>
      </c>
      <c r="BO492" s="53"/>
      <c r="BP492" s="53"/>
    </row>
    <row r="493" spans="3:69" ht="14.25" hidden="1" customHeight="1">
      <c r="C493" s="82" t="s">
        <v>13</v>
      </c>
      <c r="D493" s="82" t="s">
        <v>1686</v>
      </c>
      <c r="E493" s="82" t="s">
        <v>1125</v>
      </c>
      <c r="F493" s="82" t="s">
        <v>1212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3"/>
        <v>2</v>
      </c>
      <c r="M493" s="26">
        <f t="shared" si="32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67">
        <f>SUMIFS([1]Up!$J:$J,[1]Up!$D:$D,D493)</f>
        <v>0</v>
      </c>
      <c r="BF493" s="82"/>
      <c r="BG493" s="82" t="str">
        <f t="shared" si="44"/>
        <v>PL15</v>
      </c>
      <c r="BH493" s="53" t="str">
        <f t="shared" si="45"/>
        <v/>
      </c>
      <c r="BI493" s="53" t="s">
        <v>148</v>
      </c>
      <c r="BJ493" s="53" t="s">
        <v>1093</v>
      </c>
      <c r="BK493" s="53" t="s">
        <v>1094</v>
      </c>
      <c r="BL493" s="53" t="s">
        <v>1303</v>
      </c>
      <c r="BM493" s="53">
        <v>2</v>
      </c>
      <c r="BN493" s="83">
        <v>46088</v>
      </c>
      <c r="BO493" s="53"/>
      <c r="BP493" s="53"/>
    </row>
    <row r="494" spans="3:69" ht="14.25" hidden="1" customHeight="1">
      <c r="C494" s="82" t="s">
        <v>13</v>
      </c>
      <c r="D494" s="82" t="s">
        <v>1687</v>
      </c>
      <c r="E494" s="82" t="s">
        <v>1688</v>
      </c>
      <c r="F494" s="82" t="s">
        <v>1195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3"/>
        <v>1</v>
      </c>
      <c r="M494" s="26">
        <f t="shared" si="32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67">
        <f>SUMIFS([1]Up!$J:$J,[1]Up!$D:$D,D494)</f>
        <v>0</v>
      </c>
      <c r="BF494" s="82" t="s">
        <v>2085</v>
      </c>
      <c r="BG494" s="82" t="str">
        <f t="shared" si="44"/>
        <v>PL10</v>
      </c>
      <c r="BH494" s="53" t="str">
        <f t="shared" si="45"/>
        <v>Thừa 2</v>
      </c>
      <c r="BI494" s="53" t="s">
        <v>154</v>
      </c>
      <c r="BJ494" s="53" t="s">
        <v>1004</v>
      </c>
      <c r="BK494" s="53" t="s">
        <v>1005</v>
      </c>
      <c r="BL494" s="53" t="s">
        <v>57</v>
      </c>
      <c r="BM494" s="53">
        <v>1</v>
      </c>
      <c r="BN494" s="83"/>
      <c r="BO494" s="53"/>
      <c r="BP494" s="53"/>
    </row>
    <row r="495" spans="3:69" ht="14.25" hidden="1" customHeight="1">
      <c r="C495" s="82" t="s">
        <v>13</v>
      </c>
      <c r="D495" s="82" t="s">
        <v>1689</v>
      </c>
      <c r="E495" s="82" t="s">
        <v>1690</v>
      </c>
      <c r="F495" s="82" t="s">
        <v>1195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3"/>
        <v>1</v>
      </c>
      <c r="M495" s="26">
        <f t="shared" si="32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67">
        <f>SUMIFS([1]Up!$J:$J,[1]Up!$D:$D,D495)</f>
        <v>0</v>
      </c>
      <c r="BF495" s="82" t="s">
        <v>2071</v>
      </c>
      <c r="BG495" s="82" t="str">
        <f t="shared" si="44"/>
        <v>PL10</v>
      </c>
      <c r="BH495" s="53" t="str">
        <f t="shared" si="45"/>
        <v>Thừa 2</v>
      </c>
      <c r="BI495" s="53" t="s">
        <v>154</v>
      </c>
      <c r="BJ495" s="53" t="s">
        <v>1004</v>
      </c>
      <c r="BK495" s="53" t="s">
        <v>1005</v>
      </c>
      <c r="BL495" s="53" t="s">
        <v>57</v>
      </c>
      <c r="BM495" s="53">
        <v>1</v>
      </c>
      <c r="BN495" s="83"/>
      <c r="BO495" s="53"/>
      <c r="BP495" s="53"/>
    </row>
    <row r="496" spans="3:69" ht="14.25" hidden="1" customHeight="1">
      <c r="C496" s="82" t="s">
        <v>13</v>
      </c>
      <c r="D496" s="82" t="s">
        <v>1691</v>
      </c>
      <c r="E496" s="82" t="s">
        <v>1692</v>
      </c>
      <c r="F496" s="82" t="s">
        <v>1204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3"/>
        <v>2</v>
      </c>
      <c r="M496" s="26">
        <f t="shared" si="32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67">
        <f>SUMIFS([1]Up!$J:$J,[1]Up!$D:$D,D496)</f>
        <v>0</v>
      </c>
      <c r="BF496" s="82" t="s">
        <v>2081</v>
      </c>
      <c r="BG496" s="82" t="str">
        <f t="shared" si="44"/>
        <v>PL8</v>
      </c>
      <c r="BH496" s="53" t="str">
        <f t="shared" si="45"/>
        <v>Thừa 2</v>
      </c>
      <c r="BI496" s="53" t="s">
        <v>148</v>
      </c>
      <c r="BJ496" s="53" t="s">
        <v>1011</v>
      </c>
      <c r="BK496" s="53" t="s">
        <v>1012</v>
      </c>
      <c r="BL496" s="53" t="s">
        <v>57</v>
      </c>
      <c r="BM496" s="53">
        <v>2</v>
      </c>
      <c r="BN496" s="83"/>
      <c r="BO496" s="53"/>
      <c r="BP496" s="53"/>
    </row>
    <row r="497" spans="3:69" ht="14.25" hidden="1" customHeight="1">
      <c r="C497" s="82" t="s">
        <v>13</v>
      </c>
      <c r="D497" s="82" t="s">
        <v>1693</v>
      </c>
      <c r="E497" s="82" t="s">
        <v>1692</v>
      </c>
      <c r="F497" s="82" t="s">
        <v>1204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3"/>
        <v>1</v>
      </c>
      <c r="M497" s="26">
        <f t="shared" si="32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67">
        <f>SUMIFS([1]Up!$J:$J,[1]Up!$D:$D,D497)</f>
        <v>0</v>
      </c>
      <c r="BF497" s="82" t="s">
        <v>2073</v>
      </c>
      <c r="BG497" s="82" t="str">
        <f t="shared" si="44"/>
        <v>PL8</v>
      </c>
      <c r="BH497" s="53" t="str">
        <f t="shared" si="45"/>
        <v>Thừa 1</v>
      </c>
      <c r="BI497" s="53" t="s">
        <v>148</v>
      </c>
      <c r="BJ497" s="53" t="s">
        <v>1011</v>
      </c>
      <c r="BK497" s="53" t="s">
        <v>1012</v>
      </c>
      <c r="BL497" s="53" t="s">
        <v>57</v>
      </c>
      <c r="BM497" s="53">
        <v>1</v>
      </c>
      <c r="BN497" s="83"/>
      <c r="BO497" s="53"/>
      <c r="BP497" s="53"/>
    </row>
    <row r="498" spans="3:69" ht="14.25" hidden="1" customHeight="1">
      <c r="C498" s="82" t="s">
        <v>13</v>
      </c>
      <c r="D498" s="82" t="s">
        <v>1694</v>
      </c>
      <c r="E498" s="82" t="s">
        <v>1649</v>
      </c>
      <c r="F498" s="82" t="s">
        <v>1204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3"/>
        <v>1</v>
      </c>
      <c r="M498" s="26">
        <f t="shared" si="32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67">
        <f>SUMIFS([1]Up!$J:$J,[1]Up!$D:$D,D498)</f>
        <v>0</v>
      </c>
      <c r="BF498" s="82" t="s">
        <v>2071</v>
      </c>
      <c r="BG498" s="82" t="str">
        <f t="shared" si="44"/>
        <v>PL10</v>
      </c>
      <c r="BH498" s="53" t="str">
        <f t="shared" si="45"/>
        <v>Thừa 2</v>
      </c>
      <c r="BI498" s="53" t="s">
        <v>148</v>
      </c>
      <c r="BJ498" s="53" t="s">
        <v>1004</v>
      </c>
      <c r="BK498" s="53" t="s">
        <v>1005</v>
      </c>
      <c r="BL498" s="53" t="s">
        <v>57</v>
      </c>
      <c r="BM498" s="53">
        <v>1</v>
      </c>
      <c r="BN498" s="83"/>
      <c r="BO498" s="53"/>
      <c r="BP498" s="53"/>
    </row>
    <row r="499" spans="3:69" ht="14.25" hidden="1" customHeight="1">
      <c r="C499" s="82" t="s">
        <v>13</v>
      </c>
      <c r="D499" s="82" t="s">
        <v>1695</v>
      </c>
      <c r="E499" s="82" t="s">
        <v>1649</v>
      </c>
      <c r="F499" s="82" t="s">
        <v>1204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3"/>
        <v>1</v>
      </c>
      <c r="M499" s="26">
        <f t="shared" si="32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67">
        <f>SUMIFS([1]Up!$J:$J,[1]Up!$D:$D,D499)</f>
        <v>0</v>
      </c>
      <c r="BF499" s="82" t="s">
        <v>2071</v>
      </c>
      <c r="BG499" s="82" t="str">
        <f t="shared" si="44"/>
        <v>PL10</v>
      </c>
      <c r="BH499" s="53" t="str">
        <f t="shared" si="45"/>
        <v>Thừa 2</v>
      </c>
      <c r="BI499" s="53" t="s">
        <v>148</v>
      </c>
      <c r="BJ499" s="53" t="s">
        <v>1004</v>
      </c>
      <c r="BK499" s="53" t="s">
        <v>1005</v>
      </c>
      <c r="BL499" s="53" t="s">
        <v>57</v>
      </c>
      <c r="BM499" s="53">
        <v>1</v>
      </c>
      <c r="BN499" s="83"/>
      <c r="BO499" s="53"/>
      <c r="BP499" s="53"/>
    </row>
    <row r="500" spans="3:69" ht="14.25" hidden="1" customHeight="1">
      <c r="C500" s="82" t="s">
        <v>13</v>
      </c>
      <c r="D500" s="82" t="s">
        <v>1696</v>
      </c>
      <c r="E500" s="82" t="s">
        <v>1697</v>
      </c>
      <c r="F500" s="82" t="s">
        <v>1204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3"/>
        <v>1</v>
      </c>
      <c r="M500" s="26">
        <f t="shared" si="32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67">
        <f>SUMIFS([1]Up!$J:$J,[1]Up!$D:$D,D500)</f>
        <v>0</v>
      </c>
      <c r="BF500" s="82" t="s">
        <v>2073</v>
      </c>
      <c r="BG500" s="82" t="str">
        <f t="shared" si="44"/>
        <v>PL10</v>
      </c>
      <c r="BH500" s="53" t="str">
        <f t="shared" si="45"/>
        <v>Thừa 1</v>
      </c>
      <c r="BI500" s="53" t="s">
        <v>148</v>
      </c>
      <c r="BJ500" s="53" t="s">
        <v>1004</v>
      </c>
      <c r="BK500" s="53" t="s">
        <v>1005</v>
      </c>
      <c r="BL500" s="53" t="s">
        <v>57</v>
      </c>
      <c r="BM500" s="53">
        <v>1</v>
      </c>
      <c r="BN500" s="83"/>
      <c r="BO500" s="53"/>
      <c r="BP500" s="53"/>
    </row>
    <row r="501" spans="3:69" ht="14.25" hidden="1" customHeight="1">
      <c r="C501" s="82" t="s">
        <v>13</v>
      </c>
      <c r="D501" s="82" t="s">
        <v>1698</v>
      </c>
      <c r="E501" s="82" t="s">
        <v>1699</v>
      </c>
      <c r="F501" s="82" t="s">
        <v>1204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3"/>
        <v>1</v>
      </c>
      <c r="M501" s="26">
        <f t="shared" si="32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67">
        <f>SUMIFS([1]Up!$J:$J,[1]Up!$D:$D,D501)</f>
        <v>0</v>
      </c>
      <c r="BF501" s="82"/>
      <c r="BG501" s="82" t="str">
        <f t="shared" si="44"/>
        <v>PL10</v>
      </c>
      <c r="BH501" s="53" t="str">
        <f t="shared" si="45"/>
        <v/>
      </c>
      <c r="BI501" s="53" t="s">
        <v>148</v>
      </c>
      <c r="BJ501" s="53" t="s">
        <v>1004</v>
      </c>
      <c r="BK501" s="53" t="s">
        <v>1005</v>
      </c>
      <c r="BL501" s="53" t="s">
        <v>1063</v>
      </c>
      <c r="BM501" s="53">
        <v>1</v>
      </c>
      <c r="BN501" s="83">
        <v>46088</v>
      </c>
      <c r="BO501" s="53"/>
      <c r="BP501" s="53"/>
    </row>
    <row r="502" spans="3:69" ht="14.25" hidden="1" customHeight="1">
      <c r="C502" s="82" t="s">
        <v>11</v>
      </c>
      <c r="D502" s="82" t="s">
        <v>1700</v>
      </c>
      <c r="E502" s="82" t="s">
        <v>1075</v>
      </c>
      <c r="F502" s="82" t="s">
        <v>1076</v>
      </c>
      <c r="G502" s="82">
        <v>812</v>
      </c>
      <c r="H502" s="82" t="s">
        <v>1077</v>
      </c>
      <c r="I502" s="82">
        <v>10</v>
      </c>
      <c r="J502" s="82">
        <v>13.05696</v>
      </c>
      <c r="K502" s="82">
        <v>130.56960000000001</v>
      </c>
      <c r="L502" s="26">
        <f t="shared" si="43"/>
        <v>5</v>
      </c>
      <c r="M502" s="26">
        <f t="shared" si="32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26"/>
      <c r="AZ502" s="26"/>
      <c r="BA502" s="26"/>
      <c r="BB502" s="26"/>
      <c r="BC502" s="26"/>
      <c r="BD502" s="26"/>
      <c r="BE502" s="67">
        <f>SUMIFS([1]Up!$J:$J,[1]Up!$D:$D,D502)</f>
        <v>0</v>
      </c>
      <c r="BF502" s="82"/>
      <c r="BG502" s="82" t="str">
        <f t="shared" si="44"/>
        <v/>
      </c>
      <c r="BH502" s="53" t="str">
        <f t="shared" si="45"/>
        <v/>
      </c>
      <c r="BI502" s="53" t="s">
        <v>148</v>
      </c>
      <c r="BJ502" s="53" t="s">
        <v>1078</v>
      </c>
      <c r="BK502" s="53" t="s">
        <v>1075</v>
      </c>
      <c r="BL502" s="84" t="s">
        <v>2161</v>
      </c>
      <c r="BM502" s="53">
        <v>20</v>
      </c>
      <c r="BN502" s="83" t="s">
        <v>2224</v>
      </c>
      <c r="BO502" s="53"/>
      <c r="BP502" s="53"/>
      <c r="BQ502" s="238"/>
    </row>
    <row r="503" spans="3:69" ht="14.25" hidden="1" customHeight="1">
      <c r="C503" s="82" t="s">
        <v>13</v>
      </c>
      <c r="D503" s="82" t="s">
        <v>1701</v>
      </c>
      <c r="E503" s="82" t="s">
        <v>1676</v>
      </c>
      <c r="F503" s="82" t="s">
        <v>1084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3"/>
        <v>0</v>
      </c>
      <c r="M503" s="26">
        <f t="shared" si="32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67">
        <f>SUMIFS([1]Up!$J:$J,[1]Up!$D:$D,D503)</f>
        <v>0</v>
      </c>
      <c r="BF503" s="82"/>
      <c r="BG503" s="82" t="str">
        <f t="shared" si="44"/>
        <v>PL8</v>
      </c>
      <c r="BH503" s="53" t="str">
        <f t="shared" si="45"/>
        <v/>
      </c>
      <c r="BI503" s="53" t="s">
        <v>154</v>
      </c>
      <c r="BJ503" s="53" t="s">
        <v>1011</v>
      </c>
      <c r="BK503" s="53" t="s">
        <v>1012</v>
      </c>
      <c r="BL503" s="53" t="s">
        <v>57</v>
      </c>
      <c r="BM503" s="53">
        <v>4</v>
      </c>
      <c r="BN503" s="83"/>
      <c r="BO503" s="53"/>
      <c r="BP503" s="53"/>
    </row>
    <row r="504" spans="3:69" ht="14.25" hidden="1" customHeight="1">
      <c r="C504" s="82" t="s">
        <v>13</v>
      </c>
      <c r="D504" s="82" t="s">
        <v>1702</v>
      </c>
      <c r="E504" s="82" t="s">
        <v>1703</v>
      </c>
      <c r="F504" s="82" t="s">
        <v>1296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3"/>
        <v>6</v>
      </c>
      <c r="M504" s="26">
        <f t="shared" si="32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26"/>
      <c r="AZ504" s="26"/>
      <c r="BA504" s="26"/>
      <c r="BB504" s="26"/>
      <c r="BC504" s="26"/>
      <c r="BD504" s="26"/>
      <c r="BE504" s="67">
        <f>SUMIFS([1]Up!$J:$J,[1]Up!$D:$D,D504)</f>
        <v>0</v>
      </c>
      <c r="BF504" s="82"/>
      <c r="BG504" s="82" t="str">
        <f t="shared" si="44"/>
        <v>PL16</v>
      </c>
      <c r="BH504" s="53" t="str">
        <f t="shared" si="45"/>
        <v/>
      </c>
      <c r="BI504" s="53" t="s">
        <v>148</v>
      </c>
      <c r="BJ504" s="53" t="s">
        <v>987</v>
      </c>
      <c r="BK504" s="53" t="s">
        <v>988</v>
      </c>
      <c r="BL504" s="84" t="s">
        <v>2160</v>
      </c>
      <c r="BM504" s="53">
        <v>24</v>
      </c>
      <c r="BN504" s="83" t="s">
        <v>2225</v>
      </c>
      <c r="BO504" s="53"/>
      <c r="BP504" s="53"/>
      <c r="BQ504" s="238"/>
    </row>
    <row r="505" spans="3:69" ht="14.25" hidden="1" customHeight="1">
      <c r="C505" s="82" t="s">
        <v>13</v>
      </c>
      <c r="D505" s="82" t="s">
        <v>1704</v>
      </c>
      <c r="E505" s="82" t="s">
        <v>1125</v>
      </c>
      <c r="F505" s="82" t="s">
        <v>1296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3"/>
        <v>2</v>
      </c>
      <c r="M505" s="26">
        <f t="shared" si="32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26"/>
      <c r="AZ505" s="26"/>
      <c r="BA505" s="26"/>
      <c r="BB505" s="26"/>
      <c r="BC505" s="26"/>
      <c r="BD505" s="26"/>
      <c r="BE505" s="67">
        <f>SUMIFS([1]Up!$J:$J,[1]Up!$D:$D,D505)</f>
        <v>0</v>
      </c>
      <c r="BF505" s="82"/>
      <c r="BG505" s="82" t="str">
        <f t="shared" si="44"/>
        <v>PL15</v>
      </c>
      <c r="BH505" s="53" t="str">
        <f t="shared" si="45"/>
        <v/>
      </c>
      <c r="BI505" s="53" t="s">
        <v>148</v>
      </c>
      <c r="BJ505" s="53" t="s">
        <v>1093</v>
      </c>
      <c r="BK505" s="53" t="s">
        <v>1094</v>
      </c>
      <c r="BL505" s="84" t="s">
        <v>2155</v>
      </c>
      <c r="BM505" s="53">
        <v>8</v>
      </c>
      <c r="BN505" s="83" t="s">
        <v>2224</v>
      </c>
      <c r="BO505" s="53"/>
      <c r="BP505" s="53"/>
      <c r="BQ505" s="238"/>
    </row>
    <row r="506" spans="3:69" ht="14.25" hidden="1" customHeight="1">
      <c r="C506" s="82" t="s">
        <v>13</v>
      </c>
      <c r="D506" s="82" t="s">
        <v>1705</v>
      </c>
      <c r="E506" s="82" t="s">
        <v>1123</v>
      </c>
      <c r="F506" s="82" t="s">
        <v>1296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3"/>
        <v>2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67">
        <f>SUMIFS([1]Up!$J:$J,[1]Up!$D:$D,D506)</f>
        <v>0</v>
      </c>
      <c r="BF506" s="82"/>
      <c r="BG506" s="82" t="str">
        <f t="shared" si="44"/>
        <v>PL20</v>
      </c>
      <c r="BH506" s="53" t="str">
        <f t="shared" si="45"/>
        <v/>
      </c>
      <c r="BI506" s="53" t="s">
        <v>148</v>
      </c>
      <c r="BJ506" s="53" t="s">
        <v>1099</v>
      </c>
      <c r="BK506" s="53" t="s">
        <v>1100</v>
      </c>
      <c r="BL506" s="84" t="s">
        <v>2157</v>
      </c>
      <c r="BM506" s="53">
        <v>8</v>
      </c>
      <c r="BN506" s="83">
        <v>46242</v>
      </c>
      <c r="BO506" s="53"/>
      <c r="BP506" s="53"/>
      <c r="BQ506" s="238"/>
    </row>
    <row r="507" spans="3:69" ht="14.25" hidden="1" customHeight="1">
      <c r="C507" s="82" t="s">
        <v>13</v>
      </c>
      <c r="D507" s="82" t="s">
        <v>1706</v>
      </c>
      <c r="E507" s="82" t="s">
        <v>1703</v>
      </c>
      <c r="F507" s="82" t="s">
        <v>1296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3"/>
        <v>5</v>
      </c>
      <c r="M507" s="26">
        <f t="shared" si="32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26"/>
      <c r="AZ507" s="26"/>
      <c r="BA507" s="26"/>
      <c r="BB507" s="26"/>
      <c r="BC507" s="26"/>
      <c r="BD507" s="26"/>
      <c r="BE507" s="67">
        <f>SUMIFS([1]Up!$J:$J,[1]Up!$D:$D,D507)</f>
        <v>0</v>
      </c>
      <c r="BF507" s="82"/>
      <c r="BG507" s="82" t="str">
        <f t="shared" si="44"/>
        <v>PL16</v>
      </c>
      <c r="BH507" s="53" t="str">
        <f t="shared" si="45"/>
        <v/>
      </c>
      <c r="BI507" s="53" t="s">
        <v>148</v>
      </c>
      <c r="BJ507" s="53" t="s">
        <v>987</v>
      </c>
      <c r="BK507" s="53" t="s">
        <v>988</v>
      </c>
      <c r="BL507" s="84" t="s">
        <v>2160</v>
      </c>
      <c r="BM507" s="53">
        <v>20</v>
      </c>
      <c r="BN507" s="83" t="s">
        <v>2225</v>
      </c>
      <c r="BO507" s="53"/>
      <c r="BP507" s="53"/>
      <c r="BQ507" s="238"/>
    </row>
    <row r="508" spans="3:69" ht="14.25" hidden="1" customHeight="1">
      <c r="C508" s="82" t="s">
        <v>13</v>
      </c>
      <c r="D508" s="82" t="s">
        <v>1707</v>
      </c>
      <c r="E508" s="82" t="s">
        <v>1708</v>
      </c>
      <c r="F508" s="82" t="s">
        <v>1084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3"/>
        <v>1</v>
      </c>
      <c r="M508" s="26">
        <f t="shared" si="32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67">
        <f>SUMIFS([1]Up!$J:$J,[1]Up!$D:$D,D508)</f>
        <v>0</v>
      </c>
      <c r="BF508" s="82" t="s">
        <v>2250</v>
      </c>
      <c r="BG508" s="82" t="str">
        <f t="shared" si="44"/>
        <v>PL10</v>
      </c>
      <c r="BH508" s="53" t="str">
        <f t="shared" si="45"/>
        <v/>
      </c>
      <c r="BI508" s="53" t="s">
        <v>154</v>
      </c>
      <c r="BJ508" s="53" t="s">
        <v>1004</v>
      </c>
      <c r="BK508" s="53" t="s">
        <v>1005</v>
      </c>
      <c r="BL508" s="53" t="s">
        <v>57</v>
      </c>
      <c r="BM508" s="53">
        <v>4</v>
      </c>
      <c r="BN508" s="83"/>
      <c r="BO508" s="53"/>
      <c r="BP508" s="53"/>
    </row>
    <row r="509" spans="3:69" ht="14.25" hidden="1" customHeight="1">
      <c r="C509" s="82" t="s">
        <v>13</v>
      </c>
      <c r="D509" s="82" t="s">
        <v>1709</v>
      </c>
      <c r="E509" s="82" t="s">
        <v>1690</v>
      </c>
      <c r="F509" s="82" t="s">
        <v>1084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3"/>
        <v>2</v>
      </c>
      <c r="M509" s="26">
        <f t="shared" si="32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67">
        <f>SUMIFS([1]Up!$J:$J,[1]Up!$D:$D,D509)</f>
        <v>0</v>
      </c>
      <c r="BF509" s="82" t="s">
        <v>2071</v>
      </c>
      <c r="BG509" s="82" t="str">
        <f t="shared" si="44"/>
        <v>PL10</v>
      </c>
      <c r="BH509" s="53" t="str">
        <f t="shared" si="45"/>
        <v>Thừa 1</v>
      </c>
      <c r="BI509" s="53" t="s">
        <v>154</v>
      </c>
      <c r="BJ509" s="53" t="s">
        <v>1004</v>
      </c>
      <c r="BK509" s="53" t="s">
        <v>1005</v>
      </c>
      <c r="BL509" s="53" t="s">
        <v>57</v>
      </c>
      <c r="BM509" s="53">
        <v>4</v>
      </c>
      <c r="BN509" s="83"/>
      <c r="BO509" s="53"/>
      <c r="BP509" s="53"/>
    </row>
    <row r="510" spans="3:69" ht="14.25" hidden="1" customHeight="1">
      <c r="C510" s="82" t="s">
        <v>13</v>
      </c>
      <c r="D510" s="82" t="s">
        <v>1710</v>
      </c>
      <c r="E510" s="82" t="s">
        <v>1157</v>
      </c>
      <c r="F510" s="82" t="s">
        <v>1296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3"/>
        <v>2</v>
      </c>
      <c r="M510" s="26">
        <f t="shared" si="32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67">
        <f>SUMIFS([1]Up!$J:$J,[1]Up!$D:$D,D510)</f>
        <v>0</v>
      </c>
      <c r="BF510" s="82"/>
      <c r="BG510" s="82" t="str">
        <f t="shared" si="44"/>
        <v>PL15</v>
      </c>
      <c r="BH510" s="53" t="str">
        <f t="shared" si="45"/>
        <v/>
      </c>
      <c r="BI510" s="53" t="s">
        <v>148</v>
      </c>
      <c r="BJ510" s="53" t="s">
        <v>1093</v>
      </c>
      <c r="BK510" s="53" t="s">
        <v>1094</v>
      </c>
      <c r="BL510" s="84" t="s">
        <v>2155</v>
      </c>
      <c r="BM510" s="53">
        <v>8</v>
      </c>
      <c r="BN510" s="83" t="s">
        <v>2224</v>
      </c>
      <c r="BO510" s="53"/>
      <c r="BP510" s="53"/>
      <c r="BQ510" s="238"/>
    </row>
    <row r="511" spans="3:69" ht="14.25" hidden="1" customHeight="1">
      <c r="C511" s="82" t="s">
        <v>13</v>
      </c>
      <c r="D511" s="82" t="s">
        <v>1711</v>
      </c>
      <c r="E511" s="82" t="s">
        <v>1712</v>
      </c>
      <c r="F511" s="82" t="s">
        <v>1296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3"/>
        <v>0</v>
      </c>
      <c r="M511" s="26">
        <f t="shared" si="32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67">
        <f>SUMIFS([1]Up!$J:$J,[1]Up!$D:$D,D511)</f>
        <v>0</v>
      </c>
      <c r="BF511" s="82"/>
      <c r="BG511" s="82" t="str">
        <f t="shared" si="44"/>
        <v>PL8</v>
      </c>
      <c r="BH511" s="53" t="str">
        <f t="shared" si="45"/>
        <v/>
      </c>
      <c r="BI511" s="53" t="s">
        <v>148</v>
      </c>
      <c r="BJ511" s="53" t="s">
        <v>1011</v>
      </c>
      <c r="BK511" s="53" t="s">
        <v>1012</v>
      </c>
      <c r="BL511" s="53" t="s">
        <v>57</v>
      </c>
      <c r="BM511" s="53">
        <v>8</v>
      </c>
      <c r="BN511" s="83"/>
      <c r="BO511" s="53"/>
      <c r="BP511" s="53"/>
    </row>
    <row r="512" spans="3:69" ht="14.25" hidden="1" customHeight="1">
      <c r="C512" s="82" t="s">
        <v>13</v>
      </c>
      <c r="D512" s="82" t="s">
        <v>1713</v>
      </c>
      <c r="E512" s="82" t="s">
        <v>1712</v>
      </c>
      <c r="F512" s="82" t="s">
        <v>1296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3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67">
        <f>SUMIFS([1]Up!$J:$J,[1]Up!$D:$D,D512)</f>
        <v>0</v>
      </c>
      <c r="BF512" s="82"/>
      <c r="BG512" s="82" t="str">
        <f t="shared" si="44"/>
        <v>PL8</v>
      </c>
      <c r="BH512" s="53" t="str">
        <f t="shared" si="45"/>
        <v/>
      </c>
      <c r="BI512" s="53" t="s">
        <v>148</v>
      </c>
      <c r="BJ512" s="53" t="s">
        <v>1011</v>
      </c>
      <c r="BK512" s="53" t="s">
        <v>1012</v>
      </c>
      <c r="BL512" s="53" t="s">
        <v>57</v>
      </c>
      <c r="BM512" s="53">
        <v>4</v>
      </c>
      <c r="BN512" s="83"/>
      <c r="BO512" s="53"/>
      <c r="BP512" s="53"/>
    </row>
    <row r="513" spans="3:69" ht="14.25" hidden="1" customHeight="1">
      <c r="C513" s="82" t="s">
        <v>13</v>
      </c>
      <c r="D513" s="82" t="s">
        <v>1714</v>
      </c>
      <c r="E513" s="82" t="s">
        <v>1649</v>
      </c>
      <c r="F513" s="82" t="s">
        <v>1296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3"/>
        <v>2</v>
      </c>
      <c r="M513" s="26">
        <f t="shared" si="32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26"/>
      <c r="AZ513" s="26"/>
      <c r="BA513" s="26">
        <v>2</v>
      </c>
      <c r="BB513" s="26"/>
      <c r="BC513" s="26"/>
      <c r="BD513" s="26"/>
      <c r="BE513" s="67">
        <f>SUMIFS([1]Up!$J:$J,[1]Up!$D:$D,D513)</f>
        <v>0</v>
      </c>
      <c r="BF513" s="82" t="s">
        <v>2244</v>
      </c>
      <c r="BG513" s="82" t="str">
        <f t="shared" si="44"/>
        <v>PL10</v>
      </c>
      <c r="BH513" s="53" t="str">
        <f t="shared" si="45"/>
        <v>Thừa 1</v>
      </c>
      <c r="BI513" s="53" t="s">
        <v>148</v>
      </c>
      <c r="BJ513" s="53" t="s">
        <v>1004</v>
      </c>
      <c r="BK513" s="53" t="s">
        <v>1005</v>
      </c>
      <c r="BL513" s="53" t="s">
        <v>57</v>
      </c>
      <c r="BM513" s="53">
        <v>4</v>
      </c>
      <c r="BN513" s="83"/>
      <c r="BO513" s="53"/>
      <c r="BP513" s="53"/>
    </row>
    <row r="514" spans="3:69" ht="14.25" hidden="1" customHeight="1">
      <c r="C514" s="82" t="s">
        <v>13</v>
      </c>
      <c r="D514" s="82" t="s">
        <v>1715</v>
      </c>
      <c r="E514" s="82" t="s">
        <v>1649</v>
      </c>
      <c r="F514" s="82" t="s">
        <v>1296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3"/>
        <v>4</v>
      </c>
      <c r="M514" s="26">
        <f t="shared" si="32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26"/>
      <c r="AZ514" s="26"/>
      <c r="BA514" s="26">
        <v>3</v>
      </c>
      <c r="BB514" s="26">
        <v>2</v>
      </c>
      <c r="BC514" s="26"/>
      <c r="BD514" s="26"/>
      <c r="BE514" s="67">
        <f>SUMIFS([1]Up!$J:$J,[1]Up!$D:$D,D514)</f>
        <v>0</v>
      </c>
      <c r="BF514" s="82" t="s">
        <v>2392</v>
      </c>
      <c r="BG514" s="82" t="str">
        <f t="shared" si="44"/>
        <v>PL10</v>
      </c>
      <c r="BH514" s="53" t="str">
        <f t="shared" si="45"/>
        <v>Thừa 4</v>
      </c>
      <c r="BI514" s="53" t="s">
        <v>148</v>
      </c>
      <c r="BJ514" s="53" t="s">
        <v>1004</v>
      </c>
      <c r="BK514" s="53" t="s">
        <v>1005</v>
      </c>
      <c r="BL514" s="53" t="s">
        <v>57</v>
      </c>
      <c r="BM514" s="53">
        <v>8</v>
      </c>
      <c r="BN514" s="83"/>
      <c r="BO514" s="53"/>
      <c r="BP514" s="53"/>
    </row>
    <row r="515" spans="3:69" ht="14.25" hidden="1" customHeight="1">
      <c r="C515" s="82" t="s">
        <v>13</v>
      </c>
      <c r="D515" s="82" t="s">
        <v>1716</v>
      </c>
      <c r="E515" s="82" t="s">
        <v>1641</v>
      </c>
      <c r="F515" s="82" t="s">
        <v>1296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3"/>
        <v>4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26"/>
      <c r="AZ515" s="26"/>
      <c r="BA515" s="26"/>
      <c r="BB515" s="26"/>
      <c r="BC515" s="26"/>
      <c r="BD515" s="26"/>
      <c r="BE515" s="67">
        <f>SUMIFS([1]Up!$J:$J,[1]Up!$D:$D,D515)</f>
        <v>0</v>
      </c>
      <c r="BF515" s="82"/>
      <c r="BG515" s="82" t="str">
        <f t="shared" si="44"/>
        <v>PL16</v>
      </c>
      <c r="BH515" s="53" t="str">
        <f t="shared" si="45"/>
        <v/>
      </c>
      <c r="BI515" s="53" t="s">
        <v>148</v>
      </c>
      <c r="BJ515" s="53" t="s">
        <v>987</v>
      </c>
      <c r="BK515" s="53" t="s">
        <v>988</v>
      </c>
      <c r="BL515" s="84" t="s">
        <v>2160</v>
      </c>
      <c r="BM515" s="53">
        <v>16</v>
      </c>
      <c r="BN515" s="83" t="s">
        <v>2225</v>
      </c>
      <c r="BO515" s="53"/>
      <c r="BP515" s="53"/>
      <c r="BQ515" s="238"/>
    </row>
    <row r="516" spans="3:69" ht="14.25" hidden="1" customHeight="1">
      <c r="C516" s="82" t="s">
        <v>11</v>
      </c>
      <c r="D516" s="82" t="s">
        <v>1717</v>
      </c>
      <c r="E516" s="82" t="s">
        <v>1075</v>
      </c>
      <c r="F516" s="82" t="s">
        <v>1076</v>
      </c>
      <c r="G516" s="82">
        <v>812</v>
      </c>
      <c r="H516" s="82" t="s">
        <v>1077</v>
      </c>
      <c r="I516" s="82">
        <v>5</v>
      </c>
      <c r="J516" s="82">
        <v>13.05696</v>
      </c>
      <c r="K516" s="82">
        <v>65.284800000000004</v>
      </c>
      <c r="L516" s="26">
        <f t="shared" si="43"/>
        <v>5</v>
      </c>
      <c r="M516" s="26">
        <f t="shared" si="32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67">
        <f>SUMIFS([1]Up!$J:$J,[1]Up!$D:$D,D516)</f>
        <v>0</v>
      </c>
      <c r="BF516" s="82"/>
      <c r="BG516" s="82" t="str">
        <f t="shared" si="44"/>
        <v/>
      </c>
      <c r="BH516" s="53" t="str">
        <f t="shared" si="45"/>
        <v/>
      </c>
      <c r="BI516" s="53" t="s">
        <v>148</v>
      </c>
      <c r="BJ516" s="53" t="s">
        <v>1078</v>
      </c>
      <c r="BK516" s="53" t="s">
        <v>1075</v>
      </c>
      <c r="BL516" s="53" t="s">
        <v>1289</v>
      </c>
      <c r="BM516" s="53">
        <v>5</v>
      </c>
      <c r="BN516" s="83">
        <v>46362</v>
      </c>
      <c r="BO516" s="53"/>
      <c r="BP516" s="53"/>
    </row>
    <row r="517" spans="3:69" ht="14.25" hidden="1" customHeight="1">
      <c r="C517" s="82" t="s">
        <v>13</v>
      </c>
      <c r="D517" s="82" t="s">
        <v>1718</v>
      </c>
      <c r="E517" s="82" t="s">
        <v>1676</v>
      </c>
      <c r="F517" s="82" t="s">
        <v>1084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3"/>
        <v>1</v>
      </c>
      <c r="M517" s="26">
        <f t="shared" si="32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67">
        <f>SUMIFS([1]Up!$J:$J,[1]Up!$D:$D,D517)</f>
        <v>0</v>
      </c>
      <c r="BF517" s="82" t="s">
        <v>2074</v>
      </c>
      <c r="BG517" s="82" t="str">
        <f t="shared" si="44"/>
        <v>PL8</v>
      </c>
      <c r="BH517" s="53" t="str">
        <f t="shared" si="45"/>
        <v>Thừa 6</v>
      </c>
      <c r="BI517" s="53" t="s">
        <v>154</v>
      </c>
      <c r="BJ517" s="53" t="s">
        <v>1011</v>
      </c>
      <c r="BK517" s="53" t="s">
        <v>1012</v>
      </c>
      <c r="BL517" s="53" t="s">
        <v>57</v>
      </c>
      <c r="BM517" s="53">
        <v>1</v>
      </c>
      <c r="BN517" s="83"/>
      <c r="BO517" s="53"/>
      <c r="BP517" s="53"/>
    </row>
    <row r="518" spans="3:69" ht="14.25" hidden="1" customHeight="1">
      <c r="C518" s="82" t="s">
        <v>13</v>
      </c>
      <c r="D518" s="82" t="s">
        <v>1719</v>
      </c>
      <c r="E518" s="82" t="s">
        <v>1720</v>
      </c>
      <c r="F518" s="82" t="s">
        <v>1296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3"/>
        <v>2</v>
      </c>
      <c r="M518" s="26">
        <f t="shared" si="32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67">
        <f>SUMIFS([1]Up!$J:$J,[1]Up!$D:$D,D518)</f>
        <v>0</v>
      </c>
      <c r="BF518" s="82"/>
      <c r="BG518" s="82" t="str">
        <f t="shared" si="44"/>
        <v>PL15</v>
      </c>
      <c r="BH518" s="53" t="str">
        <f t="shared" si="45"/>
        <v/>
      </c>
      <c r="BI518" s="53" t="s">
        <v>148</v>
      </c>
      <c r="BJ518" s="53" t="s">
        <v>1093</v>
      </c>
      <c r="BK518" s="53" t="s">
        <v>1094</v>
      </c>
      <c r="BL518" s="53" t="s">
        <v>1303</v>
      </c>
      <c r="BM518" s="53">
        <v>2</v>
      </c>
      <c r="BN518" s="83">
        <v>46088</v>
      </c>
      <c r="BO518" s="53"/>
      <c r="BP518" s="53"/>
    </row>
    <row r="519" spans="3:69" ht="14.25" hidden="1" customHeight="1">
      <c r="C519" s="82" t="s">
        <v>13</v>
      </c>
      <c r="D519" s="82" t="s">
        <v>1721</v>
      </c>
      <c r="E519" s="82" t="s">
        <v>1703</v>
      </c>
      <c r="F519" s="82" t="s">
        <v>1296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3"/>
        <v>10</v>
      </c>
      <c r="M519" s="26">
        <f t="shared" si="3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67">
        <f>SUMIFS([1]Up!$J:$J,[1]Up!$D:$D,D519)</f>
        <v>0</v>
      </c>
      <c r="BF519" s="82"/>
      <c r="BG519" s="82" t="str">
        <f t="shared" si="44"/>
        <v>PL16</v>
      </c>
      <c r="BH519" s="53" t="str">
        <f t="shared" si="45"/>
        <v/>
      </c>
      <c r="BI519" s="53" t="s">
        <v>148</v>
      </c>
      <c r="BJ519" s="53" t="s">
        <v>987</v>
      </c>
      <c r="BK519" s="53" t="s">
        <v>988</v>
      </c>
      <c r="BL519" s="53" t="s">
        <v>989</v>
      </c>
      <c r="BM519" s="53">
        <v>10</v>
      </c>
      <c r="BN519" s="83" t="s">
        <v>2222</v>
      </c>
      <c r="BO519" s="53"/>
      <c r="BP519" s="53"/>
    </row>
    <row r="520" spans="3:69" ht="14.25" hidden="1" customHeight="1">
      <c r="C520" s="82" t="s">
        <v>13</v>
      </c>
      <c r="D520" s="82" t="s">
        <v>1722</v>
      </c>
      <c r="E520" s="82" t="s">
        <v>1267</v>
      </c>
      <c r="F520" s="82" t="s">
        <v>1296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3"/>
        <v>1</v>
      </c>
      <c r="M520" s="26">
        <f t="shared" si="32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67">
        <f>SUMIFS([1]Up!$J:$J,[1]Up!$D:$D,D520)</f>
        <v>0</v>
      </c>
      <c r="BF520" s="82"/>
      <c r="BG520" s="82" t="str">
        <f t="shared" si="44"/>
        <v>PL15</v>
      </c>
      <c r="BH520" s="53" t="str">
        <f t="shared" si="45"/>
        <v/>
      </c>
      <c r="BI520" s="53" t="s">
        <v>148</v>
      </c>
      <c r="BJ520" s="53" t="s">
        <v>1093</v>
      </c>
      <c r="BK520" s="53" t="s">
        <v>1094</v>
      </c>
      <c r="BL520" s="53" t="s">
        <v>1303</v>
      </c>
      <c r="BM520" s="53">
        <v>1</v>
      </c>
      <c r="BN520" s="83">
        <v>46088</v>
      </c>
      <c r="BO520" s="53"/>
      <c r="BP520" s="53"/>
    </row>
    <row r="521" spans="3:69" ht="14.25" hidden="1" customHeight="1">
      <c r="C521" s="82" t="s">
        <v>13</v>
      </c>
      <c r="D521" s="82" t="s">
        <v>1723</v>
      </c>
      <c r="E521" s="82" t="s">
        <v>1354</v>
      </c>
      <c r="F521" s="82" t="s">
        <v>1296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3"/>
        <v>1</v>
      </c>
      <c r="M521" s="26">
        <f t="shared" si="32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67">
        <f>SUMIFS([1]Up!$J:$J,[1]Up!$D:$D,D521)</f>
        <v>0</v>
      </c>
      <c r="BF521" s="82"/>
      <c r="BG521" s="82" t="str">
        <f t="shared" si="44"/>
        <v>PL15</v>
      </c>
      <c r="BH521" s="53" t="str">
        <f t="shared" si="45"/>
        <v/>
      </c>
      <c r="BI521" s="53" t="s">
        <v>148</v>
      </c>
      <c r="BJ521" s="53" t="s">
        <v>1093</v>
      </c>
      <c r="BK521" s="53" t="s">
        <v>1094</v>
      </c>
      <c r="BL521" s="53" t="s">
        <v>1303</v>
      </c>
      <c r="BM521" s="53">
        <v>1</v>
      </c>
      <c r="BN521" s="83">
        <v>46088</v>
      </c>
      <c r="BO521" s="53"/>
      <c r="BP521" s="53"/>
    </row>
    <row r="522" spans="3:69" ht="14.25" hidden="1" customHeight="1">
      <c r="C522" s="82" t="s">
        <v>13</v>
      </c>
      <c r="D522" s="82" t="s">
        <v>1724</v>
      </c>
      <c r="E522" s="82" t="s">
        <v>1725</v>
      </c>
      <c r="F522" s="82" t="s">
        <v>1296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3"/>
        <v>2</v>
      </c>
      <c r="M522" s="26">
        <f t="shared" si="32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67">
        <f>SUMIFS([1]Up!$J:$J,[1]Up!$D:$D,D522)</f>
        <v>0</v>
      </c>
      <c r="BF522" s="82" t="s">
        <v>2081</v>
      </c>
      <c r="BG522" s="82" t="str">
        <f t="shared" si="44"/>
        <v>PL8</v>
      </c>
      <c r="BH522" s="53" t="str">
        <f t="shared" si="45"/>
        <v>Thừa 2</v>
      </c>
      <c r="BI522" s="53" t="s">
        <v>148</v>
      </c>
      <c r="BJ522" s="53" t="s">
        <v>1011</v>
      </c>
      <c r="BK522" s="53" t="s">
        <v>1012</v>
      </c>
      <c r="BL522" s="53" t="s">
        <v>57</v>
      </c>
      <c r="BM522" s="53">
        <v>2</v>
      </c>
      <c r="BN522" s="83"/>
      <c r="BO522" s="53"/>
      <c r="BP522" s="53"/>
    </row>
    <row r="523" spans="3:69" ht="14.25" hidden="1" customHeight="1">
      <c r="C523" s="82" t="s">
        <v>13</v>
      </c>
      <c r="D523" s="82" t="s">
        <v>1726</v>
      </c>
      <c r="E523" s="82" t="s">
        <v>1727</v>
      </c>
      <c r="F523" s="82" t="s">
        <v>1296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3"/>
        <v>2</v>
      </c>
      <c r="M523" s="26">
        <f t="shared" si="32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67">
        <f>SUMIFS([1]Up!$J:$J,[1]Up!$D:$D,D523)</f>
        <v>0</v>
      </c>
      <c r="BF523" s="82"/>
      <c r="BG523" s="82" t="str">
        <f t="shared" si="44"/>
        <v>PL8</v>
      </c>
      <c r="BH523" s="53" t="str">
        <f t="shared" si="45"/>
        <v/>
      </c>
      <c r="BI523" s="53" t="s">
        <v>148</v>
      </c>
      <c r="BJ523" s="53" t="s">
        <v>1011</v>
      </c>
      <c r="BK523" s="53" t="s">
        <v>1012</v>
      </c>
      <c r="BL523" s="53" t="s">
        <v>1013</v>
      </c>
      <c r="BM523" s="53">
        <v>2</v>
      </c>
      <c r="BN523" s="83">
        <v>46088</v>
      </c>
      <c r="BO523" s="53"/>
      <c r="BP523" s="53"/>
    </row>
    <row r="524" spans="3:69" ht="14.25" hidden="1" customHeight="1">
      <c r="C524" s="82" t="s">
        <v>13</v>
      </c>
      <c r="D524" s="82" t="s">
        <v>1728</v>
      </c>
      <c r="E524" s="82" t="s">
        <v>1123</v>
      </c>
      <c r="F524" s="82" t="s">
        <v>1296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3"/>
        <v>2</v>
      </c>
      <c r="M524" s="26">
        <f t="shared" si="32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67">
        <f>SUMIFS([1]Up!$J:$J,[1]Up!$D:$D,D524)</f>
        <v>0</v>
      </c>
      <c r="BF524" s="82"/>
      <c r="BG524" s="82" t="str">
        <f t="shared" si="44"/>
        <v>PL20</v>
      </c>
      <c r="BH524" s="53" t="str">
        <f t="shared" si="45"/>
        <v/>
      </c>
      <c r="BI524" s="53" t="s">
        <v>148</v>
      </c>
      <c r="BJ524" s="53" t="s">
        <v>1099</v>
      </c>
      <c r="BK524" s="53" t="s">
        <v>1100</v>
      </c>
      <c r="BL524" s="53" t="s">
        <v>1307</v>
      </c>
      <c r="BM524" s="53">
        <v>2</v>
      </c>
      <c r="BN524" s="83">
        <v>46242</v>
      </c>
      <c r="BO524" s="53"/>
      <c r="BP524" s="53"/>
    </row>
    <row r="525" spans="3:69" ht="14.25" hidden="1" customHeight="1">
      <c r="C525" s="82" t="s">
        <v>13</v>
      </c>
      <c r="D525" s="82" t="s">
        <v>1729</v>
      </c>
      <c r="E525" s="82" t="s">
        <v>1125</v>
      </c>
      <c r="F525" s="82" t="s">
        <v>1296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3"/>
        <v>2</v>
      </c>
      <c r="M525" s="26">
        <f t="shared" si="32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67">
        <f>SUMIFS([1]Up!$J:$J,[1]Up!$D:$D,D525)</f>
        <v>0</v>
      </c>
      <c r="BF525" s="82"/>
      <c r="BG525" s="82" t="str">
        <f t="shared" si="44"/>
        <v>PL15</v>
      </c>
      <c r="BH525" s="53" t="str">
        <f t="shared" si="45"/>
        <v/>
      </c>
      <c r="BI525" s="53" t="s">
        <v>148</v>
      </c>
      <c r="BJ525" s="53" t="s">
        <v>1093</v>
      </c>
      <c r="BK525" s="53" t="s">
        <v>1094</v>
      </c>
      <c r="BL525" s="53" t="s">
        <v>1303</v>
      </c>
      <c r="BM525" s="53">
        <v>2</v>
      </c>
      <c r="BN525" s="83">
        <v>46088</v>
      </c>
      <c r="BO525" s="53"/>
      <c r="BP525" s="53"/>
    </row>
    <row r="526" spans="3:69" ht="14.25" hidden="1" customHeight="1">
      <c r="C526" s="82" t="s">
        <v>13</v>
      </c>
      <c r="D526" s="82" t="s">
        <v>1730</v>
      </c>
      <c r="E526" s="82" t="s">
        <v>1157</v>
      </c>
      <c r="F526" s="82" t="s">
        <v>1296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3"/>
        <v>2</v>
      </c>
      <c r="M526" s="26">
        <f t="shared" si="32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67">
        <f>SUMIFS([1]Up!$J:$J,[1]Up!$D:$D,D526)</f>
        <v>0</v>
      </c>
      <c r="BF526" s="82"/>
      <c r="BG526" s="82" t="str">
        <f t="shared" si="44"/>
        <v>PL15</v>
      </c>
      <c r="BH526" s="53" t="str">
        <f t="shared" si="45"/>
        <v/>
      </c>
      <c r="BI526" s="53" t="s">
        <v>148</v>
      </c>
      <c r="BJ526" s="53" t="s">
        <v>1093</v>
      </c>
      <c r="BK526" s="53" t="s">
        <v>1094</v>
      </c>
      <c r="BL526" s="53" t="s">
        <v>1303</v>
      </c>
      <c r="BM526" s="53">
        <v>2</v>
      </c>
      <c r="BN526" s="83">
        <v>46088</v>
      </c>
      <c r="BO526" s="53"/>
      <c r="BP526" s="53"/>
    </row>
    <row r="527" spans="3:69" ht="14.25" hidden="1" customHeight="1">
      <c r="C527" s="82" t="s">
        <v>13</v>
      </c>
      <c r="D527" s="82" t="s">
        <v>1731</v>
      </c>
      <c r="E527" s="82" t="s">
        <v>1277</v>
      </c>
      <c r="F527" s="82" t="s">
        <v>1296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3"/>
        <v>1</v>
      </c>
      <c r="M527" s="26">
        <f t="shared" si="32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67">
        <f>SUMIFS([1]Up!$J:$J,[1]Up!$D:$D,D527)</f>
        <v>0</v>
      </c>
      <c r="BF527" s="82"/>
      <c r="BG527" s="82" t="str">
        <f t="shared" si="44"/>
        <v>PL20</v>
      </c>
      <c r="BH527" s="53" t="str">
        <f t="shared" si="45"/>
        <v/>
      </c>
      <c r="BI527" s="53" t="s">
        <v>148</v>
      </c>
      <c r="BJ527" s="53" t="s">
        <v>1099</v>
      </c>
      <c r="BK527" s="53" t="s">
        <v>1100</v>
      </c>
      <c r="BL527" s="53" t="s">
        <v>1307</v>
      </c>
      <c r="BM527" s="53">
        <v>1</v>
      </c>
      <c r="BN527" s="83">
        <v>46242</v>
      </c>
      <c r="BO527" s="53"/>
      <c r="BP527" s="53"/>
    </row>
    <row r="528" spans="3:69" ht="14.25" hidden="1" customHeight="1">
      <c r="C528" s="82" t="s">
        <v>13</v>
      </c>
      <c r="D528" s="82" t="s">
        <v>1732</v>
      </c>
      <c r="E528" s="82" t="s">
        <v>1282</v>
      </c>
      <c r="F528" s="82" t="s">
        <v>1296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3"/>
        <v>3</v>
      </c>
      <c r="M528" s="26">
        <f t="shared" si="3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67">
        <f>SUMIFS([1]Up!$J:$J,[1]Up!$D:$D,D528)</f>
        <v>0</v>
      </c>
      <c r="BF528" s="82"/>
      <c r="BG528" s="82" t="str">
        <f t="shared" si="44"/>
        <v>PL16</v>
      </c>
      <c r="BH528" s="53" t="str">
        <f t="shared" si="45"/>
        <v/>
      </c>
      <c r="BI528" s="53" t="s">
        <v>148</v>
      </c>
      <c r="BJ528" s="53" t="s">
        <v>987</v>
      </c>
      <c r="BK528" s="53" t="s">
        <v>988</v>
      </c>
      <c r="BL528" s="53" t="s">
        <v>989</v>
      </c>
      <c r="BM528" s="53">
        <v>3</v>
      </c>
      <c r="BN528" s="83" t="s">
        <v>2222</v>
      </c>
      <c r="BO528" s="53"/>
      <c r="BP528" s="53"/>
    </row>
    <row r="529" spans="3:69" ht="14.25" hidden="1" customHeight="1">
      <c r="C529" s="82" t="s">
        <v>13</v>
      </c>
      <c r="D529" s="82" t="s">
        <v>1733</v>
      </c>
      <c r="E529" s="82" t="s">
        <v>1280</v>
      </c>
      <c r="F529" s="82" t="s">
        <v>1296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3"/>
        <v>1</v>
      </c>
      <c r="M529" s="26">
        <f t="shared" si="32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67">
        <f>SUMIFS([1]Up!$J:$J,[1]Up!$D:$D,D529)</f>
        <v>0</v>
      </c>
      <c r="BF529" s="82"/>
      <c r="BG529" s="82" t="str">
        <f t="shared" si="44"/>
        <v>PL20</v>
      </c>
      <c r="BH529" s="53" t="str">
        <f t="shared" si="45"/>
        <v/>
      </c>
      <c r="BI529" s="53" t="s">
        <v>148</v>
      </c>
      <c r="BJ529" s="53" t="s">
        <v>1099</v>
      </c>
      <c r="BK529" s="53" t="s">
        <v>1100</v>
      </c>
      <c r="BL529" s="53" t="s">
        <v>1307</v>
      </c>
      <c r="BM529" s="53">
        <v>1</v>
      </c>
      <c r="BN529" s="83">
        <v>46242</v>
      </c>
      <c r="BO529" s="53"/>
      <c r="BP529" s="53"/>
    </row>
    <row r="530" spans="3:69" ht="14.25" hidden="1" customHeight="1">
      <c r="C530" s="82" t="s">
        <v>13</v>
      </c>
      <c r="D530" s="82" t="s">
        <v>1734</v>
      </c>
      <c r="E530" s="82" t="s">
        <v>1273</v>
      </c>
      <c r="F530" s="82" t="s">
        <v>1296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3"/>
        <v>2</v>
      </c>
      <c r="M530" s="26">
        <f t="shared" si="32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67">
        <f>SUMIFS([1]Up!$J:$J,[1]Up!$D:$D,D530)</f>
        <v>0</v>
      </c>
      <c r="BF530" s="82"/>
      <c r="BG530" s="82" t="str">
        <f t="shared" si="44"/>
        <v>PL5</v>
      </c>
      <c r="BH530" s="53" t="str">
        <f t="shared" si="45"/>
        <v/>
      </c>
      <c r="BI530" s="53" t="s">
        <v>148</v>
      </c>
      <c r="BJ530" s="53" t="s">
        <v>1107</v>
      </c>
      <c r="BK530" s="53" t="s">
        <v>956</v>
      </c>
      <c r="BL530" s="53" t="s">
        <v>1312</v>
      </c>
      <c r="BM530" s="53">
        <v>2</v>
      </c>
      <c r="BN530" s="83" t="s">
        <v>2222</v>
      </c>
      <c r="BO530" s="53"/>
      <c r="BP530" s="53"/>
    </row>
    <row r="531" spans="3:69" ht="14.25" hidden="1" customHeight="1">
      <c r="C531" s="82" t="s">
        <v>13</v>
      </c>
      <c r="D531" s="82" t="s">
        <v>1735</v>
      </c>
      <c r="E531" s="82" t="s">
        <v>1284</v>
      </c>
      <c r="F531" s="82" t="s">
        <v>1296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3"/>
        <v>1</v>
      </c>
      <c r="M531" s="26">
        <f t="shared" si="32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67">
        <f>SUMIFS([1]Up!$J:$J,[1]Up!$D:$D,D531)</f>
        <v>0</v>
      </c>
      <c r="BF531" s="82"/>
      <c r="BG531" s="82" t="str">
        <f t="shared" si="44"/>
        <v>PL16</v>
      </c>
      <c r="BH531" s="53" t="str">
        <f t="shared" si="45"/>
        <v/>
      </c>
      <c r="BI531" s="53" t="s">
        <v>148</v>
      </c>
      <c r="BJ531" s="53" t="s">
        <v>987</v>
      </c>
      <c r="BK531" s="53" t="s">
        <v>988</v>
      </c>
      <c r="BL531" s="53" t="s">
        <v>989</v>
      </c>
      <c r="BM531" s="53">
        <v>1</v>
      </c>
      <c r="BN531" s="83" t="s">
        <v>2222</v>
      </c>
      <c r="BO531" s="53"/>
      <c r="BP531" s="53"/>
    </row>
    <row r="532" spans="3:69" ht="14.25" hidden="1" customHeight="1">
      <c r="C532" s="82" t="s">
        <v>13</v>
      </c>
      <c r="D532" s="82" t="s">
        <v>1736</v>
      </c>
      <c r="E532" s="82" t="s">
        <v>1284</v>
      </c>
      <c r="F532" s="82" t="s">
        <v>1296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3"/>
        <v>1</v>
      </c>
      <c r="M532" s="26">
        <f t="shared" si="3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67">
        <f>SUMIFS([1]Up!$J:$J,[1]Up!$D:$D,D532)</f>
        <v>0</v>
      </c>
      <c r="BF532" s="82"/>
      <c r="BG532" s="82" t="str">
        <f t="shared" si="44"/>
        <v>PL16</v>
      </c>
      <c r="BH532" s="53" t="str">
        <f t="shared" si="45"/>
        <v/>
      </c>
      <c r="BI532" s="53" t="s">
        <v>148</v>
      </c>
      <c r="BJ532" s="53" t="s">
        <v>987</v>
      </c>
      <c r="BK532" s="53" t="s">
        <v>988</v>
      </c>
      <c r="BL532" s="53" t="s">
        <v>989</v>
      </c>
      <c r="BM532" s="53">
        <v>1</v>
      </c>
      <c r="BN532" s="83" t="s">
        <v>2222</v>
      </c>
      <c r="BO532" s="53"/>
      <c r="BP532" s="53"/>
    </row>
    <row r="533" spans="3:69" ht="14.25" hidden="1" customHeight="1">
      <c r="C533" s="82" t="s">
        <v>13</v>
      </c>
      <c r="D533" s="82" t="s">
        <v>1737</v>
      </c>
      <c r="E533" s="82" t="s">
        <v>1284</v>
      </c>
      <c r="F533" s="82" t="s">
        <v>1296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3"/>
        <v>1</v>
      </c>
      <c r="M533" s="26">
        <f t="shared" si="32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67">
        <f>SUMIFS([1]Up!$J:$J,[1]Up!$D:$D,D533)</f>
        <v>0</v>
      </c>
      <c r="BF533" s="82"/>
      <c r="BG533" s="82" t="str">
        <f t="shared" si="44"/>
        <v>PL16</v>
      </c>
      <c r="BH533" s="53" t="str">
        <f t="shared" si="45"/>
        <v/>
      </c>
      <c r="BI533" s="53" t="s">
        <v>148</v>
      </c>
      <c r="BJ533" s="53" t="s">
        <v>987</v>
      </c>
      <c r="BK533" s="53" t="s">
        <v>988</v>
      </c>
      <c r="BL533" s="53" t="s">
        <v>989</v>
      </c>
      <c r="BM533" s="53">
        <v>1</v>
      </c>
      <c r="BN533" s="83" t="s">
        <v>2222</v>
      </c>
      <c r="BO533" s="53"/>
      <c r="BP533" s="53"/>
    </row>
    <row r="534" spans="3:69" ht="14.25" hidden="1" customHeight="1">
      <c r="C534" s="82" t="s">
        <v>13</v>
      </c>
      <c r="D534" s="82" t="s">
        <v>1738</v>
      </c>
      <c r="E534" s="82" t="s">
        <v>1739</v>
      </c>
      <c r="F534" s="82" t="s">
        <v>1296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3"/>
        <v>3</v>
      </c>
      <c r="M534" s="26">
        <f t="shared" si="3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67">
        <f>SUMIFS([1]Up!$J:$J,[1]Up!$D:$D,D534)</f>
        <v>0</v>
      </c>
      <c r="BF534" s="82" t="s">
        <v>2080</v>
      </c>
      <c r="BG534" s="82" t="str">
        <f t="shared" si="44"/>
        <v>PL8</v>
      </c>
      <c r="BH534" s="53" t="str">
        <f t="shared" si="45"/>
        <v>Thừa 3</v>
      </c>
      <c r="BI534" s="53" t="s">
        <v>148</v>
      </c>
      <c r="BJ534" s="53" t="s">
        <v>1011</v>
      </c>
      <c r="BK534" s="53" t="s">
        <v>1012</v>
      </c>
      <c r="BL534" s="53" t="s">
        <v>57</v>
      </c>
      <c r="BM534" s="53">
        <v>3</v>
      </c>
      <c r="BN534" s="83"/>
      <c r="BO534" s="53"/>
      <c r="BP534" s="53"/>
    </row>
    <row r="535" spans="3:69" ht="14.25" hidden="1" customHeight="1">
      <c r="C535" s="82" t="s">
        <v>11</v>
      </c>
      <c r="D535" s="82" t="s">
        <v>1740</v>
      </c>
      <c r="E535" s="82" t="s">
        <v>1075</v>
      </c>
      <c r="F535" s="82" t="s">
        <v>1076</v>
      </c>
      <c r="G535" s="82">
        <v>812</v>
      </c>
      <c r="H535" s="82" t="s">
        <v>1077</v>
      </c>
      <c r="I535" s="82">
        <v>10</v>
      </c>
      <c r="J535" s="82">
        <v>13.05696</v>
      </c>
      <c r="K535" s="82">
        <v>130.56960000000001</v>
      </c>
      <c r="L535" s="26">
        <f t="shared" si="43"/>
        <v>5</v>
      </c>
      <c r="M535" s="26">
        <f t="shared" si="32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26"/>
      <c r="AZ535" s="26"/>
      <c r="BA535" s="26"/>
      <c r="BB535" s="26"/>
      <c r="BC535" s="26"/>
      <c r="BD535" s="26"/>
      <c r="BE535" s="67">
        <f>SUMIFS([1]Up!$J:$J,[1]Up!$D:$D,D535)</f>
        <v>0</v>
      </c>
      <c r="BF535" s="82"/>
      <c r="BG535" s="82" t="str">
        <f t="shared" si="44"/>
        <v/>
      </c>
      <c r="BH535" s="53" t="str">
        <f t="shared" si="45"/>
        <v/>
      </c>
      <c r="BI535" s="53" t="s">
        <v>148</v>
      </c>
      <c r="BJ535" s="53" t="s">
        <v>1078</v>
      </c>
      <c r="BK535" s="53" t="s">
        <v>1075</v>
      </c>
      <c r="BL535" s="84" t="s">
        <v>2161</v>
      </c>
      <c r="BM535" s="53">
        <v>20</v>
      </c>
      <c r="BN535" s="83" t="s">
        <v>2224</v>
      </c>
      <c r="BO535" s="53"/>
      <c r="BP535" s="53"/>
      <c r="BQ535" s="238"/>
    </row>
    <row r="536" spans="3:69" ht="14.25" hidden="1" customHeight="1">
      <c r="C536" s="82" t="s">
        <v>13</v>
      </c>
      <c r="D536" s="82" t="s">
        <v>1741</v>
      </c>
      <c r="E536" s="82" t="s">
        <v>1676</v>
      </c>
      <c r="F536" s="82" t="s">
        <v>1084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3"/>
        <v>0</v>
      </c>
      <c r="M536" s="26">
        <f t="shared" si="32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67">
        <f>SUMIFS([1]Up!$J:$J,[1]Up!$D:$D,D536)</f>
        <v>0</v>
      </c>
      <c r="BF536" s="82"/>
      <c r="BG536" s="82" t="str">
        <f t="shared" si="44"/>
        <v>PL8</v>
      </c>
      <c r="BH536" s="53" t="str">
        <f t="shared" si="45"/>
        <v/>
      </c>
      <c r="BI536" s="53" t="s">
        <v>154</v>
      </c>
      <c r="BJ536" s="53" t="s">
        <v>1011</v>
      </c>
      <c r="BK536" s="53" t="s">
        <v>1012</v>
      </c>
      <c r="BL536" s="53" t="s">
        <v>57</v>
      </c>
      <c r="BM536" s="53">
        <v>4</v>
      </c>
      <c r="BN536" s="83"/>
      <c r="BO536" s="53"/>
      <c r="BP536" s="53"/>
    </row>
    <row r="537" spans="3:69" ht="14.25" hidden="1" customHeight="1">
      <c r="C537" s="82" t="s">
        <v>13</v>
      </c>
      <c r="D537" s="82" t="s">
        <v>1742</v>
      </c>
      <c r="E537" s="82" t="s">
        <v>1720</v>
      </c>
      <c r="F537" s="82" t="s">
        <v>1296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3"/>
        <v>2</v>
      </c>
      <c r="M537" s="26">
        <f t="shared" si="32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26"/>
      <c r="AZ537" s="26"/>
      <c r="BA537" s="26"/>
      <c r="BB537" s="26"/>
      <c r="BC537" s="26"/>
      <c r="BD537" s="26"/>
      <c r="BE537" s="67">
        <f>SUMIFS([1]Up!$J:$J,[1]Up!$D:$D,D537)</f>
        <v>0</v>
      </c>
      <c r="BF537" s="82"/>
      <c r="BG537" s="82" t="str">
        <f t="shared" si="44"/>
        <v>PL15</v>
      </c>
      <c r="BH537" s="53" t="str">
        <f t="shared" si="45"/>
        <v/>
      </c>
      <c r="BI537" s="53" t="s">
        <v>148</v>
      </c>
      <c r="BJ537" s="53" t="s">
        <v>1093</v>
      </c>
      <c r="BK537" s="53" t="s">
        <v>1094</v>
      </c>
      <c r="BL537" s="84" t="s">
        <v>2155</v>
      </c>
      <c r="BM537" s="53">
        <v>8</v>
      </c>
      <c r="BN537" s="83" t="s">
        <v>2224</v>
      </c>
      <c r="BO537" s="53"/>
      <c r="BP537" s="53"/>
      <c r="BQ537" s="238"/>
    </row>
    <row r="538" spans="3:69" ht="14.25" hidden="1" customHeight="1">
      <c r="C538" s="82" t="s">
        <v>13</v>
      </c>
      <c r="D538" s="82" t="s">
        <v>1743</v>
      </c>
      <c r="E538" s="82" t="s">
        <v>1703</v>
      </c>
      <c r="F538" s="82" t="s">
        <v>1296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3"/>
        <v>10</v>
      </c>
      <c r="M538" s="26">
        <f t="shared" si="32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26"/>
      <c r="AZ538" s="26"/>
      <c r="BA538" s="26"/>
      <c r="BB538" s="26"/>
      <c r="BC538" s="26"/>
      <c r="BD538" s="26"/>
      <c r="BE538" s="67">
        <f>SUMIFS([1]Up!$J:$J,[1]Up!$D:$D,D538)</f>
        <v>0</v>
      </c>
      <c r="BF538" s="82"/>
      <c r="BG538" s="82" t="str">
        <f t="shared" si="44"/>
        <v>PL16</v>
      </c>
      <c r="BH538" s="53" t="str">
        <f t="shared" si="45"/>
        <v/>
      </c>
      <c r="BI538" s="53" t="s">
        <v>148</v>
      </c>
      <c r="BJ538" s="53" t="s">
        <v>987</v>
      </c>
      <c r="BK538" s="53" t="s">
        <v>988</v>
      </c>
      <c r="BL538" s="84" t="s">
        <v>2160</v>
      </c>
      <c r="BM538" s="53">
        <v>40</v>
      </c>
      <c r="BN538" s="83" t="s">
        <v>2225</v>
      </c>
      <c r="BO538" s="53"/>
      <c r="BP538" s="53"/>
      <c r="BQ538" s="238"/>
    </row>
    <row r="539" spans="3:69" ht="14.25" hidden="1" customHeight="1">
      <c r="C539" s="82" t="s">
        <v>13</v>
      </c>
      <c r="D539" s="82" t="s">
        <v>1744</v>
      </c>
      <c r="E539" s="82" t="s">
        <v>1125</v>
      </c>
      <c r="F539" s="82" t="s">
        <v>1296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3"/>
        <v>2</v>
      </c>
      <c r="M539" s="26">
        <f t="shared" si="32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26"/>
      <c r="AZ539" s="26"/>
      <c r="BA539" s="26"/>
      <c r="BB539" s="26"/>
      <c r="BC539" s="26"/>
      <c r="BD539" s="26"/>
      <c r="BE539" s="67">
        <f>SUMIFS([1]Up!$J:$J,[1]Up!$D:$D,D539)</f>
        <v>0</v>
      </c>
      <c r="BF539" s="82"/>
      <c r="BG539" s="82" t="str">
        <f t="shared" si="44"/>
        <v>PL15</v>
      </c>
      <c r="BH539" s="53" t="str">
        <f t="shared" si="45"/>
        <v/>
      </c>
      <c r="BI539" s="53" t="s">
        <v>148</v>
      </c>
      <c r="BJ539" s="53" t="s">
        <v>1093</v>
      </c>
      <c r="BK539" s="53" t="s">
        <v>1094</v>
      </c>
      <c r="BL539" s="84" t="s">
        <v>2155</v>
      </c>
      <c r="BM539" s="53">
        <v>8</v>
      </c>
      <c r="BN539" s="83" t="s">
        <v>2224</v>
      </c>
      <c r="BO539" s="53"/>
      <c r="BP539" s="53"/>
      <c r="BQ539" s="238"/>
    </row>
    <row r="540" spans="3:69" ht="14.25" hidden="1" customHeight="1">
      <c r="C540" s="82" t="s">
        <v>13</v>
      </c>
      <c r="D540" s="82" t="s">
        <v>1745</v>
      </c>
      <c r="E540" s="82" t="s">
        <v>1123</v>
      </c>
      <c r="F540" s="82" t="s">
        <v>1296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3"/>
        <v>2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67">
        <f>SUMIFS([1]Up!$J:$J,[1]Up!$D:$D,D540)</f>
        <v>0</v>
      </c>
      <c r="BF540" s="82"/>
      <c r="BG540" s="82" t="str">
        <f t="shared" si="44"/>
        <v>PL20</v>
      </c>
      <c r="BH540" s="53" t="str">
        <f t="shared" si="45"/>
        <v/>
      </c>
      <c r="BI540" s="53" t="s">
        <v>148</v>
      </c>
      <c r="BJ540" s="53" t="s">
        <v>1099</v>
      </c>
      <c r="BK540" s="53" t="s">
        <v>1100</v>
      </c>
      <c r="BL540" s="84" t="s">
        <v>2157</v>
      </c>
      <c r="BM540" s="53">
        <v>8</v>
      </c>
      <c r="BN540" s="83">
        <v>46242</v>
      </c>
      <c r="BO540" s="53"/>
      <c r="BP540" s="53"/>
      <c r="BQ540" s="238"/>
    </row>
    <row r="541" spans="3:69" ht="14.25" hidden="1" customHeight="1">
      <c r="C541" s="82" t="s">
        <v>13</v>
      </c>
      <c r="D541" s="82" t="s">
        <v>1746</v>
      </c>
      <c r="E541" s="82" t="s">
        <v>1157</v>
      </c>
      <c r="F541" s="82" t="s">
        <v>1296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3"/>
        <v>2</v>
      </c>
      <c r="M541" s="26">
        <f t="shared" ref="M541:M549" si="46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67">
        <f>SUMIFS([1]Up!$J:$J,[1]Up!$D:$D,D541)</f>
        <v>0</v>
      </c>
      <c r="BF541" s="82"/>
      <c r="BG541" s="82" t="str">
        <f t="shared" si="44"/>
        <v>PL15</v>
      </c>
      <c r="BH541" s="53" t="str">
        <f t="shared" si="45"/>
        <v/>
      </c>
      <c r="BI541" s="53" t="s">
        <v>148</v>
      </c>
      <c r="BJ541" s="53" t="s">
        <v>1093</v>
      </c>
      <c r="BK541" s="53" t="s">
        <v>1094</v>
      </c>
      <c r="BL541" s="84" t="s">
        <v>2155</v>
      </c>
      <c r="BM541" s="53">
        <v>8</v>
      </c>
      <c r="BN541" s="83" t="s">
        <v>2224</v>
      </c>
      <c r="BO541" s="53"/>
      <c r="BP541" s="53"/>
      <c r="BQ541" s="238"/>
    </row>
    <row r="542" spans="3:69" ht="14.25" hidden="1" customHeight="1">
      <c r="C542" s="82" t="s">
        <v>13</v>
      </c>
      <c r="D542" s="82" t="s">
        <v>1747</v>
      </c>
      <c r="E542" s="82" t="s">
        <v>1277</v>
      </c>
      <c r="F542" s="82" t="s">
        <v>1296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7">MIN(SUM(N542:BD542),I542)</f>
        <v>1</v>
      </c>
      <c r="M542" s="26">
        <f t="shared" si="46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67">
        <f>SUMIFS([1]Up!$J:$J,[1]Up!$D:$D,D542)</f>
        <v>0</v>
      </c>
      <c r="BF542" s="82"/>
      <c r="BG542" s="82" t="str">
        <f t="shared" ref="BG542:BG549" si="48">IFERROR(IF(C542="Plate",LEFT(E542,FIND("*",E542,1)-1),""),IF(C542="Plate",LEFT(E542,FIND("x",E542,1)-1),""))</f>
        <v>PL20</v>
      </c>
      <c r="BH542" s="53" t="str">
        <f t="shared" ref="BH542:BH549" si="49">IF(ROUND(SUM(N542:BD542)-I542,0)&gt;0,"Thừa "&amp;SUM(N542:BD542)-I542,"")</f>
        <v/>
      </c>
      <c r="BI542" s="53" t="s">
        <v>148</v>
      </c>
      <c r="BJ542" s="53" t="s">
        <v>1099</v>
      </c>
      <c r="BK542" s="53" t="s">
        <v>1100</v>
      </c>
      <c r="BL542" s="84" t="s">
        <v>2157</v>
      </c>
      <c r="BM542" s="53">
        <v>4</v>
      </c>
      <c r="BN542" s="83">
        <v>46242</v>
      </c>
      <c r="BO542" s="53"/>
      <c r="BP542" s="53"/>
      <c r="BQ542" s="238"/>
    </row>
    <row r="543" spans="3:69" ht="14.25" hidden="1" customHeight="1">
      <c r="C543" s="82" t="s">
        <v>13</v>
      </c>
      <c r="D543" s="82" t="s">
        <v>1748</v>
      </c>
      <c r="E543" s="82" t="s">
        <v>1282</v>
      </c>
      <c r="F543" s="82" t="s">
        <v>1296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7"/>
        <v>3</v>
      </c>
      <c r="M543" s="26">
        <f t="shared" si="46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26"/>
      <c r="AZ543" s="26"/>
      <c r="BA543" s="26"/>
      <c r="BB543" s="26"/>
      <c r="BC543" s="26"/>
      <c r="BD543" s="26"/>
      <c r="BE543" s="67">
        <f>SUMIFS([1]Up!$J:$J,[1]Up!$D:$D,D543)</f>
        <v>0</v>
      </c>
      <c r="BF543" s="82"/>
      <c r="BG543" s="82" t="str">
        <f t="shared" si="48"/>
        <v>PL16</v>
      </c>
      <c r="BH543" s="53" t="str">
        <f t="shared" si="49"/>
        <v/>
      </c>
      <c r="BI543" s="53" t="s">
        <v>148</v>
      </c>
      <c r="BJ543" s="53" t="s">
        <v>987</v>
      </c>
      <c r="BK543" s="53" t="s">
        <v>988</v>
      </c>
      <c r="BL543" s="84" t="s">
        <v>2160</v>
      </c>
      <c r="BM543" s="53">
        <v>12</v>
      </c>
      <c r="BN543" s="83" t="s">
        <v>2225</v>
      </c>
      <c r="BO543" s="53"/>
      <c r="BP543" s="53"/>
      <c r="BQ543" s="238"/>
    </row>
    <row r="544" spans="3:69" ht="14.25" hidden="1" customHeight="1">
      <c r="C544" s="82" t="s">
        <v>13</v>
      </c>
      <c r="D544" s="82" t="s">
        <v>1749</v>
      </c>
      <c r="E544" s="82" t="s">
        <v>1280</v>
      </c>
      <c r="F544" s="82" t="s">
        <v>1296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7"/>
        <v>1</v>
      </c>
      <c r="M544" s="26">
        <f t="shared" si="46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67">
        <f>SUMIFS([1]Up!$J:$J,[1]Up!$D:$D,D544)</f>
        <v>0</v>
      </c>
      <c r="BF544" s="82"/>
      <c r="BG544" s="82" t="str">
        <f t="shared" si="48"/>
        <v>PL20</v>
      </c>
      <c r="BH544" s="53" t="str">
        <f t="shared" si="49"/>
        <v/>
      </c>
      <c r="BI544" s="53" t="s">
        <v>148</v>
      </c>
      <c r="BJ544" s="53" t="s">
        <v>1099</v>
      </c>
      <c r="BK544" s="53" t="s">
        <v>1100</v>
      </c>
      <c r="BL544" s="84" t="s">
        <v>2157</v>
      </c>
      <c r="BM544" s="53">
        <v>4</v>
      </c>
      <c r="BN544" s="83">
        <v>46242</v>
      </c>
      <c r="BO544" s="53"/>
      <c r="BP544" s="53"/>
      <c r="BQ544" s="238"/>
    </row>
    <row r="545" spans="3:69" ht="14.25" hidden="1" customHeight="1">
      <c r="C545" s="82" t="s">
        <v>13</v>
      </c>
      <c r="D545" s="82" t="s">
        <v>1750</v>
      </c>
      <c r="E545" s="82" t="s">
        <v>1273</v>
      </c>
      <c r="F545" s="82" t="s">
        <v>1296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7"/>
        <v>0</v>
      </c>
      <c r="M545" s="26">
        <f t="shared" si="46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67">
        <f>SUMIFS([1]Up!$J:$J,[1]Up!$D:$D,D545)</f>
        <v>0</v>
      </c>
      <c r="BF545" s="82"/>
      <c r="BG545" s="82" t="str">
        <f t="shared" si="48"/>
        <v>PL5</v>
      </c>
      <c r="BH545" s="53" t="str">
        <f t="shared" si="49"/>
        <v/>
      </c>
      <c r="BI545" s="53" t="s">
        <v>148</v>
      </c>
      <c r="BJ545" s="53" t="s">
        <v>1107</v>
      </c>
      <c r="BK545" s="53" t="s">
        <v>956</v>
      </c>
      <c r="BL545" s="84" t="s">
        <v>2158</v>
      </c>
      <c r="BM545" s="53">
        <v>8</v>
      </c>
      <c r="BN545" s="83">
        <v>46302</v>
      </c>
      <c r="BO545" s="53"/>
      <c r="BP545" s="53"/>
      <c r="BQ545" s="238"/>
    </row>
    <row r="546" spans="3:69" ht="14.25" hidden="1" customHeight="1">
      <c r="C546" s="82" t="s">
        <v>13</v>
      </c>
      <c r="D546" s="82" t="s">
        <v>1751</v>
      </c>
      <c r="E546" s="82" t="s">
        <v>1284</v>
      </c>
      <c r="F546" s="82" t="s">
        <v>1296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7"/>
        <v>1</v>
      </c>
      <c r="M546" s="26">
        <f t="shared" si="46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26"/>
      <c r="AZ546" s="26"/>
      <c r="BA546" s="26"/>
      <c r="BB546" s="26"/>
      <c r="BC546" s="26"/>
      <c r="BD546" s="26"/>
      <c r="BE546" s="67">
        <f>SUMIFS([1]Up!$J:$J,[1]Up!$D:$D,D546)</f>
        <v>0</v>
      </c>
      <c r="BF546" s="82"/>
      <c r="BG546" s="82" t="str">
        <f t="shared" si="48"/>
        <v>PL16</v>
      </c>
      <c r="BH546" s="53" t="str">
        <f t="shared" si="49"/>
        <v/>
      </c>
      <c r="BI546" s="53" t="s">
        <v>148</v>
      </c>
      <c r="BJ546" s="53" t="s">
        <v>987</v>
      </c>
      <c r="BK546" s="53" t="s">
        <v>988</v>
      </c>
      <c r="BL546" s="84" t="s">
        <v>2160</v>
      </c>
      <c r="BM546" s="53">
        <v>4</v>
      </c>
      <c r="BN546" s="83" t="s">
        <v>2225</v>
      </c>
      <c r="BO546" s="53"/>
      <c r="BP546" s="53"/>
      <c r="BQ546" s="238"/>
    </row>
    <row r="547" spans="3:69" ht="14.25" hidden="1" customHeight="1">
      <c r="C547" s="82" t="s">
        <v>13</v>
      </c>
      <c r="D547" s="82" t="s">
        <v>1752</v>
      </c>
      <c r="E547" s="82" t="s">
        <v>1284</v>
      </c>
      <c r="F547" s="82" t="s">
        <v>1296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7"/>
        <v>1</v>
      </c>
      <c r="M547" s="26">
        <f t="shared" si="46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26"/>
      <c r="AZ547" s="26"/>
      <c r="BA547" s="26"/>
      <c r="BB547" s="26"/>
      <c r="BC547" s="26"/>
      <c r="BD547" s="26"/>
      <c r="BE547" s="67">
        <f>SUMIFS([1]Up!$J:$J,[1]Up!$D:$D,D547)</f>
        <v>0</v>
      </c>
      <c r="BF547" s="82"/>
      <c r="BG547" s="82" t="str">
        <f t="shared" si="48"/>
        <v>PL16</v>
      </c>
      <c r="BH547" s="53" t="str">
        <f t="shared" si="49"/>
        <v/>
      </c>
      <c r="BI547" s="53" t="s">
        <v>148</v>
      </c>
      <c r="BJ547" s="53" t="s">
        <v>987</v>
      </c>
      <c r="BK547" s="53" t="s">
        <v>988</v>
      </c>
      <c r="BL547" s="84" t="s">
        <v>2160</v>
      </c>
      <c r="BM547" s="53">
        <v>4</v>
      </c>
      <c r="BN547" s="83" t="s">
        <v>2225</v>
      </c>
      <c r="BO547" s="53"/>
      <c r="BP547" s="53"/>
      <c r="BQ547" s="238"/>
    </row>
    <row r="548" spans="3:69" ht="14.25" hidden="1" customHeight="1">
      <c r="C548" s="82" t="s">
        <v>13</v>
      </c>
      <c r="D548" s="82" t="s">
        <v>1753</v>
      </c>
      <c r="E548" s="82" t="s">
        <v>1284</v>
      </c>
      <c r="F548" s="82" t="s">
        <v>1296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7"/>
        <v>1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26"/>
      <c r="AZ548" s="26"/>
      <c r="BA548" s="26"/>
      <c r="BB548" s="26"/>
      <c r="BC548" s="26"/>
      <c r="BD548" s="26"/>
      <c r="BE548" s="67">
        <f>SUMIFS([1]Up!$J:$J,[1]Up!$D:$D,D548)</f>
        <v>0</v>
      </c>
      <c r="BF548" s="82"/>
      <c r="BG548" s="82" t="str">
        <f t="shared" si="48"/>
        <v>PL16</v>
      </c>
      <c r="BH548" s="53" t="str">
        <f t="shared" si="49"/>
        <v/>
      </c>
      <c r="BI548" s="53" t="s">
        <v>148</v>
      </c>
      <c r="BJ548" s="53" t="s">
        <v>987</v>
      </c>
      <c r="BK548" s="53" t="s">
        <v>988</v>
      </c>
      <c r="BL548" s="84" t="s">
        <v>2160</v>
      </c>
      <c r="BM548" s="53">
        <v>4</v>
      </c>
      <c r="BN548" s="83" t="s">
        <v>2225</v>
      </c>
      <c r="BO548" s="53"/>
      <c r="BP548" s="53"/>
      <c r="BQ548" s="238"/>
    </row>
    <row r="549" spans="3:69" ht="14.25" hidden="1" customHeight="1">
      <c r="C549" s="82" t="s">
        <v>13</v>
      </c>
      <c r="D549" s="82" t="s">
        <v>1754</v>
      </c>
      <c r="E549" s="82" t="s">
        <v>1739</v>
      </c>
      <c r="F549" s="82" t="s">
        <v>1296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7"/>
        <v>0</v>
      </c>
      <c r="M549" s="26">
        <f t="shared" si="46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67">
        <f>SUMIFS([1]Up!$J:$J,[1]Up!$D:$D,D549)</f>
        <v>0</v>
      </c>
      <c r="BF549" s="82"/>
      <c r="BG549" s="82" t="str">
        <f t="shared" si="48"/>
        <v>PL8</v>
      </c>
      <c r="BH549" s="53" t="str">
        <f t="shared" si="49"/>
        <v/>
      </c>
      <c r="BI549" s="53" t="s">
        <v>148</v>
      </c>
      <c r="BJ549" s="53" t="s">
        <v>1011</v>
      </c>
      <c r="BK549" s="53" t="s">
        <v>1012</v>
      </c>
      <c r="BL549" s="53" t="s">
        <v>57</v>
      </c>
      <c r="BM549" s="53">
        <v>20</v>
      </c>
      <c r="BN549" s="83"/>
      <c r="BO549" s="53"/>
      <c r="BP549" s="53"/>
    </row>
    <row r="550" spans="3:69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82"/>
      <c r="BB550" s="82"/>
      <c r="BC550" s="82"/>
      <c r="BD550" s="82"/>
      <c r="BE550" s="67"/>
      <c r="BF550" s="82"/>
      <c r="BG550" s="82"/>
      <c r="BH550" s="53"/>
      <c r="BI550" s="53"/>
      <c r="BJ550" s="53"/>
      <c r="BK550" s="53"/>
      <c r="BL550" s="53"/>
      <c r="BM550" s="85"/>
      <c r="BN550" s="53"/>
      <c r="BO550" s="53"/>
      <c r="BP550" s="53"/>
    </row>
    <row r="551" spans="3:69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82"/>
      <c r="BB551" s="82"/>
      <c r="BC551" s="82"/>
      <c r="BD551" s="82"/>
      <c r="BE551" s="67"/>
      <c r="BF551" s="82"/>
      <c r="BG551" s="82"/>
      <c r="BH551" s="53"/>
      <c r="BI551" s="53"/>
      <c r="BJ551" s="53"/>
      <c r="BK551" s="53"/>
      <c r="BL551" s="53"/>
      <c r="BM551" s="85"/>
      <c r="BN551" s="53"/>
      <c r="BO551" s="53"/>
      <c r="BP551" s="53"/>
    </row>
    <row r="552" spans="3:69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82"/>
      <c r="BB552" s="82"/>
      <c r="BC552" s="82"/>
      <c r="BD552" s="82"/>
      <c r="BE552" s="67"/>
      <c r="BF552" s="82"/>
      <c r="BG552" s="82"/>
      <c r="BH552" s="53"/>
      <c r="BI552" s="53"/>
      <c r="BJ552" s="53"/>
      <c r="BK552" s="53"/>
      <c r="BL552" s="53"/>
      <c r="BM552" s="85"/>
      <c r="BN552" s="53"/>
      <c r="BO552" s="53"/>
      <c r="BP552" s="53"/>
    </row>
    <row r="553" spans="3:69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82"/>
      <c r="BB553" s="82"/>
      <c r="BC553" s="82"/>
      <c r="BD553" s="82"/>
      <c r="BE553" s="67"/>
      <c r="BF553" s="82"/>
      <c r="BG553" s="82"/>
      <c r="BH553" s="53"/>
      <c r="BI553" s="53"/>
      <c r="BJ553" s="53"/>
      <c r="BK553" s="53"/>
      <c r="BL553" s="53"/>
      <c r="BM553" s="85"/>
      <c r="BN553" s="53"/>
      <c r="BO553" s="53"/>
      <c r="BP553" s="53"/>
    </row>
    <row r="554" spans="3:69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82"/>
      <c r="BB554" s="82"/>
      <c r="BC554" s="82"/>
      <c r="BD554" s="82"/>
      <c r="BE554" s="67"/>
      <c r="BF554" s="82"/>
      <c r="BG554" s="82"/>
      <c r="BH554" s="53"/>
      <c r="BI554" s="53"/>
      <c r="BJ554" s="53"/>
      <c r="BK554" s="53"/>
      <c r="BL554" s="53"/>
      <c r="BM554" s="85"/>
      <c r="BN554" s="53"/>
      <c r="BO554" s="53"/>
      <c r="BP554" s="53"/>
    </row>
    <row r="555" spans="3:69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82"/>
      <c r="BB555" s="82"/>
      <c r="BC555" s="82"/>
      <c r="BD555" s="82"/>
      <c r="BE555" s="67"/>
      <c r="BF555" s="82"/>
      <c r="BG555" s="82"/>
      <c r="BH555" s="53"/>
      <c r="BI555" s="53"/>
      <c r="BJ555" s="53"/>
      <c r="BK555" s="53"/>
      <c r="BL555" s="53"/>
      <c r="BM555" s="85"/>
      <c r="BN555" s="53"/>
      <c r="BO555" s="53"/>
      <c r="BP555" s="53"/>
    </row>
    <row r="556" spans="3:69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82"/>
      <c r="BB556" s="82"/>
      <c r="BC556" s="82"/>
      <c r="BD556" s="82"/>
      <c r="BE556" s="67"/>
      <c r="BF556" s="82"/>
      <c r="BG556" s="82"/>
      <c r="BH556" s="53"/>
      <c r="BI556" s="53"/>
      <c r="BJ556" s="53"/>
      <c r="BK556" s="53"/>
      <c r="BL556" s="53"/>
      <c r="BM556" s="85"/>
      <c r="BN556" s="53"/>
      <c r="BO556" s="53"/>
      <c r="BP556" s="53"/>
    </row>
    <row r="558" spans="3:69">
      <c r="BE558" s="3" t="s">
        <v>1038</v>
      </c>
    </row>
    <row r="559" spans="3:69">
      <c r="BF559" s="3" t="s">
        <v>1038</v>
      </c>
    </row>
  </sheetData>
  <autoFilter ref="C29:BP556" xr:uid="{B5DE6D30-F474-449D-82A7-1262A8A8C8BB}">
    <filterColumn colId="52">
      <customFilters>
        <customFilter operator="notEqual" val=" "/>
      </custom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/>
  <dimension ref="A1:CF744"/>
  <sheetViews>
    <sheetView tabSelected="1" zoomScale="85" zoomScaleNormal="85" workbookViewId="0">
      <pane xSplit="14" ySplit="9" topLeftCell="AG10" activePane="bottomRight" state="frozen"/>
      <selection pane="topRight" activeCell="P1" sqref="P1"/>
      <selection pane="bottomLeft" activeCell="A10" sqref="A10"/>
      <selection pane="bottomRight" activeCell="AJ12" sqref="AJ12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5" width="7.25" customWidth="1"/>
    <col min="36" max="36" width="8.2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1755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951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1756</v>
      </c>
      <c r="AG5" s="171"/>
      <c r="AH5" s="171"/>
      <c r="AI5" s="171"/>
      <c r="AJ5" s="171"/>
      <c r="AK5" s="171" t="s">
        <v>1756</v>
      </c>
      <c r="AL5" s="171"/>
      <c r="AM5" s="171"/>
      <c r="AN5" s="171"/>
      <c r="AO5" s="171"/>
      <c r="AP5" s="171" t="s">
        <v>1756</v>
      </c>
      <c r="AQ5" s="171"/>
      <c r="AR5" s="171"/>
      <c r="AS5" s="171"/>
      <c r="AT5" s="171"/>
      <c r="AU5" s="171" t="s">
        <v>1756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1757</v>
      </c>
      <c r="B6" s="112"/>
      <c r="C6" s="112"/>
      <c r="D6" s="115"/>
      <c r="E6" s="122"/>
      <c r="F6" s="122"/>
      <c r="G6" s="122"/>
      <c r="H6" s="112"/>
      <c r="I6" s="123" t="s">
        <v>2087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2088</v>
      </c>
      <c r="AE6" s="118"/>
      <c r="AF6" s="173" t="s">
        <v>1758</v>
      </c>
      <c r="AG6" s="173"/>
      <c r="AH6" s="173"/>
      <c r="AI6" s="173"/>
      <c r="AJ6" s="173"/>
      <c r="AK6" s="173" t="s">
        <v>1759</v>
      </c>
      <c r="AL6" s="173"/>
      <c r="AM6" s="173"/>
      <c r="AN6" s="173"/>
      <c r="AO6" s="173"/>
      <c r="AP6" s="173" t="s">
        <v>1760</v>
      </c>
      <c r="AQ6" s="173"/>
      <c r="AR6" s="173"/>
      <c r="AS6" s="173"/>
      <c r="AT6" s="173"/>
      <c r="AU6" s="173" t="s">
        <v>1761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1762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1763</v>
      </c>
      <c r="BH8" s="127" t="s">
        <v>1764</v>
      </c>
      <c r="BI8" s="129" t="s">
        <v>1765</v>
      </c>
      <c r="BJ8" s="129" t="s">
        <v>1766</v>
      </c>
      <c r="BK8" s="129" t="s">
        <v>1767</v>
      </c>
      <c r="BL8" s="129" t="s">
        <v>1768</v>
      </c>
      <c r="BM8" s="129" t="s">
        <v>1769</v>
      </c>
      <c r="BN8" s="129" t="s">
        <v>2089</v>
      </c>
      <c r="BO8" s="129" t="s">
        <v>2090</v>
      </c>
      <c r="BP8" s="129" t="s">
        <v>2091</v>
      </c>
      <c r="BQ8" s="129" t="s">
        <v>2092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1770</v>
      </c>
      <c r="BC9" s="127" t="s">
        <v>1771</v>
      </c>
      <c r="BD9" s="127" t="s">
        <v>1772</v>
      </c>
      <c r="BE9" s="127" t="s">
        <v>134</v>
      </c>
      <c r="BF9" s="127">
        <v>29</v>
      </c>
      <c r="BG9" s="127" t="s">
        <v>1773</v>
      </c>
      <c r="BH9" s="127" t="s">
        <v>1774</v>
      </c>
      <c r="BI9" s="127" t="s">
        <v>1775</v>
      </c>
      <c r="BJ9" s="127" t="s">
        <v>1776</v>
      </c>
      <c r="BK9" s="127" t="s">
        <v>1777</v>
      </c>
      <c r="BL9" s="127" t="s">
        <v>1778</v>
      </c>
      <c r="BM9" s="127" t="s">
        <v>1779</v>
      </c>
      <c r="BN9" s="127" t="s">
        <v>2093</v>
      </c>
      <c r="BO9" s="127" t="s">
        <v>2094</v>
      </c>
      <c r="BP9" s="127" t="s">
        <v>2095</v>
      </c>
      <c r="BQ9" s="127" t="s">
        <v>2096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2036</v>
      </c>
      <c r="C10" s="177" t="s">
        <v>2211</v>
      </c>
      <c r="D10" s="177" t="s">
        <v>2037</v>
      </c>
      <c r="E10" s="177"/>
      <c r="F10" s="177"/>
      <c r="G10" s="177" t="s">
        <v>2038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2039</v>
      </c>
      <c r="AE10" s="162" t="s">
        <v>143</v>
      </c>
      <c r="AF10" s="181" t="s">
        <v>1783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2036</v>
      </c>
      <c r="C11" s="187" t="s">
        <v>2153</v>
      </c>
      <c r="D11" s="187"/>
      <c r="E11" s="187"/>
      <c r="F11" s="187"/>
      <c r="G11" s="187" t="s">
        <v>1928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0.63247863247863245</v>
      </c>
      <c r="Y11" s="192"/>
      <c r="Z11" s="192"/>
      <c r="AA11" s="192"/>
      <c r="AB11" s="192"/>
      <c r="AC11" s="194" t="s">
        <v>196</v>
      </c>
      <c r="AD11" s="195" t="s">
        <v>2039</v>
      </c>
      <c r="AE11" s="196" t="s">
        <v>1787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2036</v>
      </c>
      <c r="C12" s="209" t="s">
        <v>2153</v>
      </c>
      <c r="D12" s="209" t="s">
        <v>1084</v>
      </c>
      <c r="E12" s="209" t="s">
        <v>1788</v>
      </c>
      <c r="F12" s="209" t="s">
        <v>1292</v>
      </c>
      <c r="G12" s="209" t="s">
        <v>1293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2039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1789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1790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2036</v>
      </c>
      <c r="C13" s="209" t="s">
        <v>2153</v>
      </c>
      <c r="D13" s="209" t="s">
        <v>1296</v>
      </c>
      <c r="E13" s="209" t="s">
        <v>1791</v>
      </c>
      <c r="F13" s="209" t="s">
        <v>1301</v>
      </c>
      <c r="G13" s="209" t="s">
        <v>1302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2039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1789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1790</v>
      </c>
      <c r="BZ13" s="117" t="s">
        <v>1303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2036</v>
      </c>
      <c r="C14" s="209" t="s">
        <v>2153</v>
      </c>
      <c r="D14" s="209" t="s">
        <v>1296</v>
      </c>
      <c r="E14" s="209" t="s">
        <v>1792</v>
      </c>
      <c r="F14" s="209" t="s">
        <v>1304</v>
      </c>
      <c r="G14" s="209" t="s">
        <v>1096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2039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1789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1790</v>
      </c>
      <c r="BZ14" s="117" t="s">
        <v>1063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2036</v>
      </c>
      <c r="C15" s="209" t="s">
        <v>2153</v>
      </c>
      <c r="D15" s="209" t="s">
        <v>1296</v>
      </c>
      <c r="E15" s="209" t="s">
        <v>1793</v>
      </c>
      <c r="F15" s="209" t="s">
        <v>1305</v>
      </c>
      <c r="G15" s="209" t="s">
        <v>1306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2039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1789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1790</v>
      </c>
      <c r="BZ15" s="117" t="s">
        <v>1307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2036</v>
      </c>
      <c r="C16" s="209" t="s">
        <v>2153</v>
      </c>
      <c r="D16" s="209" t="s">
        <v>1296</v>
      </c>
      <c r="E16" s="209" t="s">
        <v>1794</v>
      </c>
      <c r="F16" s="209" t="s">
        <v>1308</v>
      </c>
      <c r="G16" s="209" t="s">
        <v>1104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2039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1789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1790</v>
      </c>
      <c r="BZ16" s="117" t="s">
        <v>1307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2036</v>
      </c>
      <c r="C17" s="209" t="s">
        <v>2153</v>
      </c>
      <c r="D17" s="209" t="s">
        <v>1296</v>
      </c>
      <c r="E17" s="209" t="s">
        <v>1795</v>
      </c>
      <c r="F17" s="209" t="s">
        <v>1309</v>
      </c>
      <c r="G17" s="209" t="s">
        <v>1310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2039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1789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1790</v>
      </c>
      <c r="BZ17" s="117" t="s">
        <v>1063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2036</v>
      </c>
      <c r="C18" s="209" t="s">
        <v>2153</v>
      </c>
      <c r="D18" s="209" t="s">
        <v>1296</v>
      </c>
      <c r="E18" s="209" t="s">
        <v>1796</v>
      </c>
      <c r="F18" s="209" t="s">
        <v>1311</v>
      </c>
      <c r="G18" s="209" t="s">
        <v>1106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2039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1790</v>
      </c>
      <c r="BZ18" s="117" t="s">
        <v>1312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2036</v>
      </c>
      <c r="C19" s="209" t="s">
        <v>2153</v>
      </c>
      <c r="D19" s="209" t="s">
        <v>1296</v>
      </c>
      <c r="E19" s="209" t="s">
        <v>1797</v>
      </c>
      <c r="F19" s="209" t="s">
        <v>1313</v>
      </c>
      <c r="G19" s="209" t="s">
        <v>1030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2039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1789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1790</v>
      </c>
      <c r="BZ19" s="117" t="s">
        <v>1022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2036</v>
      </c>
      <c r="C20" s="209" t="s">
        <v>2153</v>
      </c>
      <c r="D20" s="209" t="s">
        <v>1076</v>
      </c>
      <c r="E20" s="209" t="s">
        <v>1798</v>
      </c>
      <c r="F20" s="209" t="s">
        <v>1314</v>
      </c>
      <c r="G20" s="209" t="s">
        <v>1030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2039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1789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1790</v>
      </c>
      <c r="BZ20" s="117" t="s">
        <v>1022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2036</v>
      </c>
      <c r="C21" s="209" t="s">
        <v>2153</v>
      </c>
      <c r="D21" s="209" t="s">
        <v>1296</v>
      </c>
      <c r="E21" s="209" t="s">
        <v>1799</v>
      </c>
      <c r="F21" s="209" t="s">
        <v>1294</v>
      </c>
      <c r="G21" s="209" t="s">
        <v>1295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2039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1789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1790</v>
      </c>
      <c r="BZ21" s="117" t="s">
        <v>1063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2036</v>
      </c>
      <c r="C22" s="209" t="s">
        <v>2153</v>
      </c>
      <c r="D22" s="209" t="s">
        <v>1296</v>
      </c>
      <c r="E22" s="209" t="s">
        <v>1800</v>
      </c>
      <c r="F22" s="209" t="s">
        <v>1297</v>
      </c>
      <c r="G22" s="209" t="s">
        <v>1298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2039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1789</v>
      </c>
      <c r="BG22" s="117"/>
      <c r="BH22" s="155"/>
      <c r="BI22" s="216"/>
      <c r="BJ22" s="229" t="s">
        <v>1929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1790</v>
      </c>
      <c r="BZ22" s="117" t="s">
        <v>1022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2036</v>
      </c>
      <c r="C23" s="199" t="s">
        <v>2153</v>
      </c>
      <c r="D23" s="199" t="s">
        <v>1296</v>
      </c>
      <c r="E23" s="199" t="s">
        <v>1930</v>
      </c>
      <c r="F23" s="199" t="s">
        <v>1299</v>
      </c>
      <c r="G23" s="199" t="s">
        <v>1298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2039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1789</v>
      </c>
      <c r="BG23" s="141"/>
      <c r="BH23" s="152"/>
      <c r="BI23" s="207"/>
      <c r="BJ23" s="230" t="s">
        <v>1931</v>
      </c>
      <c r="BK23" s="230"/>
      <c r="BL23" s="153" t="s">
        <v>1932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1790</v>
      </c>
      <c r="BZ23" s="141" t="s">
        <v>1022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2036</v>
      </c>
      <c r="C24" s="209" t="s">
        <v>2153</v>
      </c>
      <c r="D24" s="209" t="s">
        <v>1296</v>
      </c>
      <c r="E24" s="209" t="s">
        <v>1801</v>
      </c>
      <c r="F24" s="209" t="s">
        <v>1300</v>
      </c>
      <c r="G24" s="209" t="s">
        <v>1090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2039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1789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1790</v>
      </c>
      <c r="BZ24" s="117" t="s">
        <v>989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2036</v>
      </c>
      <c r="C25" s="209" t="s">
        <v>2153</v>
      </c>
      <c r="D25" s="209" t="s">
        <v>1076</v>
      </c>
      <c r="E25" s="209" t="s">
        <v>1802</v>
      </c>
      <c r="F25" s="209" t="s">
        <v>1288</v>
      </c>
      <c r="G25" s="209" t="s">
        <v>1075</v>
      </c>
      <c r="H25" s="210">
        <v>812</v>
      </c>
      <c r="I25" s="211" t="s">
        <v>1077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2039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1789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1790</v>
      </c>
      <c r="BZ25" s="117" t="s">
        <v>1289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2036</v>
      </c>
      <c r="C26" s="209" t="s">
        <v>2153</v>
      </c>
      <c r="D26" s="209" t="s">
        <v>1076</v>
      </c>
      <c r="E26" s="199" t="s">
        <v>1803</v>
      </c>
      <c r="F26" s="199" t="s">
        <v>1290</v>
      </c>
      <c r="G26" s="209" t="s">
        <v>1080</v>
      </c>
      <c r="H26" s="210">
        <v>737</v>
      </c>
      <c r="I26" s="211" t="s">
        <v>1077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2039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1789</v>
      </c>
      <c r="BG26" s="117"/>
      <c r="BH26" s="141" t="s">
        <v>1933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1790</v>
      </c>
      <c r="BZ26" s="117" t="s">
        <v>1291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2036</v>
      </c>
      <c r="C27" s="187" t="s">
        <v>2163</v>
      </c>
      <c r="D27" s="187"/>
      <c r="E27" s="187"/>
      <c r="F27" s="187"/>
      <c r="G27" s="187" t="s">
        <v>1934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0.7142857142857143</v>
      </c>
      <c r="Y27" s="192"/>
      <c r="Z27" s="192"/>
      <c r="AA27" s="192"/>
      <c r="AB27" s="192"/>
      <c r="AC27" s="194" t="s">
        <v>196</v>
      </c>
      <c r="AD27" s="195" t="s">
        <v>2039</v>
      </c>
      <c r="AE27" s="196" t="s">
        <v>1787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2036</v>
      </c>
      <c r="C28" s="209" t="s">
        <v>2163</v>
      </c>
      <c r="D28" s="209" t="s">
        <v>1084</v>
      </c>
      <c r="E28" s="209" t="s">
        <v>1815</v>
      </c>
      <c r="F28" s="209" t="s">
        <v>1339</v>
      </c>
      <c r="G28" s="209" t="s">
        <v>1293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2039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1789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1790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2036</v>
      </c>
      <c r="C29" s="209" t="s">
        <v>2163</v>
      </c>
      <c r="D29" s="209" t="s">
        <v>1296</v>
      </c>
      <c r="E29" s="209" t="s">
        <v>1805</v>
      </c>
      <c r="F29" s="209" t="s">
        <v>1340</v>
      </c>
      <c r="G29" s="209" t="s">
        <v>1316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2039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1789</v>
      </c>
      <c r="BG29" s="117"/>
      <c r="BH29" s="155"/>
      <c r="BI29" s="216"/>
      <c r="BJ29" s="229" t="s">
        <v>1935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1790</v>
      </c>
      <c r="BZ29" s="117" t="s">
        <v>1317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2036</v>
      </c>
      <c r="C30" s="209" t="s">
        <v>2163</v>
      </c>
      <c r="D30" s="209" t="s">
        <v>1296</v>
      </c>
      <c r="E30" s="209" t="s">
        <v>1816</v>
      </c>
      <c r="F30" s="209" t="s">
        <v>1341</v>
      </c>
      <c r="G30" s="209" t="s">
        <v>1319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2039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1789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1790</v>
      </c>
      <c r="BZ30" s="117" t="s">
        <v>1022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2036</v>
      </c>
      <c r="C31" s="209" t="s">
        <v>2163</v>
      </c>
      <c r="D31" s="209" t="s">
        <v>1076</v>
      </c>
      <c r="E31" s="209" t="s">
        <v>1817</v>
      </c>
      <c r="F31" s="209" t="s">
        <v>1342</v>
      </c>
      <c r="G31" s="209" t="s">
        <v>1343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2039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1789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1790</v>
      </c>
      <c r="BZ31" s="117" t="s">
        <v>1344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2036</v>
      </c>
      <c r="C32" s="209" t="s">
        <v>2163</v>
      </c>
      <c r="D32" s="209" t="s">
        <v>1076</v>
      </c>
      <c r="E32" s="209" t="s">
        <v>1806</v>
      </c>
      <c r="F32" s="209" t="s">
        <v>1345</v>
      </c>
      <c r="G32" s="209" t="s">
        <v>1346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2039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1789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1790</v>
      </c>
      <c r="BZ32" s="117" t="s">
        <v>1344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2036</v>
      </c>
      <c r="C33" s="209" t="s">
        <v>2163</v>
      </c>
      <c r="D33" s="209" t="s">
        <v>1296</v>
      </c>
      <c r="E33" s="209" t="s">
        <v>1936</v>
      </c>
      <c r="F33" s="209" t="s">
        <v>1355</v>
      </c>
      <c r="G33" s="209" t="s">
        <v>1138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2039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1789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1790</v>
      </c>
      <c r="BZ33" s="117" t="s">
        <v>1063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2036</v>
      </c>
      <c r="C34" s="199" t="s">
        <v>2163</v>
      </c>
      <c r="D34" s="199" t="s">
        <v>1296</v>
      </c>
      <c r="E34" s="199" t="s">
        <v>1807</v>
      </c>
      <c r="F34" s="199" t="s">
        <v>1347</v>
      </c>
      <c r="G34" s="199" t="s">
        <v>1096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2039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1789</v>
      </c>
      <c r="BG34" s="141"/>
      <c r="BH34" s="152"/>
      <c r="BI34" s="207"/>
      <c r="BJ34" s="207"/>
      <c r="BK34" s="207"/>
      <c r="BL34" s="153" t="s">
        <v>1932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1790</v>
      </c>
      <c r="BZ34" s="141" t="s">
        <v>1063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2036</v>
      </c>
      <c r="C35" s="209" t="s">
        <v>2163</v>
      </c>
      <c r="D35" s="209" t="s">
        <v>1296</v>
      </c>
      <c r="E35" s="209" t="s">
        <v>1818</v>
      </c>
      <c r="F35" s="209" t="s">
        <v>1348</v>
      </c>
      <c r="G35" s="209" t="s">
        <v>1349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2039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1789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1790</v>
      </c>
      <c r="BZ35" s="117" t="s">
        <v>1063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2036</v>
      </c>
      <c r="C36" s="209" t="s">
        <v>2163</v>
      </c>
      <c r="D36" s="209" t="s">
        <v>1296</v>
      </c>
      <c r="E36" s="209" t="s">
        <v>1819</v>
      </c>
      <c r="F36" s="209" t="s">
        <v>1350</v>
      </c>
      <c r="G36" s="209" t="s">
        <v>1134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2039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1789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1790</v>
      </c>
      <c r="BZ36" s="117" t="s">
        <v>1063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2036</v>
      </c>
      <c r="C37" s="209" t="s">
        <v>2163</v>
      </c>
      <c r="D37" s="209" t="s">
        <v>1296</v>
      </c>
      <c r="E37" s="209" t="s">
        <v>1820</v>
      </c>
      <c r="F37" s="209" t="s">
        <v>1351</v>
      </c>
      <c r="G37" s="209" t="s">
        <v>1352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2039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1789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1790</v>
      </c>
      <c r="BZ37" s="117" t="s">
        <v>1303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2036</v>
      </c>
      <c r="C38" s="209" t="s">
        <v>2163</v>
      </c>
      <c r="D38" s="209" t="s">
        <v>1296</v>
      </c>
      <c r="E38" s="209" t="s">
        <v>1808</v>
      </c>
      <c r="F38" s="209" t="s">
        <v>1353</v>
      </c>
      <c r="G38" s="209" t="s">
        <v>1354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2039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1789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1790</v>
      </c>
      <c r="BZ38" s="117" t="s">
        <v>1303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2036</v>
      </c>
      <c r="C39" s="209" t="s">
        <v>2163</v>
      </c>
      <c r="D39" s="209" t="s">
        <v>1076</v>
      </c>
      <c r="E39" s="199" t="s">
        <v>1803</v>
      </c>
      <c r="F39" s="199" t="s">
        <v>1336</v>
      </c>
      <c r="G39" s="209" t="s">
        <v>1080</v>
      </c>
      <c r="H39" s="210">
        <v>737</v>
      </c>
      <c r="I39" s="211" t="s">
        <v>1077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2039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1789</v>
      </c>
      <c r="BG39" s="117"/>
      <c r="BH39" s="141" t="s">
        <v>1933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1790</v>
      </c>
      <c r="BZ39" s="117" t="s">
        <v>1291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2036</v>
      </c>
      <c r="C40" s="199" t="s">
        <v>2163</v>
      </c>
      <c r="D40" s="199" t="s">
        <v>1129</v>
      </c>
      <c r="E40" s="199" t="s">
        <v>1823</v>
      </c>
      <c r="F40" s="199" t="s">
        <v>1337</v>
      </c>
      <c r="G40" s="199" t="s">
        <v>1128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2039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1789</v>
      </c>
      <c r="BG40" s="141"/>
      <c r="BH40" s="152"/>
      <c r="BI40" s="207"/>
      <c r="BJ40" s="207"/>
      <c r="BK40" s="153" t="s">
        <v>1824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1790</v>
      </c>
      <c r="BZ40" s="141" t="s">
        <v>1338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2036</v>
      </c>
      <c r="C41" s="187" t="s">
        <v>2169</v>
      </c>
      <c r="D41" s="187"/>
      <c r="E41" s="187"/>
      <c r="F41" s="187"/>
      <c r="G41" s="187" t="s">
        <v>1937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2039</v>
      </c>
      <c r="AE41" s="196" t="s">
        <v>1787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2036</v>
      </c>
      <c r="C42" s="209" t="s">
        <v>2169</v>
      </c>
      <c r="D42" s="209" t="s">
        <v>1084</v>
      </c>
      <c r="E42" s="209" t="s">
        <v>1811</v>
      </c>
      <c r="F42" s="209" t="s">
        <v>1331</v>
      </c>
      <c r="G42" s="209" t="s">
        <v>1293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2039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1789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1790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2036</v>
      </c>
      <c r="C43" s="209" t="s">
        <v>2169</v>
      </c>
      <c r="D43" s="209" t="s">
        <v>1296</v>
      </c>
      <c r="E43" s="209" t="s">
        <v>1816</v>
      </c>
      <c r="F43" s="209" t="s">
        <v>1330</v>
      </c>
      <c r="G43" s="209" t="s">
        <v>1319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2039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1789</v>
      </c>
      <c r="BG43" s="117"/>
      <c r="BH43" s="155"/>
      <c r="BI43" s="216"/>
      <c r="BJ43" s="229" t="s">
        <v>1938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1790</v>
      </c>
      <c r="BZ43" s="117" t="s">
        <v>1022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2036</v>
      </c>
      <c r="C44" s="209" t="s">
        <v>2169</v>
      </c>
      <c r="D44" s="209" t="s">
        <v>1296</v>
      </c>
      <c r="E44" s="209" t="s">
        <v>1821</v>
      </c>
      <c r="F44" s="209" t="s">
        <v>1332</v>
      </c>
      <c r="G44" s="209" t="s">
        <v>1125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2039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1789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1790</v>
      </c>
      <c r="BZ44" s="117" t="s">
        <v>1303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2036</v>
      </c>
      <c r="C45" s="209" t="s">
        <v>2169</v>
      </c>
      <c r="D45" s="209" t="s">
        <v>1296</v>
      </c>
      <c r="E45" s="209" t="s">
        <v>1822</v>
      </c>
      <c r="F45" s="209" t="s">
        <v>1333</v>
      </c>
      <c r="G45" s="209" t="s">
        <v>1123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2039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1789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1790</v>
      </c>
      <c r="BZ45" s="117" t="s">
        <v>1307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2036</v>
      </c>
      <c r="C46" s="209" t="s">
        <v>2169</v>
      </c>
      <c r="D46" s="209" t="s">
        <v>1296</v>
      </c>
      <c r="E46" s="209" t="s">
        <v>2040</v>
      </c>
      <c r="F46" s="209" t="s">
        <v>1334</v>
      </c>
      <c r="G46" s="209" t="s">
        <v>1335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2039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1789</v>
      </c>
      <c r="BG46" s="117"/>
      <c r="BH46" s="155"/>
      <c r="BI46" s="216"/>
      <c r="BJ46" s="229" t="s">
        <v>2041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1790</v>
      </c>
      <c r="BZ46" s="117" t="s">
        <v>1317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2036</v>
      </c>
      <c r="C47" s="187" t="s">
        <v>2212</v>
      </c>
      <c r="D47" s="187"/>
      <c r="E47" s="187"/>
      <c r="F47" s="187"/>
      <c r="G47" s="187" t="s">
        <v>1939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2039</v>
      </c>
      <c r="AE47" s="196" t="s">
        <v>1787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2036</v>
      </c>
      <c r="C48" s="209" t="s">
        <v>2212</v>
      </c>
      <c r="D48" s="209" t="s">
        <v>1084</v>
      </c>
      <c r="E48" s="209" t="s">
        <v>1811</v>
      </c>
      <c r="F48" s="209" t="s">
        <v>1321</v>
      </c>
      <c r="G48" s="209" t="s">
        <v>1293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2039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1789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1790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2036</v>
      </c>
      <c r="C49" s="209" t="s">
        <v>2212</v>
      </c>
      <c r="D49" s="209" t="s">
        <v>1296</v>
      </c>
      <c r="E49" s="209" t="s">
        <v>1805</v>
      </c>
      <c r="F49" s="209" t="s">
        <v>1315</v>
      </c>
      <c r="G49" s="209" t="s">
        <v>1316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2039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1789</v>
      </c>
      <c r="BG49" s="117"/>
      <c r="BH49" s="155"/>
      <c r="BI49" s="216"/>
      <c r="BJ49" s="229" t="s">
        <v>1935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1790</v>
      </c>
      <c r="BZ49" s="117" t="s">
        <v>1317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2036</v>
      </c>
      <c r="C50" s="209" t="s">
        <v>2212</v>
      </c>
      <c r="D50" s="209" t="s">
        <v>1296</v>
      </c>
      <c r="E50" s="209" t="s">
        <v>1816</v>
      </c>
      <c r="F50" s="209" t="s">
        <v>1318</v>
      </c>
      <c r="G50" s="209" t="s">
        <v>1319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2039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1789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1790</v>
      </c>
      <c r="BZ50" s="117" t="s">
        <v>1022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2036</v>
      </c>
      <c r="C51" s="199" t="s">
        <v>2212</v>
      </c>
      <c r="D51" s="199" t="s">
        <v>1296</v>
      </c>
      <c r="E51" s="199" t="s">
        <v>1807</v>
      </c>
      <c r="F51" s="199" t="s">
        <v>1320</v>
      </c>
      <c r="G51" s="199" t="s">
        <v>1096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2039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1789</v>
      </c>
      <c r="BG51" s="141"/>
      <c r="BH51" s="152"/>
      <c r="BI51" s="207"/>
      <c r="BJ51" s="207"/>
      <c r="BK51" s="207"/>
      <c r="BL51" s="153" t="s">
        <v>1932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1790</v>
      </c>
      <c r="BZ51" s="141" t="s">
        <v>1063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2036</v>
      </c>
      <c r="C52" s="209" t="s">
        <v>2212</v>
      </c>
      <c r="D52" s="209" t="s">
        <v>1296</v>
      </c>
      <c r="E52" s="209" t="s">
        <v>1809</v>
      </c>
      <c r="F52" s="209" t="s">
        <v>1322</v>
      </c>
      <c r="G52" s="209" t="s">
        <v>1323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2039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1789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1790</v>
      </c>
      <c r="BZ52" s="117" t="s">
        <v>1022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2036</v>
      </c>
      <c r="C53" s="209" t="s">
        <v>2212</v>
      </c>
      <c r="D53" s="209" t="s">
        <v>1296</v>
      </c>
      <c r="E53" s="209" t="s">
        <v>1812</v>
      </c>
      <c r="F53" s="209" t="s">
        <v>1324</v>
      </c>
      <c r="G53" s="209" t="s">
        <v>1325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2039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1789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1790</v>
      </c>
      <c r="BZ53" s="117" t="s">
        <v>1022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2036</v>
      </c>
      <c r="C54" s="209" t="s">
        <v>2212</v>
      </c>
      <c r="D54" s="209" t="s">
        <v>1296</v>
      </c>
      <c r="E54" s="209" t="s">
        <v>1813</v>
      </c>
      <c r="F54" s="209" t="s">
        <v>1326</v>
      </c>
      <c r="G54" s="209" t="s">
        <v>1327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2039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1789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1790</v>
      </c>
      <c r="BZ54" s="117" t="s">
        <v>1303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2036</v>
      </c>
      <c r="C55" s="209" t="s">
        <v>2212</v>
      </c>
      <c r="D55" s="209" t="s">
        <v>1296</v>
      </c>
      <c r="E55" s="209" t="s">
        <v>1941</v>
      </c>
      <c r="F55" s="209" t="s">
        <v>1328</v>
      </c>
      <c r="G55" s="209" t="s">
        <v>1329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2039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1789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1790</v>
      </c>
      <c r="BZ55" s="117" t="s">
        <v>1303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2042</v>
      </c>
      <c r="C56" s="177" t="s">
        <v>2213</v>
      </c>
      <c r="D56" s="177" t="s">
        <v>2043</v>
      </c>
      <c r="E56" s="177"/>
      <c r="F56" s="177"/>
      <c r="G56" s="177" t="s">
        <v>2044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2039</v>
      </c>
      <c r="AE56" s="162" t="s">
        <v>143</v>
      </c>
      <c r="AF56" s="181" t="s">
        <v>1783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2042</v>
      </c>
      <c r="C57" s="187" t="s">
        <v>2172</v>
      </c>
      <c r="D57" s="187"/>
      <c r="E57" s="187"/>
      <c r="F57" s="187"/>
      <c r="G57" s="187" t="s">
        <v>1946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0.57894736842105265</v>
      </c>
      <c r="Y57" s="192"/>
      <c r="Z57" s="192"/>
      <c r="AA57" s="192"/>
      <c r="AB57" s="192"/>
      <c r="AC57" s="194" t="s">
        <v>196</v>
      </c>
      <c r="AD57" s="195" t="s">
        <v>2039</v>
      </c>
      <c r="AE57" s="196" t="s">
        <v>1787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2042</v>
      </c>
      <c r="C58" s="209" t="s">
        <v>2172</v>
      </c>
      <c r="D58" s="209" t="s">
        <v>1084</v>
      </c>
      <c r="E58" s="209" t="s">
        <v>1788</v>
      </c>
      <c r="F58" s="209" t="s">
        <v>1394</v>
      </c>
      <c r="G58" s="209" t="s">
        <v>1395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2039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1789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1790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2042</v>
      </c>
      <c r="C59" s="199" t="s">
        <v>2172</v>
      </c>
      <c r="D59" s="199" t="s">
        <v>1084</v>
      </c>
      <c r="E59" s="199" t="s">
        <v>1791</v>
      </c>
      <c r="F59" s="199" t="s">
        <v>1396</v>
      </c>
      <c r="G59" s="199" t="s">
        <v>1397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2039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1789</v>
      </c>
      <c r="BG59" s="141"/>
      <c r="BH59" s="152"/>
      <c r="BI59" s="207"/>
      <c r="BJ59" s="230" t="s">
        <v>1940</v>
      </c>
      <c r="BK59" s="230"/>
      <c r="BL59" s="153" t="s">
        <v>1932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1790</v>
      </c>
      <c r="BZ59" s="141" t="s">
        <v>1398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2042</v>
      </c>
      <c r="C60" s="209" t="s">
        <v>2172</v>
      </c>
      <c r="D60" s="209" t="s">
        <v>1084</v>
      </c>
      <c r="E60" s="209" t="s">
        <v>1947</v>
      </c>
      <c r="F60" s="209" t="s">
        <v>1399</v>
      </c>
      <c r="G60" s="209" t="s">
        <v>1397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2039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1789</v>
      </c>
      <c r="BG60" s="117"/>
      <c r="BH60" s="155"/>
      <c r="BI60" s="216"/>
      <c r="BJ60" s="229" t="s">
        <v>1948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1790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2042</v>
      </c>
      <c r="C61" s="209" t="s">
        <v>2172</v>
      </c>
      <c r="D61" s="209" t="s">
        <v>1084</v>
      </c>
      <c r="E61" s="209" t="s">
        <v>1792</v>
      </c>
      <c r="F61" s="209" t="s">
        <v>1400</v>
      </c>
      <c r="G61" s="209" t="s">
        <v>1397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2039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1789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1790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2042</v>
      </c>
      <c r="C62" s="209" t="s">
        <v>2172</v>
      </c>
      <c r="D62" s="209" t="s">
        <v>1084</v>
      </c>
      <c r="E62" s="209" t="s">
        <v>1949</v>
      </c>
      <c r="F62" s="209" t="s">
        <v>1401</v>
      </c>
      <c r="G62" s="209" t="s">
        <v>1397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2039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1789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1790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2042</v>
      </c>
      <c r="C63" s="209" t="s">
        <v>2172</v>
      </c>
      <c r="D63" s="209" t="s">
        <v>1296</v>
      </c>
      <c r="E63" s="209" t="s">
        <v>1793</v>
      </c>
      <c r="F63" s="209" t="s">
        <v>1402</v>
      </c>
      <c r="G63" s="209" t="s">
        <v>1157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2039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1789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1790</v>
      </c>
      <c r="BZ63" s="117" t="s">
        <v>1303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2042</v>
      </c>
      <c r="C64" s="209" t="s">
        <v>2172</v>
      </c>
      <c r="D64" s="209" t="s">
        <v>1296</v>
      </c>
      <c r="E64" s="209" t="s">
        <v>1794</v>
      </c>
      <c r="F64" s="209" t="s">
        <v>1403</v>
      </c>
      <c r="G64" s="209" t="s">
        <v>1163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2039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1789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1790</v>
      </c>
      <c r="BZ64" s="117" t="s">
        <v>989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2042</v>
      </c>
      <c r="C65" s="209" t="s">
        <v>2172</v>
      </c>
      <c r="D65" s="209" t="s">
        <v>1296</v>
      </c>
      <c r="E65" s="209" t="s">
        <v>1795</v>
      </c>
      <c r="F65" s="209" t="s">
        <v>1404</v>
      </c>
      <c r="G65" s="209" t="s">
        <v>1090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2039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1789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1790</v>
      </c>
      <c r="BZ65" s="117" t="s">
        <v>989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2042</v>
      </c>
      <c r="C66" s="209" t="s">
        <v>2172</v>
      </c>
      <c r="D66" s="209" t="s">
        <v>1296</v>
      </c>
      <c r="E66" s="209" t="s">
        <v>1796</v>
      </c>
      <c r="F66" s="209" t="s">
        <v>1405</v>
      </c>
      <c r="G66" s="209" t="s">
        <v>1406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2039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1789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1790</v>
      </c>
      <c r="BZ66" s="117" t="s">
        <v>1022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2042</v>
      </c>
      <c r="C67" s="209" t="s">
        <v>2172</v>
      </c>
      <c r="D67" s="209" t="s">
        <v>1296</v>
      </c>
      <c r="E67" s="209" t="s">
        <v>1797</v>
      </c>
      <c r="F67" s="209" t="s">
        <v>1407</v>
      </c>
      <c r="G67" s="209" t="s">
        <v>1408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2039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1789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1790</v>
      </c>
      <c r="BZ67" s="117" t="s">
        <v>1022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2042</v>
      </c>
      <c r="C68" s="209" t="s">
        <v>2172</v>
      </c>
      <c r="D68" s="209" t="s">
        <v>1076</v>
      </c>
      <c r="E68" s="209" t="s">
        <v>1802</v>
      </c>
      <c r="F68" s="209" t="s">
        <v>1393</v>
      </c>
      <c r="G68" s="209" t="s">
        <v>1075</v>
      </c>
      <c r="H68" s="210">
        <v>812</v>
      </c>
      <c r="I68" s="211" t="s">
        <v>1077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2039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1789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1790</v>
      </c>
      <c r="BZ68" s="117" t="s">
        <v>1289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2042</v>
      </c>
      <c r="C69" s="187" t="s">
        <v>2174</v>
      </c>
      <c r="D69" s="187"/>
      <c r="E69" s="187"/>
      <c r="F69" s="187"/>
      <c r="G69" s="187" t="s">
        <v>1950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2039</v>
      </c>
      <c r="AE69" s="196" t="s">
        <v>1787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2042</v>
      </c>
      <c r="C70" s="209" t="s">
        <v>2174</v>
      </c>
      <c r="D70" s="209" t="s">
        <v>1084</v>
      </c>
      <c r="E70" s="209" t="s">
        <v>1798</v>
      </c>
      <c r="F70" s="209" t="s">
        <v>1445</v>
      </c>
      <c r="G70" s="209" t="s">
        <v>1429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2039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1789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1790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2042</v>
      </c>
      <c r="C71" s="199" t="s">
        <v>2174</v>
      </c>
      <c r="D71" s="199" t="s">
        <v>1084</v>
      </c>
      <c r="E71" s="199" t="s">
        <v>1799</v>
      </c>
      <c r="F71" s="199" t="s">
        <v>1441</v>
      </c>
      <c r="G71" s="199" t="s">
        <v>1410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2039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1789</v>
      </c>
      <c r="BG71" s="141"/>
      <c r="BH71" s="141"/>
      <c r="BI71" s="153"/>
      <c r="BJ71" s="153"/>
      <c r="BK71" s="153"/>
      <c r="BL71" s="153" t="s">
        <v>1932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1790</v>
      </c>
      <c r="BZ71" s="141" t="s">
        <v>1398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2042</v>
      </c>
      <c r="C72" s="209" t="s">
        <v>2174</v>
      </c>
      <c r="D72" s="209" t="s">
        <v>1084</v>
      </c>
      <c r="E72" s="209" t="s">
        <v>1800</v>
      </c>
      <c r="F72" s="209" t="s">
        <v>1442</v>
      </c>
      <c r="G72" s="209" t="s">
        <v>1412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2039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1789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1790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2042</v>
      </c>
      <c r="C73" s="209" t="s">
        <v>2174</v>
      </c>
      <c r="D73" s="209" t="s">
        <v>1296</v>
      </c>
      <c r="E73" s="209" t="s">
        <v>1801</v>
      </c>
      <c r="F73" s="209" t="s">
        <v>1443</v>
      </c>
      <c r="G73" s="209" t="s">
        <v>1414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2039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1789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1790</v>
      </c>
      <c r="BZ73" s="117" t="s">
        <v>1022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2042</v>
      </c>
      <c r="C74" s="209" t="s">
        <v>2174</v>
      </c>
      <c r="D74" s="209" t="s">
        <v>1296</v>
      </c>
      <c r="E74" s="209" t="s">
        <v>1815</v>
      </c>
      <c r="F74" s="209" t="s">
        <v>1444</v>
      </c>
      <c r="G74" s="209" t="s">
        <v>1416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2039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1789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1790</v>
      </c>
      <c r="BZ74" s="117" t="s">
        <v>1022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2042</v>
      </c>
      <c r="C75" s="187" t="s">
        <v>2175</v>
      </c>
      <c r="D75" s="187"/>
      <c r="E75" s="187"/>
      <c r="F75" s="187"/>
      <c r="G75" s="187" t="s">
        <v>1951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0.64102564102564108</v>
      </c>
      <c r="Y75" s="192"/>
      <c r="Z75" s="192"/>
      <c r="AA75" s="192"/>
      <c r="AB75" s="192"/>
      <c r="AC75" s="194" t="s">
        <v>196</v>
      </c>
      <c r="AD75" s="195" t="s">
        <v>2039</v>
      </c>
      <c r="AE75" s="196" t="s">
        <v>1787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2042</v>
      </c>
      <c r="C76" s="209" t="s">
        <v>2175</v>
      </c>
      <c r="D76" s="209" t="s">
        <v>1084</v>
      </c>
      <c r="E76" s="209" t="s">
        <v>1805</v>
      </c>
      <c r="F76" s="209" t="s">
        <v>1430</v>
      </c>
      <c r="G76" s="209" t="s">
        <v>1088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2039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1789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1790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2042</v>
      </c>
      <c r="C77" s="199" t="s">
        <v>2175</v>
      </c>
      <c r="D77" s="199" t="s">
        <v>1084</v>
      </c>
      <c r="E77" s="199" t="s">
        <v>1816</v>
      </c>
      <c r="F77" s="199" t="s">
        <v>1431</v>
      </c>
      <c r="G77" s="199" t="s">
        <v>1432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2039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1789</v>
      </c>
      <c r="BG77" s="141"/>
      <c r="BH77" s="141"/>
      <c r="BI77" s="153"/>
      <c r="BJ77" s="153"/>
      <c r="BK77" s="153"/>
      <c r="BL77" s="153" t="s">
        <v>1932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1790</v>
      </c>
      <c r="BZ77" s="141" t="s">
        <v>1398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2042</v>
      </c>
      <c r="C78" s="209" t="s">
        <v>2175</v>
      </c>
      <c r="D78" s="209" t="s">
        <v>1084</v>
      </c>
      <c r="E78" s="209" t="s">
        <v>1817</v>
      </c>
      <c r="F78" s="209" t="s">
        <v>1433</v>
      </c>
      <c r="G78" s="209" t="s">
        <v>1434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2039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1789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1790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2042</v>
      </c>
      <c r="C79" s="209" t="s">
        <v>2175</v>
      </c>
      <c r="D79" s="209" t="s">
        <v>1296</v>
      </c>
      <c r="E79" s="209" t="s">
        <v>1806</v>
      </c>
      <c r="F79" s="209" t="s">
        <v>1435</v>
      </c>
      <c r="G79" s="209" t="s">
        <v>1436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2039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1789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1790</v>
      </c>
      <c r="BZ79" s="117" t="s">
        <v>1022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2042</v>
      </c>
      <c r="C80" s="209" t="s">
        <v>2175</v>
      </c>
      <c r="D80" s="209" t="s">
        <v>1296</v>
      </c>
      <c r="E80" s="209" t="s">
        <v>1807</v>
      </c>
      <c r="F80" s="209" t="s">
        <v>1437</v>
      </c>
      <c r="G80" s="209" t="s">
        <v>1438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2039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1789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1790</v>
      </c>
      <c r="BZ80" s="117" t="s">
        <v>1022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2042</v>
      </c>
      <c r="C81" s="209" t="s">
        <v>2175</v>
      </c>
      <c r="D81" s="209" t="s">
        <v>1296</v>
      </c>
      <c r="E81" s="209" t="s">
        <v>1818</v>
      </c>
      <c r="F81" s="209" t="s">
        <v>1439</v>
      </c>
      <c r="G81" s="209" t="s">
        <v>1125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2039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1789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1790</v>
      </c>
      <c r="BZ81" s="117" t="s">
        <v>1303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2042</v>
      </c>
      <c r="C82" s="209" t="s">
        <v>2175</v>
      </c>
      <c r="D82" s="209" t="s">
        <v>1296</v>
      </c>
      <c r="E82" s="209" t="s">
        <v>1819</v>
      </c>
      <c r="F82" s="209" t="s">
        <v>1440</v>
      </c>
      <c r="G82" s="209" t="s">
        <v>1123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2039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1789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1790</v>
      </c>
      <c r="BZ82" s="117" t="s">
        <v>1307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2042</v>
      </c>
      <c r="C83" s="187" t="s">
        <v>2214</v>
      </c>
      <c r="D83" s="187"/>
      <c r="E83" s="187"/>
      <c r="F83" s="187"/>
      <c r="G83" s="187" t="s">
        <v>2045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2039</v>
      </c>
      <c r="AE83" s="196" t="s">
        <v>1787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2042</v>
      </c>
      <c r="C84" s="209" t="s">
        <v>2214</v>
      </c>
      <c r="D84" s="209" t="s">
        <v>1084</v>
      </c>
      <c r="E84" s="209" t="s">
        <v>1798</v>
      </c>
      <c r="F84" s="209" t="s">
        <v>1428</v>
      </c>
      <c r="G84" s="209" t="s">
        <v>1429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2039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1789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1790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2042</v>
      </c>
      <c r="C85" s="199" t="s">
        <v>2214</v>
      </c>
      <c r="D85" s="199" t="s">
        <v>1084</v>
      </c>
      <c r="E85" s="199" t="s">
        <v>1799</v>
      </c>
      <c r="F85" s="199" t="s">
        <v>1409</v>
      </c>
      <c r="G85" s="199" t="s">
        <v>1410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2039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1789</v>
      </c>
      <c r="BG85" s="141"/>
      <c r="BH85" s="141"/>
      <c r="BI85" s="153"/>
      <c r="BJ85" s="153"/>
      <c r="BK85" s="153"/>
      <c r="BL85" s="153" t="s">
        <v>1932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1790</v>
      </c>
      <c r="BZ85" s="141" t="s">
        <v>1398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2042</v>
      </c>
      <c r="C86" s="209" t="s">
        <v>2214</v>
      </c>
      <c r="D86" s="209" t="s">
        <v>1084</v>
      </c>
      <c r="E86" s="209" t="s">
        <v>1800</v>
      </c>
      <c r="F86" s="209" t="s">
        <v>1411</v>
      </c>
      <c r="G86" s="209" t="s">
        <v>1412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2039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1789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1790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2042</v>
      </c>
      <c r="C87" s="199" t="s">
        <v>2214</v>
      </c>
      <c r="D87" s="199" t="s">
        <v>1296</v>
      </c>
      <c r="E87" s="199" t="s">
        <v>1801</v>
      </c>
      <c r="F87" s="199" t="s">
        <v>1413</v>
      </c>
      <c r="G87" s="199" t="s">
        <v>1414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2039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1789</v>
      </c>
      <c r="BG87" s="141"/>
      <c r="BH87" s="152"/>
      <c r="BI87" s="207"/>
      <c r="BJ87" s="207"/>
      <c r="BK87" s="207"/>
      <c r="BL87" s="153" t="s">
        <v>1932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1790</v>
      </c>
      <c r="BZ87" s="141" t="s">
        <v>1022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2042</v>
      </c>
      <c r="C88" s="199" t="s">
        <v>2214</v>
      </c>
      <c r="D88" s="199" t="s">
        <v>1296</v>
      </c>
      <c r="E88" s="199" t="s">
        <v>1815</v>
      </c>
      <c r="F88" s="199" t="s">
        <v>1415</v>
      </c>
      <c r="G88" s="199" t="s">
        <v>1416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2039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1789</v>
      </c>
      <c r="BG88" s="141"/>
      <c r="BH88" s="152"/>
      <c r="BI88" s="207"/>
      <c r="BJ88" s="207"/>
      <c r="BK88" s="207"/>
      <c r="BL88" s="153" t="s">
        <v>1932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1790</v>
      </c>
      <c r="BZ88" s="141" t="s">
        <v>1022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2042</v>
      </c>
      <c r="C89" s="209" t="s">
        <v>2214</v>
      </c>
      <c r="D89" s="209" t="s">
        <v>1296</v>
      </c>
      <c r="E89" s="209" t="s">
        <v>1820</v>
      </c>
      <c r="F89" s="209" t="s">
        <v>1417</v>
      </c>
      <c r="G89" s="209" t="s">
        <v>1418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2039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1789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1790</v>
      </c>
      <c r="BZ89" s="117" t="s">
        <v>1022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2042</v>
      </c>
      <c r="C90" s="209" t="s">
        <v>2214</v>
      </c>
      <c r="D90" s="209" t="s">
        <v>1296</v>
      </c>
      <c r="E90" s="209" t="s">
        <v>1808</v>
      </c>
      <c r="F90" s="209" t="s">
        <v>1419</v>
      </c>
      <c r="G90" s="209" t="s">
        <v>1420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2039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1789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1790</v>
      </c>
      <c r="BZ90" s="117" t="s">
        <v>1022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2042</v>
      </c>
      <c r="C91" s="209" t="s">
        <v>2214</v>
      </c>
      <c r="D91" s="209" t="s">
        <v>1296</v>
      </c>
      <c r="E91" s="209" t="s">
        <v>1811</v>
      </c>
      <c r="F91" s="209" t="s">
        <v>1421</v>
      </c>
      <c r="G91" s="209" t="s">
        <v>1422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2039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1789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1790</v>
      </c>
      <c r="BZ91" s="117" t="s">
        <v>1303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2042</v>
      </c>
      <c r="C92" s="209" t="s">
        <v>2214</v>
      </c>
      <c r="D92" s="209" t="s">
        <v>1296</v>
      </c>
      <c r="E92" s="209" t="s">
        <v>1821</v>
      </c>
      <c r="F92" s="209" t="s">
        <v>1423</v>
      </c>
      <c r="G92" s="209" t="s">
        <v>1424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2039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1789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1790</v>
      </c>
      <c r="BZ92" s="117" t="s">
        <v>1022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2042</v>
      </c>
      <c r="C93" s="209" t="s">
        <v>2214</v>
      </c>
      <c r="D93" s="209" t="s">
        <v>1296</v>
      </c>
      <c r="E93" s="209" t="s">
        <v>1822</v>
      </c>
      <c r="F93" s="209" t="s">
        <v>1425</v>
      </c>
      <c r="G93" s="209" t="s">
        <v>1426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2039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1789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1790</v>
      </c>
      <c r="BZ93" s="117" t="s">
        <v>1022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2042</v>
      </c>
      <c r="C94" s="209" t="s">
        <v>2214</v>
      </c>
      <c r="D94" s="209" t="s">
        <v>1296</v>
      </c>
      <c r="E94" s="209" t="s">
        <v>1809</v>
      </c>
      <c r="F94" s="209" t="s">
        <v>1427</v>
      </c>
      <c r="G94" s="209" t="s">
        <v>1327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2039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1789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1790</v>
      </c>
      <c r="BZ94" s="117" t="s">
        <v>1303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2046</v>
      </c>
      <c r="C95" s="177" t="s">
        <v>2215</v>
      </c>
      <c r="D95" s="177" t="s">
        <v>2047</v>
      </c>
      <c r="E95" s="177"/>
      <c r="F95" s="177"/>
      <c r="G95" s="177" t="s">
        <v>2048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2039</v>
      </c>
      <c r="AE95" s="162" t="s">
        <v>143</v>
      </c>
      <c r="AF95" s="181" t="s">
        <v>1783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2046</v>
      </c>
      <c r="C96" s="187" t="s">
        <v>2178</v>
      </c>
      <c r="D96" s="187"/>
      <c r="E96" s="187"/>
      <c r="F96" s="187"/>
      <c r="G96" s="187" t="s">
        <v>1956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0.64516129032258063</v>
      </c>
      <c r="Y96" s="192"/>
      <c r="Z96" s="192"/>
      <c r="AA96" s="192"/>
      <c r="AB96" s="192"/>
      <c r="AC96" s="194" t="s">
        <v>196</v>
      </c>
      <c r="AD96" s="195" t="s">
        <v>2039</v>
      </c>
      <c r="AE96" s="196" t="s">
        <v>1787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2046</v>
      </c>
      <c r="C97" s="209" t="s">
        <v>2178</v>
      </c>
      <c r="D97" s="209" t="s">
        <v>1084</v>
      </c>
      <c r="E97" s="209" t="s">
        <v>1788</v>
      </c>
      <c r="F97" s="209" t="s">
        <v>1476</v>
      </c>
      <c r="G97" s="209" t="s">
        <v>1477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2039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1789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1790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2046</v>
      </c>
      <c r="C98" s="199" t="s">
        <v>2178</v>
      </c>
      <c r="D98" s="199" t="s">
        <v>1296</v>
      </c>
      <c r="E98" s="199" t="s">
        <v>1791</v>
      </c>
      <c r="F98" s="199" t="s">
        <v>1485</v>
      </c>
      <c r="G98" s="199" t="s">
        <v>1228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2039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1789</v>
      </c>
      <c r="BG98" s="141"/>
      <c r="BH98" s="152"/>
      <c r="BI98" s="207"/>
      <c r="BJ98" s="207"/>
      <c r="BK98" s="207"/>
      <c r="BL98" s="153" t="s">
        <v>1932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1790</v>
      </c>
      <c r="BZ98" s="141" t="s">
        <v>1063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2046</v>
      </c>
      <c r="C99" s="209" t="s">
        <v>2178</v>
      </c>
      <c r="D99" s="209" t="s">
        <v>1296</v>
      </c>
      <c r="E99" s="209" t="s">
        <v>1792</v>
      </c>
      <c r="F99" s="209" t="s">
        <v>1486</v>
      </c>
      <c r="G99" s="209" t="s">
        <v>1487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2039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1789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1790</v>
      </c>
      <c r="BZ99" s="117" t="s">
        <v>1307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2046</v>
      </c>
      <c r="C100" s="209" t="s">
        <v>2178</v>
      </c>
      <c r="D100" s="209" t="s">
        <v>1296</v>
      </c>
      <c r="E100" s="209" t="s">
        <v>1793</v>
      </c>
      <c r="F100" s="209" t="s">
        <v>1488</v>
      </c>
      <c r="G100" s="209" t="s">
        <v>1489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2039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1789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1790</v>
      </c>
      <c r="BZ100" s="117" t="s">
        <v>1307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2046</v>
      </c>
      <c r="C101" s="209" t="s">
        <v>2178</v>
      </c>
      <c r="D101" s="209" t="s">
        <v>1296</v>
      </c>
      <c r="E101" s="209" t="s">
        <v>1957</v>
      </c>
      <c r="F101" s="209" t="s">
        <v>1490</v>
      </c>
      <c r="G101" s="209" t="s">
        <v>1489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2039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1789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1790</v>
      </c>
      <c r="BZ101" s="117" t="s">
        <v>1307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2046</v>
      </c>
      <c r="C102" s="209" t="s">
        <v>2178</v>
      </c>
      <c r="D102" s="209" t="s">
        <v>1296</v>
      </c>
      <c r="E102" s="209" t="s">
        <v>1794</v>
      </c>
      <c r="F102" s="209" t="s">
        <v>1491</v>
      </c>
      <c r="G102" s="209" t="s">
        <v>1199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2039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1789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1790</v>
      </c>
      <c r="BZ102" s="117" t="s">
        <v>1060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2046</v>
      </c>
      <c r="C103" s="209" t="s">
        <v>2178</v>
      </c>
      <c r="D103" s="209" t="s">
        <v>1296</v>
      </c>
      <c r="E103" s="209" t="s">
        <v>1795</v>
      </c>
      <c r="F103" s="209" t="s">
        <v>1492</v>
      </c>
      <c r="G103" s="209" t="s">
        <v>1493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2039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1789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1790</v>
      </c>
      <c r="BZ103" s="117" t="s">
        <v>1063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2046</v>
      </c>
      <c r="C104" s="199" t="s">
        <v>2178</v>
      </c>
      <c r="D104" s="199" t="s">
        <v>1084</v>
      </c>
      <c r="E104" s="199" t="s">
        <v>1796</v>
      </c>
      <c r="F104" s="199" t="s">
        <v>1494</v>
      </c>
      <c r="G104" s="199" t="s">
        <v>1495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2039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1789</v>
      </c>
      <c r="BG104" s="141"/>
      <c r="BH104" s="152"/>
      <c r="BI104" s="207"/>
      <c r="BJ104" s="207"/>
      <c r="BK104" s="207"/>
      <c r="BL104" s="153" t="s">
        <v>1932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1790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2046</v>
      </c>
      <c r="C105" s="209" t="s">
        <v>2178</v>
      </c>
      <c r="D105" s="209" t="s">
        <v>1296</v>
      </c>
      <c r="E105" s="209" t="s">
        <v>1797</v>
      </c>
      <c r="F105" s="209" t="s">
        <v>1496</v>
      </c>
      <c r="G105" s="209" t="s">
        <v>1497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2039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1789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1790</v>
      </c>
      <c r="BZ105" s="117" t="s">
        <v>1063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2046</v>
      </c>
      <c r="C106" s="209" t="s">
        <v>2178</v>
      </c>
      <c r="D106" s="209" t="s">
        <v>1076</v>
      </c>
      <c r="E106" s="209" t="s">
        <v>1798</v>
      </c>
      <c r="F106" s="209" t="s">
        <v>1498</v>
      </c>
      <c r="G106" s="209" t="s">
        <v>1157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2039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1789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1790</v>
      </c>
      <c r="BZ106" s="117" t="s">
        <v>1303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2046</v>
      </c>
      <c r="C107" s="209" t="s">
        <v>2178</v>
      </c>
      <c r="D107" s="209" t="s">
        <v>1084</v>
      </c>
      <c r="E107" s="209" t="s">
        <v>1799</v>
      </c>
      <c r="F107" s="209" t="s">
        <v>1478</v>
      </c>
      <c r="G107" s="209" t="s">
        <v>1479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2039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1789</v>
      </c>
      <c r="BG107" s="117"/>
      <c r="BH107" s="155"/>
      <c r="BI107" s="230" t="s">
        <v>1958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1790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2046</v>
      </c>
      <c r="C108" s="209" t="s">
        <v>2178</v>
      </c>
      <c r="D108" s="209" t="s">
        <v>1084</v>
      </c>
      <c r="E108" s="209" t="s">
        <v>1836</v>
      </c>
      <c r="F108" s="209" t="s">
        <v>1480</v>
      </c>
      <c r="G108" s="209" t="s">
        <v>1479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2039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1789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1790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2046</v>
      </c>
      <c r="C109" s="209" t="s">
        <v>2178</v>
      </c>
      <c r="D109" s="209" t="s">
        <v>1296</v>
      </c>
      <c r="E109" s="209" t="s">
        <v>1800</v>
      </c>
      <c r="F109" s="209" t="s">
        <v>1481</v>
      </c>
      <c r="G109" s="209" t="s">
        <v>1482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2039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1789</v>
      </c>
      <c r="BG109" s="117"/>
      <c r="BH109" s="155"/>
      <c r="BI109" s="216"/>
      <c r="BJ109" s="229" t="s">
        <v>1959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1790</v>
      </c>
      <c r="BZ109" s="117" t="s">
        <v>1022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2046</v>
      </c>
      <c r="C110" s="209" t="s">
        <v>2178</v>
      </c>
      <c r="D110" s="209" t="s">
        <v>1296</v>
      </c>
      <c r="E110" s="209" t="s">
        <v>1930</v>
      </c>
      <c r="F110" s="209" t="s">
        <v>1483</v>
      </c>
      <c r="G110" s="209" t="s">
        <v>1482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2039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1789</v>
      </c>
      <c r="BG110" s="117"/>
      <c r="BH110" s="155"/>
      <c r="BI110" s="216"/>
      <c r="BJ110" s="229" t="s">
        <v>1931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1790</v>
      </c>
      <c r="BZ110" s="117" t="s">
        <v>1022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2046</v>
      </c>
      <c r="C111" s="209" t="s">
        <v>2178</v>
      </c>
      <c r="D111" s="209" t="s">
        <v>1296</v>
      </c>
      <c r="E111" s="209" t="s">
        <v>1801</v>
      </c>
      <c r="F111" s="209" t="s">
        <v>1484</v>
      </c>
      <c r="G111" s="209" t="s">
        <v>1163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2039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1789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1790</v>
      </c>
      <c r="BZ111" s="117" t="s">
        <v>989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2046</v>
      </c>
      <c r="C112" s="209" t="s">
        <v>2178</v>
      </c>
      <c r="D112" s="209" t="s">
        <v>1076</v>
      </c>
      <c r="E112" s="209" t="s">
        <v>1802</v>
      </c>
      <c r="F112" s="209" t="s">
        <v>1475</v>
      </c>
      <c r="G112" s="209" t="s">
        <v>1075</v>
      </c>
      <c r="H112" s="210">
        <v>812</v>
      </c>
      <c r="I112" s="211" t="s">
        <v>1077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2039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1789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1790</v>
      </c>
      <c r="BZ112" s="117" t="s">
        <v>1289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2046</v>
      </c>
      <c r="C113" s="187" t="s">
        <v>2180</v>
      </c>
      <c r="D113" s="187"/>
      <c r="E113" s="187"/>
      <c r="F113" s="187"/>
      <c r="G113" s="187" t="s">
        <v>1960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0.7</v>
      </c>
      <c r="Y113" s="192"/>
      <c r="Z113" s="192"/>
      <c r="AA113" s="192"/>
      <c r="AB113" s="192"/>
      <c r="AC113" s="194" t="s">
        <v>196</v>
      </c>
      <c r="AD113" s="195" t="s">
        <v>2039</v>
      </c>
      <c r="AE113" s="196" t="s">
        <v>1787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2046</v>
      </c>
      <c r="C114" s="209" t="s">
        <v>2180</v>
      </c>
      <c r="D114" s="209" t="s">
        <v>1084</v>
      </c>
      <c r="E114" s="209" t="s">
        <v>1788</v>
      </c>
      <c r="F114" s="209" t="s">
        <v>1530</v>
      </c>
      <c r="G114" s="209" t="s">
        <v>1477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2039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1789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1790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2046</v>
      </c>
      <c r="C115" s="209" t="s">
        <v>2180</v>
      </c>
      <c r="D115" s="209" t="s">
        <v>1296</v>
      </c>
      <c r="E115" s="209" t="s">
        <v>1795</v>
      </c>
      <c r="F115" s="209" t="s">
        <v>1536</v>
      </c>
      <c r="G115" s="209" t="s">
        <v>1493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2039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1789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1790</v>
      </c>
      <c r="BZ115" s="117" t="s">
        <v>1063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2046</v>
      </c>
      <c r="C116" s="209" t="s">
        <v>2180</v>
      </c>
      <c r="D116" s="209" t="s">
        <v>1296</v>
      </c>
      <c r="E116" s="209" t="s">
        <v>1815</v>
      </c>
      <c r="F116" s="209" t="s">
        <v>1531</v>
      </c>
      <c r="G116" s="209" t="s">
        <v>1501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2039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1789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1790</v>
      </c>
      <c r="BZ116" s="117" t="s">
        <v>1063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2046</v>
      </c>
      <c r="C117" s="209" t="s">
        <v>2180</v>
      </c>
      <c r="D117" s="209" t="s">
        <v>1296</v>
      </c>
      <c r="E117" s="209" t="s">
        <v>1805</v>
      </c>
      <c r="F117" s="209" t="s">
        <v>1532</v>
      </c>
      <c r="G117" s="209" t="s">
        <v>1503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2039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1789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1790</v>
      </c>
      <c r="BZ117" s="117" t="s">
        <v>1307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2046</v>
      </c>
      <c r="C118" s="209" t="s">
        <v>2180</v>
      </c>
      <c r="D118" s="209" t="s">
        <v>1084</v>
      </c>
      <c r="E118" s="209" t="s">
        <v>1816</v>
      </c>
      <c r="F118" s="209" t="s">
        <v>1533</v>
      </c>
      <c r="G118" s="209" t="s">
        <v>1505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2039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1789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1790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2046</v>
      </c>
      <c r="C119" s="209" t="s">
        <v>2180</v>
      </c>
      <c r="D119" s="209" t="s">
        <v>1084</v>
      </c>
      <c r="E119" s="209" t="s">
        <v>1817</v>
      </c>
      <c r="F119" s="209" t="s">
        <v>1534</v>
      </c>
      <c r="G119" s="209" t="s">
        <v>1495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2039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1789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1790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2046</v>
      </c>
      <c r="C120" s="209" t="s">
        <v>2180</v>
      </c>
      <c r="D120" s="209" t="s">
        <v>1296</v>
      </c>
      <c r="E120" s="209" t="s">
        <v>1806</v>
      </c>
      <c r="F120" s="209" t="s">
        <v>1535</v>
      </c>
      <c r="G120" s="209" t="s">
        <v>1508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2039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1789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1790</v>
      </c>
      <c r="BZ120" s="117" t="s">
        <v>1022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2046</v>
      </c>
      <c r="C121" s="187" t="s">
        <v>2181</v>
      </c>
      <c r="D121" s="187"/>
      <c r="E121" s="187"/>
      <c r="F121" s="187"/>
      <c r="G121" s="187" t="s">
        <v>1961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0.61538461538461542</v>
      </c>
      <c r="Y121" s="192"/>
      <c r="Z121" s="192"/>
      <c r="AA121" s="192"/>
      <c r="AB121" s="192"/>
      <c r="AC121" s="194" t="s">
        <v>196</v>
      </c>
      <c r="AD121" s="195" t="s">
        <v>2039</v>
      </c>
      <c r="AE121" s="196" t="s">
        <v>1787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2046</v>
      </c>
      <c r="C122" s="209" t="s">
        <v>2181</v>
      </c>
      <c r="D122" s="209" t="s">
        <v>1084</v>
      </c>
      <c r="E122" s="209" t="s">
        <v>1788</v>
      </c>
      <c r="F122" s="209" t="s">
        <v>1520</v>
      </c>
      <c r="G122" s="209" t="s">
        <v>1477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2039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1789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1790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2046</v>
      </c>
      <c r="C123" s="209" t="s">
        <v>2181</v>
      </c>
      <c r="D123" s="209" t="s">
        <v>1296</v>
      </c>
      <c r="E123" s="209" t="s">
        <v>1795</v>
      </c>
      <c r="F123" s="209" t="s">
        <v>1529</v>
      </c>
      <c r="G123" s="209" t="s">
        <v>1493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2039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1789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1790</v>
      </c>
      <c r="BZ123" s="117" t="s">
        <v>1063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2046</v>
      </c>
      <c r="C124" s="209" t="s">
        <v>2181</v>
      </c>
      <c r="D124" s="209" t="s">
        <v>1084</v>
      </c>
      <c r="E124" s="209" t="s">
        <v>1817</v>
      </c>
      <c r="F124" s="209" t="s">
        <v>1521</v>
      </c>
      <c r="G124" s="209" t="s">
        <v>1495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2039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1789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1790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2046</v>
      </c>
      <c r="C125" s="209" t="s">
        <v>2181</v>
      </c>
      <c r="D125" s="209" t="s">
        <v>1296</v>
      </c>
      <c r="E125" s="209" t="s">
        <v>1806</v>
      </c>
      <c r="F125" s="209" t="s">
        <v>1522</v>
      </c>
      <c r="G125" s="209" t="s">
        <v>1508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2039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1789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1790</v>
      </c>
      <c r="BZ125" s="117" t="s">
        <v>1022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2046</v>
      </c>
      <c r="C126" s="209" t="s">
        <v>2181</v>
      </c>
      <c r="D126" s="209" t="s">
        <v>1296</v>
      </c>
      <c r="E126" s="209" t="s">
        <v>1807</v>
      </c>
      <c r="F126" s="209" t="s">
        <v>1523</v>
      </c>
      <c r="G126" s="209" t="s">
        <v>1524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2039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1789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1790</v>
      </c>
      <c r="BZ126" s="117" t="s">
        <v>1307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2046</v>
      </c>
      <c r="C127" s="209" t="s">
        <v>2181</v>
      </c>
      <c r="D127" s="209" t="s">
        <v>1084</v>
      </c>
      <c r="E127" s="209" t="s">
        <v>1818</v>
      </c>
      <c r="F127" s="209" t="s">
        <v>1525</v>
      </c>
      <c r="G127" s="209" t="s">
        <v>1526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2039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1789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1790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2046</v>
      </c>
      <c r="C128" s="209" t="s">
        <v>2181</v>
      </c>
      <c r="D128" s="209" t="s">
        <v>1296</v>
      </c>
      <c r="E128" s="209" t="s">
        <v>1819</v>
      </c>
      <c r="F128" s="209" t="s">
        <v>1527</v>
      </c>
      <c r="G128" s="209" t="s">
        <v>1125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2039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1789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1790</v>
      </c>
      <c r="BZ128" s="117" t="s">
        <v>1303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2046</v>
      </c>
      <c r="C129" s="209" t="s">
        <v>2181</v>
      </c>
      <c r="D129" s="209" t="s">
        <v>1296</v>
      </c>
      <c r="E129" s="209" t="s">
        <v>1820</v>
      </c>
      <c r="F129" s="209" t="s">
        <v>1528</v>
      </c>
      <c r="G129" s="209" t="s">
        <v>1123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2039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1789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1790</v>
      </c>
      <c r="BZ129" s="117" t="s">
        <v>1307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2046</v>
      </c>
      <c r="C130" s="187" t="s">
        <v>2216</v>
      </c>
      <c r="D130" s="187"/>
      <c r="E130" s="187"/>
      <c r="F130" s="187"/>
      <c r="G130" s="187" t="s">
        <v>2049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2039</v>
      </c>
      <c r="AE130" s="196" t="s">
        <v>1787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2046</v>
      </c>
      <c r="C131" s="209" t="s">
        <v>2216</v>
      </c>
      <c r="D131" s="209" t="s">
        <v>1084</v>
      </c>
      <c r="E131" s="209" t="s">
        <v>1788</v>
      </c>
      <c r="F131" s="209" t="s">
        <v>1499</v>
      </c>
      <c r="G131" s="209" t="s">
        <v>1477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2039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1789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1790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2046</v>
      </c>
      <c r="C132" s="209" t="s">
        <v>2216</v>
      </c>
      <c r="D132" s="209" t="s">
        <v>1296</v>
      </c>
      <c r="E132" s="209" t="s">
        <v>1815</v>
      </c>
      <c r="F132" s="209" t="s">
        <v>1500</v>
      </c>
      <c r="G132" s="209" t="s">
        <v>1501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2039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1789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1790</v>
      </c>
      <c r="BZ132" s="117" t="s">
        <v>1063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2046</v>
      </c>
      <c r="C133" s="209" t="s">
        <v>2216</v>
      </c>
      <c r="D133" s="209" t="s">
        <v>1296</v>
      </c>
      <c r="E133" s="209" t="s">
        <v>1805</v>
      </c>
      <c r="F133" s="209" t="s">
        <v>1502</v>
      </c>
      <c r="G133" s="209" t="s">
        <v>1503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2039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1789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1790</v>
      </c>
      <c r="BZ133" s="117" t="s">
        <v>1307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2046</v>
      </c>
      <c r="C134" s="209" t="s">
        <v>2216</v>
      </c>
      <c r="D134" s="209" t="s">
        <v>1084</v>
      </c>
      <c r="E134" s="209" t="s">
        <v>1816</v>
      </c>
      <c r="F134" s="209" t="s">
        <v>1504</v>
      </c>
      <c r="G134" s="209" t="s">
        <v>1505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2039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1789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1790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2046</v>
      </c>
      <c r="C135" s="209" t="s">
        <v>2216</v>
      </c>
      <c r="D135" s="209" t="s">
        <v>1084</v>
      </c>
      <c r="E135" s="209" t="s">
        <v>1817</v>
      </c>
      <c r="F135" s="209" t="s">
        <v>1506</v>
      </c>
      <c r="G135" s="209" t="s">
        <v>1495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2039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1789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1790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2046</v>
      </c>
      <c r="C136" s="209" t="s">
        <v>2216</v>
      </c>
      <c r="D136" s="209" t="s">
        <v>1296</v>
      </c>
      <c r="E136" s="209" t="s">
        <v>1806</v>
      </c>
      <c r="F136" s="209" t="s">
        <v>1507</v>
      </c>
      <c r="G136" s="209" t="s">
        <v>1508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2039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1789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1790</v>
      </c>
      <c r="BZ136" s="117" t="s">
        <v>1022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2046</v>
      </c>
      <c r="C137" s="209" t="s">
        <v>2216</v>
      </c>
      <c r="D137" s="209" t="s">
        <v>1296</v>
      </c>
      <c r="E137" s="209" t="s">
        <v>1808</v>
      </c>
      <c r="F137" s="209" t="s">
        <v>1509</v>
      </c>
      <c r="G137" s="209" t="s">
        <v>1510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2039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1789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1790</v>
      </c>
      <c r="BZ137" s="117" t="s">
        <v>1063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2046</v>
      </c>
      <c r="C138" s="209" t="s">
        <v>2216</v>
      </c>
      <c r="D138" s="209" t="s">
        <v>1296</v>
      </c>
      <c r="E138" s="209" t="s">
        <v>1811</v>
      </c>
      <c r="F138" s="209" t="s">
        <v>1511</v>
      </c>
      <c r="G138" s="209" t="s">
        <v>1512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2039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1789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1790</v>
      </c>
      <c r="BZ138" s="117" t="s">
        <v>1063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2046</v>
      </c>
      <c r="C139" s="209" t="s">
        <v>2216</v>
      </c>
      <c r="D139" s="209" t="s">
        <v>1296</v>
      </c>
      <c r="E139" s="209" t="s">
        <v>1821</v>
      </c>
      <c r="F139" s="209" t="s">
        <v>1513</v>
      </c>
      <c r="G139" s="209" t="s">
        <v>1514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2039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1789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1790</v>
      </c>
      <c r="BZ139" s="117" t="s">
        <v>1303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2046</v>
      </c>
      <c r="C140" s="209" t="s">
        <v>2216</v>
      </c>
      <c r="D140" s="209" t="s">
        <v>1296</v>
      </c>
      <c r="E140" s="209" t="s">
        <v>1822</v>
      </c>
      <c r="F140" s="209" t="s">
        <v>1515</v>
      </c>
      <c r="G140" s="209" t="s">
        <v>1516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2039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1789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1790</v>
      </c>
      <c r="BZ140" s="117" t="s">
        <v>1022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2046</v>
      </c>
      <c r="C141" s="209" t="s">
        <v>2216</v>
      </c>
      <c r="D141" s="209" t="s">
        <v>1296</v>
      </c>
      <c r="E141" s="209" t="s">
        <v>1809</v>
      </c>
      <c r="F141" s="209" t="s">
        <v>1517</v>
      </c>
      <c r="G141" s="209" t="s">
        <v>1518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2039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1789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1790</v>
      </c>
      <c r="BZ141" s="117" t="s">
        <v>1022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2046</v>
      </c>
      <c r="C142" s="209" t="s">
        <v>2216</v>
      </c>
      <c r="D142" s="209" t="s">
        <v>1296</v>
      </c>
      <c r="E142" s="209" t="s">
        <v>1812</v>
      </c>
      <c r="F142" s="209" t="s">
        <v>1519</v>
      </c>
      <c r="G142" s="209" t="s">
        <v>1422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2039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1789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1790</v>
      </c>
      <c r="BZ142" s="117" t="s">
        <v>1303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2050</v>
      </c>
      <c r="C143" s="177" t="s">
        <v>2217</v>
      </c>
      <c r="D143" s="177" t="s">
        <v>2051</v>
      </c>
      <c r="E143" s="177"/>
      <c r="F143" s="177"/>
      <c r="G143" s="177" t="s">
        <v>2052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2039</v>
      </c>
      <c r="AE143" s="162" t="s">
        <v>143</v>
      </c>
      <c r="AF143" s="181" t="s">
        <v>1783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2050</v>
      </c>
      <c r="C144" s="187" t="s">
        <v>2184</v>
      </c>
      <c r="D144" s="187"/>
      <c r="E144" s="187"/>
      <c r="F144" s="187"/>
      <c r="G144" s="187" t="s">
        <v>1965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1</v>
      </c>
      <c r="X144" s="192">
        <f ca="1">SUMIFS(T:T,C:C,C144,AE:AE,"")/SUMIFS(L:L,C:C,C144,AE:AE,"",AB:AB,"")</f>
        <v>0.67543859649122806</v>
      </c>
      <c r="Y144" s="192"/>
      <c r="Z144" s="192"/>
      <c r="AA144" s="192"/>
      <c r="AB144" s="192"/>
      <c r="AC144" s="194" t="s">
        <v>196</v>
      </c>
      <c r="AD144" s="195" t="s">
        <v>2039</v>
      </c>
      <c r="AE144" s="196" t="s">
        <v>1787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2050</v>
      </c>
      <c r="C145" s="209" t="s">
        <v>2184</v>
      </c>
      <c r="D145" s="209" t="s">
        <v>1084</v>
      </c>
      <c r="E145" s="209" t="s">
        <v>1788</v>
      </c>
      <c r="F145" s="209" t="s">
        <v>1576</v>
      </c>
      <c r="G145" s="209" t="s">
        <v>1577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2039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1789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2185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1790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2050</v>
      </c>
      <c r="C146" s="209" t="s">
        <v>2184</v>
      </c>
      <c r="D146" s="209" t="s">
        <v>1296</v>
      </c>
      <c r="E146" s="209" t="s">
        <v>1791</v>
      </c>
      <c r="F146" s="209" t="s">
        <v>1578</v>
      </c>
      <c r="G146" s="209" t="s">
        <v>1157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2039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1789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1790</v>
      </c>
      <c r="BZ146" s="117" t="s">
        <v>1303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2050</v>
      </c>
      <c r="C147" s="209" t="s">
        <v>2184</v>
      </c>
      <c r="D147" s="209" t="s">
        <v>1296</v>
      </c>
      <c r="E147" s="209" t="s">
        <v>1792</v>
      </c>
      <c r="F147" s="209" t="s">
        <v>1579</v>
      </c>
      <c r="G147" s="209" t="s">
        <v>1497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2039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1789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1790</v>
      </c>
      <c r="BZ147" s="117" t="s">
        <v>1063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2050</v>
      </c>
      <c r="C148" s="209" t="s">
        <v>2184</v>
      </c>
      <c r="D148" s="209" t="s">
        <v>1296</v>
      </c>
      <c r="E148" s="209" t="s">
        <v>1793</v>
      </c>
      <c r="F148" s="209" t="s">
        <v>1580</v>
      </c>
      <c r="G148" s="209" t="s">
        <v>1581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2039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1789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1790</v>
      </c>
      <c r="BZ148" s="117" t="s">
        <v>1063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2050</v>
      </c>
      <c r="C149" s="209" t="s">
        <v>2184</v>
      </c>
      <c r="D149" s="209" t="s">
        <v>1296</v>
      </c>
      <c r="E149" s="209" t="s">
        <v>1957</v>
      </c>
      <c r="F149" s="209" t="s">
        <v>1582</v>
      </c>
      <c r="G149" s="209" t="s">
        <v>1581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2039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1789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1790</v>
      </c>
      <c r="BZ149" s="117" t="s">
        <v>1063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2050</v>
      </c>
      <c r="C150" s="209" t="s">
        <v>2184</v>
      </c>
      <c r="D150" s="209" t="s">
        <v>1296</v>
      </c>
      <c r="E150" s="209" t="s">
        <v>1794</v>
      </c>
      <c r="F150" s="209" t="s">
        <v>1583</v>
      </c>
      <c r="G150" s="209" t="s">
        <v>1584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2039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1789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1790</v>
      </c>
      <c r="BZ150" s="117" t="s">
        <v>989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2050</v>
      </c>
      <c r="C151" s="209" t="s">
        <v>2184</v>
      </c>
      <c r="D151" s="209" t="s">
        <v>1076</v>
      </c>
      <c r="E151" s="209" t="s">
        <v>1802</v>
      </c>
      <c r="F151" s="209" t="s">
        <v>1575</v>
      </c>
      <c r="G151" s="209" t="s">
        <v>1075</v>
      </c>
      <c r="H151" s="210">
        <v>812</v>
      </c>
      <c r="I151" s="211" t="s">
        <v>1077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2039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1789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1790</v>
      </c>
      <c r="BZ151" s="117" t="s">
        <v>1289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2050</v>
      </c>
      <c r="C152" s="187" t="s">
        <v>2186</v>
      </c>
      <c r="D152" s="187"/>
      <c r="E152" s="187"/>
      <c r="F152" s="187"/>
      <c r="G152" s="187" t="s">
        <v>1966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1</v>
      </c>
      <c r="X152" s="192">
        <f ca="1">SUMIFS(T:T,C:C,C152,AE:AE,"")/SUMIFS(L:L,C:C,C152,AE:AE,"",AB:AB,"")</f>
        <v>0.73333333333333328</v>
      </c>
      <c r="Y152" s="192"/>
      <c r="Z152" s="192"/>
      <c r="AA152" s="192"/>
      <c r="AB152" s="192"/>
      <c r="AC152" s="194" t="s">
        <v>196</v>
      </c>
      <c r="AD152" s="195" t="s">
        <v>2039</v>
      </c>
      <c r="AE152" s="196" t="s">
        <v>1787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2050</v>
      </c>
      <c r="C153" s="209" t="s">
        <v>2186</v>
      </c>
      <c r="D153" s="209" t="s">
        <v>1084</v>
      </c>
      <c r="E153" s="209" t="s">
        <v>1795</v>
      </c>
      <c r="F153" s="209" t="s">
        <v>1595</v>
      </c>
      <c r="G153" s="209" t="s">
        <v>1577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2039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1789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2185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1790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2050</v>
      </c>
      <c r="C154" s="209" t="s">
        <v>2186</v>
      </c>
      <c r="D154" s="209" t="s">
        <v>1296</v>
      </c>
      <c r="E154" s="209" t="s">
        <v>1796</v>
      </c>
      <c r="F154" s="209" t="s">
        <v>1596</v>
      </c>
      <c r="G154" s="209" t="s">
        <v>1592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2039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1789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1790</v>
      </c>
      <c r="BZ154" s="117" t="s">
        <v>1063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2050</v>
      </c>
      <c r="C155" s="209" t="s">
        <v>2186</v>
      </c>
      <c r="D155" s="209" t="s">
        <v>1296</v>
      </c>
      <c r="E155" s="209" t="s">
        <v>1797</v>
      </c>
      <c r="F155" s="209" t="s">
        <v>1597</v>
      </c>
      <c r="G155" s="209" t="s">
        <v>1125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2039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1789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1790</v>
      </c>
      <c r="BZ155" s="117" t="s">
        <v>1303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2050</v>
      </c>
      <c r="C156" s="209" t="s">
        <v>2186</v>
      </c>
      <c r="D156" s="209" t="s">
        <v>1296</v>
      </c>
      <c r="E156" s="209" t="s">
        <v>1798</v>
      </c>
      <c r="F156" s="209" t="s">
        <v>1598</v>
      </c>
      <c r="G156" s="209" t="s">
        <v>1123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2039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1789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1790</v>
      </c>
      <c r="BZ156" s="117" t="s">
        <v>1307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2050</v>
      </c>
      <c r="C157" s="187" t="s">
        <v>2218</v>
      </c>
      <c r="D157" s="187"/>
      <c r="E157" s="187"/>
      <c r="F157" s="187"/>
      <c r="G157" s="187" t="s">
        <v>2053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2039</v>
      </c>
      <c r="AE157" s="196" t="s">
        <v>1787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2050</v>
      </c>
      <c r="C158" s="209" t="s">
        <v>2218</v>
      </c>
      <c r="D158" s="209" t="s">
        <v>1084</v>
      </c>
      <c r="E158" s="209" t="s">
        <v>1795</v>
      </c>
      <c r="F158" s="209" t="s">
        <v>1590</v>
      </c>
      <c r="G158" s="209" t="s">
        <v>1577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2039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1789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2185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1790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2050</v>
      </c>
      <c r="C159" s="209" t="s">
        <v>2218</v>
      </c>
      <c r="D159" s="209" t="s">
        <v>1296</v>
      </c>
      <c r="E159" s="209" t="s">
        <v>1796</v>
      </c>
      <c r="F159" s="209" t="s">
        <v>1591</v>
      </c>
      <c r="G159" s="209" t="s">
        <v>1592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2039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1789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1790</v>
      </c>
      <c r="BZ159" s="117" t="s">
        <v>1063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2050</v>
      </c>
      <c r="C160" s="209" t="s">
        <v>2218</v>
      </c>
      <c r="D160" s="209" t="s">
        <v>1296</v>
      </c>
      <c r="E160" s="209" t="s">
        <v>1797</v>
      </c>
      <c r="F160" s="209" t="s">
        <v>1593</v>
      </c>
      <c r="G160" s="209" t="s">
        <v>1125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2039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1789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1790</v>
      </c>
      <c r="BZ160" s="117" t="s">
        <v>1303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2050</v>
      </c>
      <c r="C161" s="209" t="s">
        <v>2218</v>
      </c>
      <c r="D161" s="209" t="s">
        <v>1296</v>
      </c>
      <c r="E161" s="209" t="s">
        <v>1798</v>
      </c>
      <c r="F161" s="209" t="s">
        <v>1594</v>
      </c>
      <c r="G161" s="209" t="s">
        <v>1123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2039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1789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1790</v>
      </c>
      <c r="BZ161" s="117" t="s">
        <v>1307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2050</v>
      </c>
      <c r="C162" s="209" t="s">
        <v>2218</v>
      </c>
      <c r="D162" s="209" t="s">
        <v>1296</v>
      </c>
      <c r="E162" s="209" t="s">
        <v>1799</v>
      </c>
      <c r="F162" s="209" t="s">
        <v>1585</v>
      </c>
      <c r="G162" s="209" t="s">
        <v>1586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2039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1789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1790</v>
      </c>
      <c r="BZ162" s="117" t="s">
        <v>1063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2050</v>
      </c>
      <c r="C163" s="209" t="s">
        <v>2218</v>
      </c>
      <c r="D163" s="209" t="s">
        <v>1296</v>
      </c>
      <c r="E163" s="209" t="s">
        <v>1800</v>
      </c>
      <c r="F163" s="209" t="s">
        <v>1587</v>
      </c>
      <c r="G163" s="209" t="s">
        <v>1588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2039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1789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1790</v>
      </c>
      <c r="BZ163" s="117" t="s">
        <v>1063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2050</v>
      </c>
      <c r="C164" s="209" t="s">
        <v>2218</v>
      </c>
      <c r="D164" s="209" t="s">
        <v>1296</v>
      </c>
      <c r="E164" s="209" t="s">
        <v>1801</v>
      </c>
      <c r="F164" s="209" t="s">
        <v>1589</v>
      </c>
      <c r="G164" s="209" t="s">
        <v>1514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2039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1789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1790</v>
      </c>
      <c r="BZ164" s="117" t="s">
        <v>1303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2054</v>
      </c>
      <c r="C165" s="177" t="s">
        <v>2219</v>
      </c>
      <c r="D165" s="177" t="s">
        <v>2055</v>
      </c>
      <c r="E165" s="177"/>
      <c r="F165" s="177"/>
      <c r="G165" s="177" t="s">
        <v>2056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2039</v>
      </c>
      <c r="AE165" s="162" t="s">
        <v>143</v>
      </c>
      <c r="AF165" s="181" t="s">
        <v>1970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2054</v>
      </c>
      <c r="C166" s="209" t="s">
        <v>2219</v>
      </c>
      <c r="D166" s="209" t="s">
        <v>1195</v>
      </c>
      <c r="E166" s="209" t="s">
        <v>1788</v>
      </c>
      <c r="F166" s="209" t="s">
        <v>1615</v>
      </c>
      <c r="G166" s="209" t="s">
        <v>1194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2039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1789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1790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2054</v>
      </c>
      <c r="C167" s="209" t="s">
        <v>2219</v>
      </c>
      <c r="D167" s="209" t="s">
        <v>1195</v>
      </c>
      <c r="E167" s="209" t="s">
        <v>1791</v>
      </c>
      <c r="F167" s="209" t="s">
        <v>1634</v>
      </c>
      <c r="G167" s="209" t="s">
        <v>1635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2039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1789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1790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2054</v>
      </c>
      <c r="C168" s="209" t="s">
        <v>2219</v>
      </c>
      <c r="D168" s="209" t="s">
        <v>1204</v>
      </c>
      <c r="E168" s="209" t="s">
        <v>1792</v>
      </c>
      <c r="F168" s="209" t="s">
        <v>1642</v>
      </c>
      <c r="G168" s="209" t="s">
        <v>1637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2039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1789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1790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2054</v>
      </c>
      <c r="C169" s="209" t="s">
        <v>2219</v>
      </c>
      <c r="D169" s="209" t="s">
        <v>1204</v>
      </c>
      <c r="E169" s="209" t="s">
        <v>1793</v>
      </c>
      <c r="F169" s="209" t="s">
        <v>1643</v>
      </c>
      <c r="G169" s="209" t="s">
        <v>1644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2039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1789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1790</v>
      </c>
      <c r="BZ169" s="117" t="s">
        <v>1063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2054</v>
      </c>
      <c r="C170" s="209" t="s">
        <v>2219</v>
      </c>
      <c r="D170" s="209" t="s">
        <v>13</v>
      </c>
      <c r="E170" s="209" t="s">
        <v>1794</v>
      </c>
      <c r="F170" s="209" t="s">
        <v>1645</v>
      </c>
      <c r="G170" s="209" t="s">
        <v>1646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2039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1789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1790</v>
      </c>
      <c r="BZ170" s="117" t="s">
        <v>1303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2054</v>
      </c>
      <c r="C171" s="209" t="s">
        <v>2219</v>
      </c>
      <c r="D171" s="209" t="s">
        <v>13</v>
      </c>
      <c r="E171" s="209" t="s">
        <v>1795</v>
      </c>
      <c r="F171" s="209" t="s">
        <v>1647</v>
      </c>
      <c r="G171" s="209" t="s">
        <v>1157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2039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1789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1790</v>
      </c>
      <c r="BZ171" s="117" t="s">
        <v>1303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2054</v>
      </c>
      <c r="C172" s="209" t="s">
        <v>2219</v>
      </c>
      <c r="D172" s="209" t="s">
        <v>1204</v>
      </c>
      <c r="E172" s="209" t="s">
        <v>1796</v>
      </c>
      <c r="F172" s="209" t="s">
        <v>1648</v>
      </c>
      <c r="G172" s="209" t="s">
        <v>1649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2039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1789</v>
      </c>
      <c r="BG172" s="117"/>
      <c r="BH172" s="117"/>
      <c r="BI172" s="149"/>
      <c r="BJ172" s="149"/>
      <c r="BK172" s="149"/>
      <c r="BL172" s="149" t="s">
        <v>1932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1790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2054</v>
      </c>
      <c r="C173" s="209" t="s">
        <v>2219</v>
      </c>
      <c r="D173" s="209" t="s">
        <v>13</v>
      </c>
      <c r="E173" s="209" t="s">
        <v>1797</v>
      </c>
      <c r="F173" s="209" t="s">
        <v>1650</v>
      </c>
      <c r="G173" s="209" t="s">
        <v>1651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2039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1789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1790</v>
      </c>
      <c r="BZ173" s="117" t="s">
        <v>1063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2054</v>
      </c>
      <c r="C174" s="209" t="s">
        <v>2219</v>
      </c>
      <c r="D174" s="209" t="s">
        <v>13</v>
      </c>
      <c r="E174" s="209" t="s">
        <v>1798</v>
      </c>
      <c r="F174" s="209" t="s">
        <v>1652</v>
      </c>
      <c r="G174" s="209" t="s">
        <v>1653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2039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1789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1790</v>
      </c>
      <c r="BZ174" s="117" t="s">
        <v>989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2054</v>
      </c>
      <c r="C175" s="209" t="s">
        <v>2219</v>
      </c>
      <c r="D175" s="209" t="s">
        <v>1210</v>
      </c>
      <c r="E175" s="209" t="s">
        <v>1799</v>
      </c>
      <c r="F175" s="209" t="s">
        <v>1616</v>
      </c>
      <c r="G175" s="209" t="s">
        <v>1123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2039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1789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1790</v>
      </c>
      <c r="BZ175" s="117" t="s">
        <v>1307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2054</v>
      </c>
      <c r="C176" s="209" t="s">
        <v>2219</v>
      </c>
      <c r="D176" s="209" t="s">
        <v>1212</v>
      </c>
      <c r="E176" s="209" t="s">
        <v>1800</v>
      </c>
      <c r="F176" s="209" t="s">
        <v>1617</v>
      </c>
      <c r="G176" s="209" t="s">
        <v>1125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2039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1789</v>
      </c>
      <c r="BG176" s="117"/>
      <c r="BH176" s="117"/>
      <c r="BI176" s="153" t="s">
        <v>2057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1790</v>
      </c>
      <c r="BZ176" s="117" t="s">
        <v>1303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2054</v>
      </c>
      <c r="C177" s="209" t="s">
        <v>2219</v>
      </c>
      <c r="D177" s="209" t="s">
        <v>13</v>
      </c>
      <c r="E177" s="209" t="s">
        <v>1801</v>
      </c>
      <c r="F177" s="209" t="s">
        <v>1618</v>
      </c>
      <c r="G177" s="209" t="s">
        <v>1222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2039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1789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1790</v>
      </c>
      <c r="BZ177" s="117" t="s">
        <v>1303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2054</v>
      </c>
      <c r="C178" s="209" t="s">
        <v>2219</v>
      </c>
      <c r="D178" s="209" t="s">
        <v>1204</v>
      </c>
      <c r="E178" s="209" t="s">
        <v>1815</v>
      </c>
      <c r="F178" s="209" t="s">
        <v>1619</v>
      </c>
      <c r="G178" s="209" t="s">
        <v>1620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2039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1789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1790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2054</v>
      </c>
      <c r="C179" s="209" t="s">
        <v>2219</v>
      </c>
      <c r="D179" s="209" t="s">
        <v>1204</v>
      </c>
      <c r="E179" s="209" t="s">
        <v>1805</v>
      </c>
      <c r="F179" s="209" t="s">
        <v>1621</v>
      </c>
      <c r="G179" s="209" t="s">
        <v>1622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2039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1789</v>
      </c>
      <c r="BG179" s="117"/>
      <c r="BH179" s="117"/>
      <c r="BI179" s="149"/>
      <c r="BJ179" s="149" t="s">
        <v>2058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1790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2054</v>
      </c>
      <c r="C180" s="209" t="s">
        <v>2219</v>
      </c>
      <c r="D180" s="209" t="s">
        <v>1212</v>
      </c>
      <c r="E180" s="209" t="s">
        <v>1816</v>
      </c>
      <c r="F180" s="209" t="s">
        <v>1623</v>
      </c>
      <c r="G180" s="209" t="s">
        <v>1624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2039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1789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1790</v>
      </c>
      <c r="BZ180" s="117" t="s">
        <v>1063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2054</v>
      </c>
      <c r="C181" s="209" t="s">
        <v>2219</v>
      </c>
      <c r="D181" s="209" t="s">
        <v>13</v>
      </c>
      <c r="E181" s="209" t="s">
        <v>1817</v>
      </c>
      <c r="F181" s="209" t="s">
        <v>1625</v>
      </c>
      <c r="G181" s="209" t="s">
        <v>1626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2039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1789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1790</v>
      </c>
      <c r="BZ181" s="117" t="s">
        <v>1307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2054</v>
      </c>
      <c r="C182" s="209" t="s">
        <v>2219</v>
      </c>
      <c r="D182" s="209" t="s">
        <v>13</v>
      </c>
      <c r="E182" s="209" t="s">
        <v>1806</v>
      </c>
      <c r="F182" s="209" t="s">
        <v>1627</v>
      </c>
      <c r="G182" s="209" t="s">
        <v>1628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2039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1789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1790</v>
      </c>
      <c r="BZ182" s="117" t="s">
        <v>1063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2054</v>
      </c>
      <c r="C183" s="209" t="s">
        <v>2219</v>
      </c>
      <c r="D183" s="209" t="s">
        <v>13</v>
      </c>
      <c r="E183" s="209" t="s">
        <v>1807</v>
      </c>
      <c r="F183" s="209" t="s">
        <v>1629</v>
      </c>
      <c r="G183" s="209" t="s">
        <v>1630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2039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1790</v>
      </c>
      <c r="BZ183" s="117" t="s">
        <v>1632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2054</v>
      </c>
      <c r="C184" s="209" t="s">
        <v>2219</v>
      </c>
      <c r="D184" s="209" t="s">
        <v>13</v>
      </c>
      <c r="E184" s="209" t="s">
        <v>1818</v>
      </c>
      <c r="F184" s="209" t="s">
        <v>1633</v>
      </c>
      <c r="G184" s="209" t="s">
        <v>1157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2039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1789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1790</v>
      </c>
      <c r="BZ184" s="117" t="s">
        <v>1303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2054</v>
      </c>
      <c r="C185" s="209" t="s">
        <v>2219</v>
      </c>
      <c r="D185" s="209" t="s">
        <v>13</v>
      </c>
      <c r="E185" s="209" t="s">
        <v>1819</v>
      </c>
      <c r="F185" s="209" t="s">
        <v>1636</v>
      </c>
      <c r="G185" s="209" t="s">
        <v>1637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2039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1789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1790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2054</v>
      </c>
      <c r="C186" s="209" t="s">
        <v>2219</v>
      </c>
      <c r="D186" s="209" t="s">
        <v>13</v>
      </c>
      <c r="E186" s="209" t="s">
        <v>1820</v>
      </c>
      <c r="F186" s="209" t="s">
        <v>1638</v>
      </c>
      <c r="G186" s="209" t="s">
        <v>1639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2039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1789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1790</v>
      </c>
      <c r="BZ186" s="117" t="s">
        <v>1063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2054</v>
      </c>
      <c r="C187" s="209" t="s">
        <v>2219</v>
      </c>
      <c r="D187" s="209" t="s">
        <v>13</v>
      </c>
      <c r="E187" s="209" t="s">
        <v>1808</v>
      </c>
      <c r="F187" s="209" t="s">
        <v>1640</v>
      </c>
      <c r="G187" s="209" t="s">
        <v>1641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2039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1789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1790</v>
      </c>
      <c r="BZ187" s="117" t="s">
        <v>989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2054</v>
      </c>
      <c r="C188" s="209" t="s">
        <v>2219</v>
      </c>
      <c r="D188" s="209" t="s">
        <v>1010</v>
      </c>
      <c r="E188" s="209" t="s">
        <v>1802</v>
      </c>
      <c r="F188" s="209" t="s">
        <v>1614</v>
      </c>
      <c r="G188" s="209" t="s">
        <v>1075</v>
      </c>
      <c r="H188" s="210">
        <v>812</v>
      </c>
      <c r="I188" s="211" t="s">
        <v>1077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2039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1789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1790</v>
      </c>
      <c r="BZ188" s="117" t="s">
        <v>1289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2054</v>
      </c>
      <c r="C189" s="219" t="s">
        <v>2219</v>
      </c>
      <c r="D189" s="219" t="s">
        <v>1204</v>
      </c>
      <c r="E189" s="219" t="s">
        <v>1811</v>
      </c>
      <c r="F189" s="219" t="s">
        <v>2086</v>
      </c>
      <c r="G189" s="219" t="s">
        <v>1649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2039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1789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2041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1790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2059</v>
      </c>
      <c r="C190" s="177" t="s">
        <v>2220</v>
      </c>
      <c r="D190" s="177" t="s">
        <v>2060</v>
      </c>
      <c r="E190" s="177"/>
      <c r="F190" s="177"/>
      <c r="G190" s="177" t="s">
        <v>2061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2039</v>
      </c>
      <c r="AE190" s="162" t="s">
        <v>143</v>
      </c>
      <c r="AF190" s="181" t="s">
        <v>1970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2059</v>
      </c>
      <c r="C191" s="199" t="s">
        <v>2220</v>
      </c>
      <c r="D191" s="199" t="s">
        <v>1195</v>
      </c>
      <c r="E191" s="199" t="s">
        <v>1788</v>
      </c>
      <c r="F191" s="199" t="s">
        <v>1675</v>
      </c>
      <c r="G191" s="199" t="s">
        <v>1676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2039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1789</v>
      </c>
      <c r="BG191" s="141"/>
      <c r="BH191" s="141"/>
      <c r="BI191" s="153"/>
      <c r="BJ191" s="153"/>
      <c r="BK191" s="153"/>
      <c r="BL191" s="153" t="s">
        <v>1932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1790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2059</v>
      </c>
      <c r="C192" s="209" t="s">
        <v>2220</v>
      </c>
      <c r="D192" s="209" t="s">
        <v>1195</v>
      </c>
      <c r="E192" s="209" t="s">
        <v>1791</v>
      </c>
      <c r="F192" s="209" t="s">
        <v>1687</v>
      </c>
      <c r="G192" s="209" t="s">
        <v>1688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2039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1789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1790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2059</v>
      </c>
      <c r="C193" s="209" t="s">
        <v>2220</v>
      </c>
      <c r="D193" s="209" t="s">
        <v>1195</v>
      </c>
      <c r="E193" s="209" t="s">
        <v>1792</v>
      </c>
      <c r="F193" s="209" t="s">
        <v>1689</v>
      </c>
      <c r="G193" s="209" t="s">
        <v>1690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2039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1789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1790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2059</v>
      </c>
      <c r="C194" s="209" t="s">
        <v>2220</v>
      </c>
      <c r="D194" s="209" t="s">
        <v>1204</v>
      </c>
      <c r="E194" s="209" t="s">
        <v>1793</v>
      </c>
      <c r="F194" s="209" t="s">
        <v>1691</v>
      </c>
      <c r="G194" s="209" t="s">
        <v>1692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2039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1789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1790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2059</v>
      </c>
      <c r="C195" s="199" t="s">
        <v>2220</v>
      </c>
      <c r="D195" s="199" t="s">
        <v>1204</v>
      </c>
      <c r="E195" s="199" t="s">
        <v>1794</v>
      </c>
      <c r="F195" s="199" t="s">
        <v>1693</v>
      </c>
      <c r="G195" s="199" t="s">
        <v>1692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2039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1789</v>
      </c>
      <c r="BG195" s="141"/>
      <c r="BH195" s="141"/>
      <c r="BI195" s="153"/>
      <c r="BJ195" s="153"/>
      <c r="BK195" s="153"/>
      <c r="BL195" s="153" t="s">
        <v>1932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1790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2059</v>
      </c>
      <c r="C196" s="209" t="s">
        <v>2220</v>
      </c>
      <c r="D196" s="209" t="s">
        <v>1204</v>
      </c>
      <c r="E196" s="209" t="s">
        <v>1795</v>
      </c>
      <c r="F196" s="209" t="s">
        <v>1694</v>
      </c>
      <c r="G196" s="209" t="s">
        <v>1649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2039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1789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1790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2059</v>
      </c>
      <c r="C197" s="209" t="s">
        <v>2220</v>
      </c>
      <c r="D197" s="209" t="s">
        <v>1204</v>
      </c>
      <c r="E197" s="209" t="s">
        <v>1796</v>
      </c>
      <c r="F197" s="209" t="s">
        <v>1695</v>
      </c>
      <c r="G197" s="209" t="s">
        <v>1649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2039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1789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1790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2059</v>
      </c>
      <c r="C198" s="209" t="s">
        <v>2220</v>
      </c>
      <c r="D198" s="209" t="s">
        <v>1204</v>
      </c>
      <c r="E198" s="209" t="s">
        <v>1797</v>
      </c>
      <c r="F198" s="209" t="s">
        <v>1696</v>
      </c>
      <c r="G198" s="209" t="s">
        <v>1697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2039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1789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1790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2059</v>
      </c>
      <c r="C199" s="209" t="s">
        <v>2220</v>
      </c>
      <c r="D199" s="209" t="s">
        <v>1204</v>
      </c>
      <c r="E199" s="209" t="s">
        <v>1798</v>
      </c>
      <c r="F199" s="209" t="s">
        <v>1698</v>
      </c>
      <c r="G199" s="209" t="s">
        <v>1699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2039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1789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1790</v>
      </c>
      <c r="BZ199" s="117" t="s">
        <v>1063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2059</v>
      </c>
      <c r="C200" s="209" t="s">
        <v>2220</v>
      </c>
      <c r="D200" s="209" t="s">
        <v>13</v>
      </c>
      <c r="E200" s="209" t="s">
        <v>1799</v>
      </c>
      <c r="F200" s="209" t="s">
        <v>1677</v>
      </c>
      <c r="G200" s="209" t="s">
        <v>1254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2039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1789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1790</v>
      </c>
      <c r="BZ200" s="117" t="s">
        <v>1303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2059</v>
      </c>
      <c r="C201" s="209" t="s">
        <v>2220</v>
      </c>
      <c r="D201" s="209" t="s">
        <v>13</v>
      </c>
      <c r="E201" s="209" t="s">
        <v>1800</v>
      </c>
      <c r="F201" s="209" t="s">
        <v>1678</v>
      </c>
      <c r="G201" s="209" t="s">
        <v>1157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2039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1789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1790</v>
      </c>
      <c r="BZ201" s="117" t="s">
        <v>1303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2059</v>
      </c>
      <c r="C202" s="209" t="s">
        <v>2220</v>
      </c>
      <c r="D202" s="209" t="s">
        <v>13</v>
      </c>
      <c r="E202" s="209" t="s">
        <v>1801</v>
      </c>
      <c r="F202" s="209" t="s">
        <v>1679</v>
      </c>
      <c r="G202" s="209" t="s">
        <v>1680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2039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1789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1790</v>
      </c>
      <c r="BZ202" s="117" t="s">
        <v>989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2059</v>
      </c>
      <c r="C203" s="209" t="s">
        <v>2220</v>
      </c>
      <c r="D203" s="209" t="s">
        <v>13</v>
      </c>
      <c r="E203" s="209" t="s">
        <v>1815</v>
      </c>
      <c r="F203" s="209" t="s">
        <v>1681</v>
      </c>
      <c r="G203" s="209" t="s">
        <v>1680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2039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1789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1790</v>
      </c>
      <c r="BZ203" s="117" t="s">
        <v>989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2059</v>
      </c>
      <c r="C204" s="209" t="s">
        <v>2220</v>
      </c>
      <c r="D204" s="209" t="s">
        <v>13</v>
      </c>
      <c r="E204" s="209" t="s">
        <v>1805</v>
      </c>
      <c r="F204" s="209" t="s">
        <v>1682</v>
      </c>
      <c r="G204" s="209" t="s">
        <v>1683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2039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1789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1790</v>
      </c>
      <c r="BZ204" s="117" t="s">
        <v>989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2059</v>
      </c>
      <c r="C205" s="209" t="s">
        <v>2220</v>
      </c>
      <c r="D205" s="209" t="s">
        <v>13</v>
      </c>
      <c r="E205" s="209" t="s">
        <v>1816</v>
      </c>
      <c r="F205" s="209" t="s">
        <v>1684</v>
      </c>
      <c r="G205" s="209" t="s">
        <v>1222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2039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1789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1790</v>
      </c>
      <c r="BZ205" s="117" t="s">
        <v>1303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2059</v>
      </c>
      <c r="C206" s="209" t="s">
        <v>2220</v>
      </c>
      <c r="D206" s="209" t="s">
        <v>1210</v>
      </c>
      <c r="E206" s="209" t="s">
        <v>1817</v>
      </c>
      <c r="F206" s="209" t="s">
        <v>1685</v>
      </c>
      <c r="G206" s="209" t="s">
        <v>1123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2039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1789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1790</v>
      </c>
      <c r="BZ206" s="117" t="s">
        <v>1307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2059</v>
      </c>
      <c r="C207" s="209" t="s">
        <v>2220</v>
      </c>
      <c r="D207" s="209" t="s">
        <v>1212</v>
      </c>
      <c r="E207" s="209" t="s">
        <v>1806</v>
      </c>
      <c r="F207" s="209" t="s">
        <v>1686</v>
      </c>
      <c r="G207" s="209" t="s">
        <v>1125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2039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1789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1790</v>
      </c>
      <c r="BZ207" s="117" t="s">
        <v>1303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2059</v>
      </c>
      <c r="C208" s="209" t="s">
        <v>2220</v>
      </c>
      <c r="D208" s="209" t="s">
        <v>1010</v>
      </c>
      <c r="E208" s="209" t="s">
        <v>1802</v>
      </c>
      <c r="F208" s="209" t="s">
        <v>1674</v>
      </c>
      <c r="G208" s="209" t="s">
        <v>1075</v>
      </c>
      <c r="H208" s="210">
        <v>812</v>
      </c>
      <c r="I208" s="211" t="s">
        <v>1077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2039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1789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1790</v>
      </c>
      <c r="BZ208" s="117" t="s">
        <v>1289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2062</v>
      </c>
      <c r="C209" s="177" t="s">
        <v>2221</v>
      </c>
      <c r="D209" s="177" t="s">
        <v>2063</v>
      </c>
      <c r="E209" s="177"/>
      <c r="F209" s="177"/>
      <c r="G209" s="177" t="s">
        <v>1978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2039</v>
      </c>
      <c r="AE209" s="162" t="s">
        <v>143</v>
      </c>
      <c r="AF209" s="181" t="s">
        <v>1970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2062</v>
      </c>
      <c r="C210" s="209" t="s">
        <v>2221</v>
      </c>
      <c r="D210" s="209" t="s">
        <v>1084</v>
      </c>
      <c r="E210" s="209" t="s">
        <v>1788</v>
      </c>
      <c r="F210" s="209" t="s">
        <v>1718</v>
      </c>
      <c r="G210" s="209" t="s">
        <v>1676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2039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1789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1790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2062</v>
      </c>
      <c r="C211" s="209" t="s">
        <v>2221</v>
      </c>
      <c r="D211" s="209" t="s">
        <v>1296</v>
      </c>
      <c r="E211" s="209" t="s">
        <v>1791</v>
      </c>
      <c r="F211" s="209" t="s">
        <v>1730</v>
      </c>
      <c r="G211" s="209" t="s">
        <v>1157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2039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1789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1790</v>
      </c>
      <c r="BZ211" s="117" t="s">
        <v>1303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2062</v>
      </c>
      <c r="C212" s="209" t="s">
        <v>2221</v>
      </c>
      <c r="D212" s="209" t="s">
        <v>1296</v>
      </c>
      <c r="E212" s="209" t="s">
        <v>1792</v>
      </c>
      <c r="F212" s="209" t="s">
        <v>1731</v>
      </c>
      <c r="G212" s="209" t="s">
        <v>1277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2039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1789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1790</v>
      </c>
      <c r="BZ212" s="117" t="s">
        <v>1307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2062</v>
      </c>
      <c r="C213" s="209" t="s">
        <v>2221</v>
      </c>
      <c r="D213" s="209" t="s">
        <v>1296</v>
      </c>
      <c r="E213" s="209" t="s">
        <v>1793</v>
      </c>
      <c r="F213" s="209" t="s">
        <v>1732</v>
      </c>
      <c r="G213" s="209" t="s">
        <v>1282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2039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1789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1790</v>
      </c>
      <c r="BZ213" s="117" t="s">
        <v>989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2062</v>
      </c>
      <c r="C214" s="209" t="s">
        <v>2221</v>
      </c>
      <c r="D214" s="209" t="s">
        <v>1296</v>
      </c>
      <c r="E214" s="209" t="s">
        <v>1794</v>
      </c>
      <c r="F214" s="209" t="s">
        <v>1733</v>
      </c>
      <c r="G214" s="209" t="s">
        <v>1280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2039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1789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1790</v>
      </c>
      <c r="BZ214" s="117" t="s">
        <v>1307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2062</v>
      </c>
      <c r="C215" s="209" t="s">
        <v>2221</v>
      </c>
      <c r="D215" s="209" t="s">
        <v>1296</v>
      </c>
      <c r="E215" s="209" t="s">
        <v>1795</v>
      </c>
      <c r="F215" s="209" t="s">
        <v>1734</v>
      </c>
      <c r="G215" s="209" t="s">
        <v>1273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2039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1790</v>
      </c>
      <c r="BZ215" s="117" t="s">
        <v>1312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2062</v>
      </c>
      <c r="C216" s="209" t="s">
        <v>2221</v>
      </c>
      <c r="D216" s="209" t="s">
        <v>1296</v>
      </c>
      <c r="E216" s="209" t="s">
        <v>1796</v>
      </c>
      <c r="F216" s="209" t="s">
        <v>1735</v>
      </c>
      <c r="G216" s="209" t="s">
        <v>1284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2039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1789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1790</v>
      </c>
      <c r="BZ216" s="117" t="s">
        <v>989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2062</v>
      </c>
      <c r="C217" s="209" t="s">
        <v>2221</v>
      </c>
      <c r="D217" s="209" t="s">
        <v>1296</v>
      </c>
      <c r="E217" s="209" t="s">
        <v>1979</v>
      </c>
      <c r="F217" s="209" t="s">
        <v>1736</v>
      </c>
      <c r="G217" s="209" t="s">
        <v>1284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2039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1789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1790</v>
      </c>
      <c r="BZ217" s="117" t="s">
        <v>989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2062</v>
      </c>
      <c r="C218" s="209" t="s">
        <v>2221</v>
      </c>
      <c r="D218" s="209" t="s">
        <v>1296</v>
      </c>
      <c r="E218" s="209" t="s">
        <v>1797</v>
      </c>
      <c r="F218" s="209" t="s">
        <v>1737</v>
      </c>
      <c r="G218" s="209" t="s">
        <v>1284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2039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1789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1790</v>
      </c>
      <c r="BZ218" s="117" t="s">
        <v>989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2062</v>
      </c>
      <c r="C219" s="199" t="s">
        <v>2221</v>
      </c>
      <c r="D219" s="199" t="s">
        <v>1296</v>
      </c>
      <c r="E219" s="199" t="s">
        <v>1798</v>
      </c>
      <c r="F219" s="199" t="s">
        <v>1738</v>
      </c>
      <c r="G219" s="199" t="s">
        <v>1739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2039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1789</v>
      </c>
      <c r="BG219" s="141"/>
      <c r="BH219" s="152"/>
      <c r="BI219" s="207"/>
      <c r="BJ219" s="230" t="s">
        <v>2064</v>
      </c>
      <c r="BK219" s="230"/>
      <c r="BL219" s="153" t="s">
        <v>1932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1790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2062</v>
      </c>
      <c r="C220" s="209" t="s">
        <v>2221</v>
      </c>
      <c r="D220" s="209" t="s">
        <v>1296</v>
      </c>
      <c r="E220" s="209" t="s">
        <v>1799</v>
      </c>
      <c r="F220" s="209" t="s">
        <v>1719</v>
      </c>
      <c r="G220" s="209" t="s">
        <v>1720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2039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1789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1790</v>
      </c>
      <c r="BZ220" s="117" t="s">
        <v>1303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2062</v>
      </c>
      <c r="C221" s="209" t="s">
        <v>2221</v>
      </c>
      <c r="D221" s="209" t="s">
        <v>1296</v>
      </c>
      <c r="E221" s="209" t="s">
        <v>1800</v>
      </c>
      <c r="F221" s="209" t="s">
        <v>1721</v>
      </c>
      <c r="G221" s="209" t="s">
        <v>1703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2039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1789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1790</v>
      </c>
      <c r="BZ221" s="117" t="s">
        <v>989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2062</v>
      </c>
      <c r="C222" s="209" t="s">
        <v>2221</v>
      </c>
      <c r="D222" s="209" t="s">
        <v>1296</v>
      </c>
      <c r="E222" s="209" t="s">
        <v>1801</v>
      </c>
      <c r="F222" s="209" t="s">
        <v>1722</v>
      </c>
      <c r="G222" s="209" t="s">
        <v>1267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2039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1789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1790</v>
      </c>
      <c r="BZ222" s="117" t="s">
        <v>1303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2062</v>
      </c>
      <c r="C223" s="209" t="s">
        <v>2221</v>
      </c>
      <c r="D223" s="209" t="s">
        <v>1296</v>
      </c>
      <c r="E223" s="209" t="s">
        <v>1815</v>
      </c>
      <c r="F223" s="209" t="s">
        <v>1723</v>
      </c>
      <c r="G223" s="209" t="s">
        <v>1354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2039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1789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1790</v>
      </c>
      <c r="BZ223" s="117" t="s">
        <v>1303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2062</v>
      </c>
      <c r="C224" s="199" t="s">
        <v>2221</v>
      </c>
      <c r="D224" s="199" t="s">
        <v>1296</v>
      </c>
      <c r="E224" s="199" t="s">
        <v>1805</v>
      </c>
      <c r="F224" s="199" t="s">
        <v>1724</v>
      </c>
      <c r="G224" s="199" t="s">
        <v>1725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2039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1789</v>
      </c>
      <c r="BG224" s="141"/>
      <c r="BH224" s="141"/>
      <c r="BI224" s="153"/>
      <c r="BJ224" s="230" t="s">
        <v>2065</v>
      </c>
      <c r="BK224" s="230"/>
      <c r="BL224" s="153" t="s">
        <v>1932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1790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2062</v>
      </c>
      <c r="C225" s="199" t="s">
        <v>2221</v>
      </c>
      <c r="D225" s="199" t="s">
        <v>1296</v>
      </c>
      <c r="E225" s="199" t="s">
        <v>1816</v>
      </c>
      <c r="F225" s="199" t="s">
        <v>1726</v>
      </c>
      <c r="G225" s="199" t="s">
        <v>1727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2039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1789</v>
      </c>
      <c r="BG225" s="141"/>
      <c r="BH225" s="141"/>
      <c r="BI225" s="153"/>
      <c r="BJ225" s="230" t="s">
        <v>2065</v>
      </c>
      <c r="BK225" s="230"/>
      <c r="BL225" s="153" t="s">
        <v>1932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1790</v>
      </c>
      <c r="BZ225" s="141" t="s">
        <v>1013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2062</v>
      </c>
      <c r="C226" s="209" t="s">
        <v>2221</v>
      </c>
      <c r="D226" s="209" t="s">
        <v>1296</v>
      </c>
      <c r="E226" s="209" t="s">
        <v>1817</v>
      </c>
      <c r="F226" s="209" t="s">
        <v>1728</v>
      </c>
      <c r="G226" s="209" t="s">
        <v>1123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2039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1789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1790</v>
      </c>
      <c r="BZ226" s="117" t="s">
        <v>1307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2062</v>
      </c>
      <c r="C227" s="209" t="s">
        <v>2221</v>
      </c>
      <c r="D227" s="209" t="s">
        <v>1296</v>
      </c>
      <c r="E227" s="209" t="s">
        <v>1806</v>
      </c>
      <c r="F227" s="209" t="s">
        <v>1729</v>
      </c>
      <c r="G227" s="209" t="s">
        <v>1125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2039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1789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1790</v>
      </c>
      <c r="BZ227" s="117" t="s">
        <v>1303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2062</v>
      </c>
      <c r="C228" s="209" t="s">
        <v>2221</v>
      </c>
      <c r="D228" s="209" t="s">
        <v>1076</v>
      </c>
      <c r="E228" s="209" t="s">
        <v>1802</v>
      </c>
      <c r="F228" s="209" t="s">
        <v>1717</v>
      </c>
      <c r="G228" s="209" t="s">
        <v>1075</v>
      </c>
      <c r="H228" s="210">
        <v>812</v>
      </c>
      <c r="I228" s="211" t="s">
        <v>1077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2039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1789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1790</v>
      </c>
      <c r="BZ228" s="117" t="s">
        <v>1289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1846</v>
      </c>
      <c r="C229" s="177" t="s">
        <v>2125</v>
      </c>
      <c r="D229" s="177" t="s">
        <v>1847</v>
      </c>
      <c r="E229" s="177"/>
      <c r="F229" s="177"/>
      <c r="G229" s="177" t="s">
        <v>1848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2039</v>
      </c>
      <c r="AE229" s="162" t="s">
        <v>143</v>
      </c>
      <c r="AF229" s="181" t="s">
        <v>1783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1846</v>
      </c>
      <c r="C230" s="209" t="s">
        <v>2125</v>
      </c>
      <c r="D230" s="209" t="s">
        <v>954</v>
      </c>
      <c r="E230" s="209" t="s">
        <v>1788</v>
      </c>
      <c r="F230" s="209" t="s">
        <v>952</v>
      </c>
      <c r="G230" s="209" t="s">
        <v>953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2039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1789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1790</v>
      </c>
      <c r="BZ230" s="117" t="s">
        <v>957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1846</v>
      </c>
      <c r="C231" s="209" t="s">
        <v>2125</v>
      </c>
      <c r="D231" s="209" t="s">
        <v>954</v>
      </c>
      <c r="E231" s="209" t="s">
        <v>1791</v>
      </c>
      <c r="F231" s="209" t="s">
        <v>958</v>
      </c>
      <c r="G231" s="209" t="s">
        <v>959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2039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1789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1790</v>
      </c>
      <c r="BZ231" s="117" t="s">
        <v>962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1846</v>
      </c>
      <c r="C232" s="209" t="s">
        <v>2125</v>
      </c>
      <c r="D232" s="209" t="s">
        <v>954</v>
      </c>
      <c r="E232" s="209" t="s">
        <v>1792</v>
      </c>
      <c r="F232" s="209" t="s">
        <v>963</v>
      </c>
      <c r="G232" s="209" t="s">
        <v>964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2039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1789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1790</v>
      </c>
      <c r="BZ232" s="117" t="s">
        <v>967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1846</v>
      </c>
      <c r="C233" s="209" t="s">
        <v>2125</v>
      </c>
      <c r="D233" s="209" t="s">
        <v>954</v>
      </c>
      <c r="E233" s="209" t="s">
        <v>1793</v>
      </c>
      <c r="F233" s="209" t="s">
        <v>968</v>
      </c>
      <c r="G233" s="209" t="s">
        <v>969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2039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1789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1790</v>
      </c>
      <c r="BZ233" s="158" t="s">
        <v>972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1846</v>
      </c>
      <c r="C234" s="177" t="s">
        <v>2130</v>
      </c>
      <c r="D234" s="177" t="s">
        <v>1849</v>
      </c>
      <c r="E234" s="177"/>
      <c r="F234" s="177"/>
      <c r="G234" s="177" t="s">
        <v>1850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0.125</v>
      </c>
      <c r="Y234" s="181"/>
      <c r="Z234" s="181"/>
      <c r="AA234" s="181"/>
      <c r="AB234" s="181"/>
      <c r="AC234" s="228" t="s">
        <v>196</v>
      </c>
      <c r="AD234" s="184" t="s">
        <v>2039</v>
      </c>
      <c r="AE234" s="162" t="s">
        <v>143</v>
      </c>
      <c r="AF234" s="181" t="s">
        <v>1783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1846</v>
      </c>
      <c r="C235" s="199" t="s">
        <v>2130</v>
      </c>
      <c r="D235" s="199" t="s">
        <v>979</v>
      </c>
      <c r="E235" s="199" t="s">
        <v>1851</v>
      </c>
      <c r="F235" s="199" t="s">
        <v>977</v>
      </c>
      <c r="G235" s="199" t="s">
        <v>978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16</v>
      </c>
      <c r="U235" s="203">
        <f t="shared" ref="U235:U238" ca="1" si="391">+L235-T235</f>
        <v>0</v>
      </c>
      <c r="V235" s="203">
        <f t="shared" ref="V235:V238" ca="1" si="392">ROUNDDOWN(T235/J235,0)</f>
        <v>4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2066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16</v>
      </c>
      <c r="AJ235" s="203">
        <f t="shared" ref="AJ235:AJ238" ca="1" si="396">+AH235-AI235</f>
        <v>0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1789</v>
      </c>
      <c r="BG235" s="141"/>
      <c r="BH235" s="141"/>
      <c r="BI235" s="153"/>
      <c r="BJ235" s="153"/>
      <c r="BK235" s="153" t="s">
        <v>1853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1790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1846</v>
      </c>
      <c r="C236" s="209" t="s">
        <v>2130</v>
      </c>
      <c r="D236" s="209" t="s">
        <v>975</v>
      </c>
      <c r="E236" s="209" t="s">
        <v>1854</v>
      </c>
      <c r="F236" s="209" t="s">
        <v>973</v>
      </c>
      <c r="G236" s="209" t="s">
        <v>974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976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2039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1846</v>
      </c>
      <c r="C237" s="209" t="s">
        <v>2130</v>
      </c>
      <c r="D237" s="209" t="s">
        <v>13</v>
      </c>
      <c r="E237" s="209" t="s">
        <v>1788</v>
      </c>
      <c r="F237" s="209" t="s">
        <v>985</v>
      </c>
      <c r="G237" s="209" t="s">
        <v>986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4</v>
      </c>
      <c r="U237" s="203">
        <f t="shared" ca="1" si="391"/>
        <v>0</v>
      </c>
      <c r="V237" s="203">
        <f t="shared" ca="1" si="392"/>
        <v>4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2039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4</v>
      </c>
      <c r="AJ237" s="203">
        <f t="shared" ca="1" si="396"/>
        <v>0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1789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1790</v>
      </c>
      <c r="BZ237" s="117" t="s">
        <v>989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1846</v>
      </c>
      <c r="C238" s="209" t="s">
        <v>2130</v>
      </c>
      <c r="D238" s="209" t="s">
        <v>983</v>
      </c>
      <c r="E238" s="209" t="s">
        <v>1823</v>
      </c>
      <c r="F238" s="209" t="s">
        <v>981</v>
      </c>
      <c r="G238" s="209" t="s">
        <v>982</v>
      </c>
      <c r="H238" s="210"/>
      <c r="I238" s="211" t="s">
        <v>984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976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2039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1846</v>
      </c>
      <c r="C239" s="177" t="s">
        <v>2132</v>
      </c>
      <c r="D239" s="177" t="s">
        <v>1855</v>
      </c>
      <c r="E239" s="177"/>
      <c r="F239" s="177"/>
      <c r="G239" s="177" t="s">
        <v>1856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0.3125</v>
      </c>
      <c r="Y239" s="181"/>
      <c r="Z239" s="181"/>
      <c r="AA239" s="181"/>
      <c r="AB239" s="181"/>
      <c r="AC239" s="228" t="s">
        <v>196</v>
      </c>
      <c r="AD239" s="184" t="s">
        <v>2039</v>
      </c>
      <c r="AE239" s="162" t="s">
        <v>143</v>
      </c>
      <c r="AF239" s="181" t="s">
        <v>1783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1846</v>
      </c>
      <c r="C240" s="209" t="s">
        <v>2132</v>
      </c>
      <c r="D240" s="209" t="s">
        <v>13</v>
      </c>
      <c r="E240" s="209" t="s">
        <v>1788</v>
      </c>
      <c r="F240" s="209" t="s">
        <v>990</v>
      </c>
      <c r="G240" s="209" t="s">
        <v>991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4</v>
      </c>
      <c r="U240" s="203">
        <f t="shared" ref="U240:U241" ca="1" si="412">+L240-T240</f>
        <v>0</v>
      </c>
      <c r="V240" s="203">
        <f t="shared" ref="V240:V241" ca="1" si="413">ROUNDDOWN(T240/J240,0)</f>
        <v>4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2039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4</v>
      </c>
      <c r="AJ240" s="203">
        <f t="shared" ref="AJ240:AJ241" ca="1" si="417">+AH240-AI240</f>
        <v>0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1789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1790</v>
      </c>
      <c r="BZ240" s="117" t="s">
        <v>994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1846</v>
      </c>
      <c r="C241" s="209" t="s">
        <v>2132</v>
      </c>
      <c r="D241" s="209" t="s">
        <v>13</v>
      </c>
      <c r="E241" s="209" t="s">
        <v>1791</v>
      </c>
      <c r="F241" s="209" t="s">
        <v>995</v>
      </c>
      <c r="G241" s="209" t="s">
        <v>996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4</v>
      </c>
      <c r="U241" s="203">
        <f t="shared" ca="1" si="412"/>
        <v>0</v>
      </c>
      <c r="V241" s="203">
        <f t="shared" ca="1" si="413"/>
        <v>4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2039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4</v>
      </c>
      <c r="AJ241" s="203">
        <f t="shared" ca="1" si="417"/>
        <v>0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1789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1790</v>
      </c>
      <c r="BZ241" s="117" t="s">
        <v>994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2067</v>
      </c>
      <c r="C242" s="177" t="s">
        <v>2134</v>
      </c>
      <c r="D242" s="177" t="s">
        <v>1858</v>
      </c>
      <c r="E242" s="177"/>
      <c r="F242" s="177"/>
      <c r="G242" s="177" t="s">
        <v>1859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2039</v>
      </c>
      <c r="AE242" s="162" t="s">
        <v>143</v>
      </c>
      <c r="AF242" s="181" t="s">
        <v>1783</v>
      </c>
      <c r="AG242" s="181">
        <v>2</v>
      </c>
      <c r="AH242" s="181"/>
      <c r="AI242" s="181">
        <v>2</v>
      </c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2067</v>
      </c>
      <c r="C243" s="177" t="s">
        <v>2135</v>
      </c>
      <c r="D243" s="177" t="s">
        <v>1858</v>
      </c>
      <c r="E243" s="177"/>
      <c r="F243" s="177"/>
      <c r="G243" s="177" t="s">
        <v>1860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2039</v>
      </c>
      <c r="AE243" s="162" t="s">
        <v>143</v>
      </c>
      <c r="AF243" s="181" t="s">
        <v>1783</v>
      </c>
      <c r="AG243" s="181">
        <v>10</v>
      </c>
      <c r="AH243" s="181"/>
      <c r="AI243" s="181">
        <v>10</v>
      </c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1846</v>
      </c>
      <c r="C244" s="177" t="s">
        <v>2136</v>
      </c>
      <c r="D244" s="177" t="s">
        <v>1861</v>
      </c>
      <c r="E244" s="177"/>
      <c r="F244" s="177"/>
      <c r="G244" s="177" t="s">
        <v>1862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2039</v>
      </c>
      <c r="AE244" s="162" t="s">
        <v>143</v>
      </c>
      <c r="AF244" s="181" t="s">
        <v>1783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1846</v>
      </c>
      <c r="C245" s="209" t="s">
        <v>2136</v>
      </c>
      <c r="D245" s="209" t="s">
        <v>954</v>
      </c>
      <c r="E245" s="209" t="s">
        <v>1788</v>
      </c>
      <c r="F245" s="209" t="s">
        <v>997</v>
      </c>
      <c r="G245" s="209" t="s">
        <v>998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2039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1789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1790</v>
      </c>
      <c r="BZ245" s="158" t="s">
        <v>999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1846</v>
      </c>
      <c r="C246" s="177" t="s">
        <v>2200</v>
      </c>
      <c r="D246" s="177" t="s">
        <v>1994</v>
      </c>
      <c r="E246" s="177"/>
      <c r="F246" s="177"/>
      <c r="G246" s="177" t="s">
        <v>1995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2039</v>
      </c>
      <c r="AE246" s="162" t="s">
        <v>143</v>
      </c>
      <c r="AF246" s="181" t="s">
        <v>1783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1846</v>
      </c>
      <c r="C247" s="177" t="s">
        <v>2201</v>
      </c>
      <c r="D247" s="177" t="s">
        <v>2000</v>
      </c>
      <c r="E247" s="177"/>
      <c r="F247" s="177"/>
      <c r="G247" s="177" t="s">
        <v>2001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2039</v>
      </c>
      <c r="AE247" s="162" t="s">
        <v>143</v>
      </c>
      <c r="AF247" s="181" t="s">
        <v>1783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1846</v>
      </c>
      <c r="C248" s="209" t="s">
        <v>2201</v>
      </c>
      <c r="D248" s="209" t="s">
        <v>13</v>
      </c>
      <c r="E248" s="209" t="s">
        <v>1788</v>
      </c>
      <c r="F248" s="209" t="s">
        <v>1002</v>
      </c>
      <c r="G248" s="209" t="s">
        <v>1003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2039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1789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1790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1846</v>
      </c>
      <c r="C249" s="209" t="s">
        <v>2201</v>
      </c>
      <c r="D249" s="209" t="s">
        <v>983</v>
      </c>
      <c r="E249" s="209" t="s">
        <v>1823</v>
      </c>
      <c r="F249" s="209" t="s">
        <v>1000</v>
      </c>
      <c r="G249" s="209" t="s">
        <v>1001</v>
      </c>
      <c r="H249" s="210"/>
      <c r="I249" s="211" t="s">
        <v>984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976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2039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1846</v>
      </c>
      <c r="C250" s="177" t="s">
        <v>2202</v>
      </c>
      <c r="D250" s="177" t="s">
        <v>2002</v>
      </c>
      <c r="E250" s="177"/>
      <c r="F250" s="177"/>
      <c r="G250" s="177" t="s">
        <v>2003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2</v>
      </c>
      <c r="X250" s="181">
        <f ca="1">SUMIFS(T:T,C:C,C250,AE:AE,"")/SUMIFS(L:L,C:C,C250,AE:AE,"",AB:AB,"")</f>
        <v>0.5</v>
      </c>
      <c r="Y250" s="181"/>
      <c r="Z250" s="181"/>
      <c r="AA250" s="181"/>
      <c r="AB250" s="181"/>
      <c r="AC250" s="228" t="s">
        <v>196</v>
      </c>
      <c r="AD250" s="184" t="s">
        <v>2039</v>
      </c>
      <c r="AE250" s="162" t="s">
        <v>143</v>
      </c>
      <c r="AF250" s="181" t="s">
        <v>1783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1846</v>
      </c>
      <c r="C251" s="199" t="s">
        <v>2202</v>
      </c>
      <c r="D251" s="199" t="s">
        <v>1007</v>
      </c>
      <c r="E251" s="199" t="s">
        <v>1868</v>
      </c>
      <c r="F251" s="199" t="s">
        <v>1006</v>
      </c>
      <c r="G251" s="199" t="s">
        <v>1003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203">
        <f t="shared" ref="U251" ca="1" si="459">+L251-T251</f>
        <v>0</v>
      </c>
      <c r="V251" s="203">
        <f t="shared" ref="V251" ca="1" si="460">ROUNDDOWN(T251/J251,0)</f>
        <v>4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2039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4</v>
      </c>
      <c r="AJ251" s="203">
        <f ca="1">+AH251-AI251</f>
        <v>0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1789</v>
      </c>
      <c r="BG251" s="141"/>
      <c r="BH251" s="141"/>
      <c r="BI251" s="153"/>
      <c r="BJ251" s="153"/>
      <c r="BK251" s="153"/>
      <c r="BL251" s="153" t="s">
        <v>1932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1790</v>
      </c>
      <c r="BZ251" s="141" t="s">
        <v>967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1863</v>
      </c>
      <c r="C252" s="177" t="s">
        <v>2137</v>
      </c>
      <c r="D252" s="177" t="s">
        <v>1864</v>
      </c>
      <c r="E252" s="177"/>
      <c r="F252" s="177"/>
      <c r="G252" s="177" t="s">
        <v>1865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0.25</v>
      </c>
      <c r="Y252" s="181"/>
      <c r="Z252" s="181"/>
      <c r="AA252" s="181"/>
      <c r="AB252" s="181"/>
      <c r="AC252" s="228" t="s">
        <v>196</v>
      </c>
      <c r="AD252" s="184" t="s">
        <v>2039</v>
      </c>
      <c r="AE252" s="162" t="s">
        <v>143</v>
      </c>
      <c r="AF252" s="181" t="s">
        <v>1783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1863</v>
      </c>
      <c r="C253" s="209" t="s">
        <v>2137</v>
      </c>
      <c r="D253" s="209" t="s">
        <v>1016</v>
      </c>
      <c r="E253" s="209" t="s">
        <v>1823</v>
      </c>
      <c r="F253" s="209" t="s">
        <v>1014</v>
      </c>
      <c r="G253" s="209" t="s">
        <v>1015</v>
      </c>
      <c r="H253" s="210"/>
      <c r="I253" s="211" t="s">
        <v>1017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976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2039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1863</v>
      </c>
      <c r="C254" s="199" t="s">
        <v>2137</v>
      </c>
      <c r="D254" s="199" t="s">
        <v>1010</v>
      </c>
      <c r="E254" s="199" t="s">
        <v>1802</v>
      </c>
      <c r="F254" s="199" t="s">
        <v>1008</v>
      </c>
      <c r="G254" s="199" t="s">
        <v>1009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2039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1789</v>
      </c>
      <c r="BG254" s="141"/>
      <c r="BH254" s="141"/>
      <c r="BI254" s="153"/>
      <c r="BJ254" s="153"/>
      <c r="BK254" s="153"/>
      <c r="BL254" s="153" t="s">
        <v>1932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1790</v>
      </c>
      <c r="BZ254" s="141" t="s">
        <v>1013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1863</v>
      </c>
      <c r="C255" s="209" t="s">
        <v>2137</v>
      </c>
      <c r="D255" s="209" t="s">
        <v>13</v>
      </c>
      <c r="E255" s="209" t="s">
        <v>1788</v>
      </c>
      <c r="F255" s="209" t="s">
        <v>1018</v>
      </c>
      <c r="G255" s="209" t="s">
        <v>1019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203">
        <f t="shared" ca="1" si="468"/>
        <v>0</v>
      </c>
      <c r="V255" s="203">
        <f t="shared" ca="1" si="469"/>
        <v>1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2039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1</v>
      </c>
      <c r="AJ255" s="203">
        <f t="shared" ca="1" si="473"/>
        <v>0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1789</v>
      </c>
      <c r="BG255" s="117"/>
      <c r="BH255" s="117"/>
      <c r="BI255" s="149"/>
      <c r="BJ255" s="149" t="s">
        <v>2004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1790</v>
      </c>
      <c r="BZ255" s="117" t="s">
        <v>1022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1863</v>
      </c>
      <c r="C256" s="177" t="s">
        <v>2138</v>
      </c>
      <c r="D256" s="177" t="s">
        <v>1866</v>
      </c>
      <c r="E256" s="177"/>
      <c r="F256" s="177"/>
      <c r="G256" s="177" t="s">
        <v>1867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2039</v>
      </c>
      <c r="AE256" s="162" t="s">
        <v>143</v>
      </c>
      <c r="AF256" s="181" t="s">
        <v>1783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1863</v>
      </c>
      <c r="C257" s="209" t="s">
        <v>2138</v>
      </c>
      <c r="D257" s="209" t="s">
        <v>1007</v>
      </c>
      <c r="E257" s="209" t="s">
        <v>1868</v>
      </c>
      <c r="F257" s="209" t="s">
        <v>1031</v>
      </c>
      <c r="G257" s="209" t="s">
        <v>1032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2039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1789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1790</v>
      </c>
      <c r="BZ257" s="117" t="s">
        <v>1034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1863</v>
      </c>
      <c r="C258" s="209" t="s">
        <v>2138</v>
      </c>
      <c r="D258" s="209" t="s">
        <v>1025</v>
      </c>
      <c r="E258" s="209" t="s">
        <v>1869</v>
      </c>
      <c r="F258" s="209" t="s">
        <v>1023</v>
      </c>
      <c r="G258" s="209" t="s">
        <v>1024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2068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1789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1790</v>
      </c>
      <c r="BZ258" s="117" t="s">
        <v>1028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1863</v>
      </c>
      <c r="C259" s="209" t="s">
        <v>2138</v>
      </c>
      <c r="D259" s="209" t="s">
        <v>13</v>
      </c>
      <c r="E259" s="209" t="s">
        <v>1788</v>
      </c>
      <c r="F259" s="209" t="s">
        <v>1029</v>
      </c>
      <c r="G259" s="209" t="s">
        <v>1030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2039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1789</v>
      </c>
      <c r="BG259" s="117"/>
      <c r="BH259" s="117"/>
      <c r="BI259" s="149"/>
      <c r="BJ259" s="149" t="s">
        <v>2004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1790</v>
      </c>
      <c r="BZ259" s="117" t="s">
        <v>1022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1863</v>
      </c>
      <c r="C260" s="177" t="s">
        <v>2141</v>
      </c>
      <c r="D260" s="177" t="s">
        <v>1871</v>
      </c>
      <c r="E260" s="177"/>
      <c r="F260" s="177"/>
      <c r="G260" s="177" t="s">
        <v>1872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0.3</v>
      </c>
      <c r="Y260" s="181"/>
      <c r="Z260" s="181"/>
      <c r="AA260" s="181"/>
      <c r="AB260" s="181"/>
      <c r="AC260" s="228" t="s">
        <v>196</v>
      </c>
      <c r="AD260" s="184" t="s">
        <v>2039</v>
      </c>
      <c r="AE260" s="162" t="s">
        <v>143</v>
      </c>
      <c r="AF260" s="181" t="s">
        <v>1783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1863</v>
      </c>
      <c r="C261" s="209" t="s">
        <v>2141</v>
      </c>
      <c r="D261" s="209" t="s">
        <v>1873</v>
      </c>
      <c r="E261" s="209" t="s">
        <v>1823</v>
      </c>
      <c r="F261" s="209" t="s">
        <v>1035</v>
      </c>
      <c r="G261" s="209" t="s">
        <v>1874</v>
      </c>
      <c r="H261" s="210"/>
      <c r="I261" s="211" t="s">
        <v>1017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976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2039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1863</v>
      </c>
      <c r="C262" s="209" t="s">
        <v>2141</v>
      </c>
      <c r="D262" s="209" t="s">
        <v>1007</v>
      </c>
      <c r="E262" s="209" t="s">
        <v>1868</v>
      </c>
      <c r="F262" s="209" t="s">
        <v>1039</v>
      </c>
      <c r="G262" s="209" t="s">
        <v>1040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2039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1789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1790</v>
      </c>
      <c r="BZ262" s="117" t="s">
        <v>1042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1863</v>
      </c>
      <c r="C263" s="209" t="s">
        <v>2141</v>
      </c>
      <c r="D263" s="209" t="s">
        <v>1007</v>
      </c>
      <c r="E263" s="209" t="s">
        <v>1875</v>
      </c>
      <c r="F263" s="209" t="s">
        <v>1043</v>
      </c>
      <c r="G263" s="209" t="s">
        <v>1044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2039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1789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1790</v>
      </c>
      <c r="BZ263" s="117" t="s">
        <v>1046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1863</v>
      </c>
      <c r="C264" s="209" t="s">
        <v>2141</v>
      </c>
      <c r="D264" s="209" t="s">
        <v>1037</v>
      </c>
      <c r="E264" s="209" t="s">
        <v>1823</v>
      </c>
      <c r="F264" s="209"/>
      <c r="G264" s="209" t="s">
        <v>1036</v>
      </c>
      <c r="H264" s="210" t="s">
        <v>1038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976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2039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1863</v>
      </c>
      <c r="C265" s="177" t="s">
        <v>2144</v>
      </c>
      <c r="D265" s="177" t="s">
        <v>1876</v>
      </c>
      <c r="E265" s="177"/>
      <c r="F265" s="177"/>
      <c r="G265" s="177" t="s">
        <v>1877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0.2857142857142857</v>
      </c>
      <c r="Y265" s="181"/>
      <c r="Z265" s="181"/>
      <c r="AA265" s="181"/>
      <c r="AB265" s="181"/>
      <c r="AC265" s="228" t="s">
        <v>196</v>
      </c>
      <c r="AD265" s="184" t="s">
        <v>2039</v>
      </c>
      <c r="AE265" s="162" t="s">
        <v>143</v>
      </c>
      <c r="AF265" s="181" t="s">
        <v>1783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1863</v>
      </c>
      <c r="C266" s="209" t="s">
        <v>2144</v>
      </c>
      <c r="D266" s="209" t="s">
        <v>1016</v>
      </c>
      <c r="E266" s="209" t="s">
        <v>1823</v>
      </c>
      <c r="F266" s="209" t="s">
        <v>1052</v>
      </c>
      <c r="G266" s="209" t="s">
        <v>1053</v>
      </c>
      <c r="H266" s="210"/>
      <c r="I266" s="211" t="s">
        <v>1017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976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2039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1863</v>
      </c>
      <c r="C267" s="209" t="s">
        <v>2144</v>
      </c>
      <c r="D267" s="209" t="s">
        <v>1010</v>
      </c>
      <c r="E267" s="209" t="s">
        <v>1802</v>
      </c>
      <c r="F267" s="209" t="s">
        <v>1047</v>
      </c>
      <c r="G267" s="209" t="s">
        <v>1048</v>
      </c>
      <c r="H267" s="210">
        <v>761</v>
      </c>
      <c r="I267" s="211" t="s">
        <v>1049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2039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1789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1790</v>
      </c>
      <c r="BZ267" s="117" t="s">
        <v>1051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1863</v>
      </c>
      <c r="C268" s="209" t="s">
        <v>2144</v>
      </c>
      <c r="D268" s="209" t="s">
        <v>13</v>
      </c>
      <c r="E268" s="209" t="s">
        <v>1788</v>
      </c>
      <c r="F268" s="209" t="s">
        <v>1056</v>
      </c>
      <c r="G268" s="209" t="s">
        <v>1057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203">
        <f t="shared" ca="1" si="531"/>
        <v>0</v>
      </c>
      <c r="V268" s="203">
        <f t="shared" ca="1" si="532"/>
        <v>1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2039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1</v>
      </c>
      <c r="AJ268" s="203">
        <f t="shared" ca="1" si="536"/>
        <v>0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1789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1790</v>
      </c>
      <c r="BZ268" s="117" t="s">
        <v>1060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1863</v>
      </c>
      <c r="C269" s="209" t="s">
        <v>2144</v>
      </c>
      <c r="D269" s="209" t="s">
        <v>13</v>
      </c>
      <c r="E269" s="209" t="s">
        <v>1791</v>
      </c>
      <c r="F269" s="209" t="s">
        <v>1061</v>
      </c>
      <c r="G269" s="209" t="s">
        <v>1062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2039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1789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1790</v>
      </c>
      <c r="BZ269" s="117" t="s">
        <v>1063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1863</v>
      </c>
      <c r="C270" s="209" t="s">
        <v>2144</v>
      </c>
      <c r="D270" s="209" t="s">
        <v>13</v>
      </c>
      <c r="E270" s="209" t="s">
        <v>1792</v>
      </c>
      <c r="F270" s="209" t="s">
        <v>1064</v>
      </c>
      <c r="G270" s="209" t="s">
        <v>1065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2039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1789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1790</v>
      </c>
      <c r="BZ270" s="117" t="s">
        <v>1063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1863</v>
      </c>
      <c r="C271" s="209" t="s">
        <v>2144</v>
      </c>
      <c r="D271" s="209" t="s">
        <v>1055</v>
      </c>
      <c r="E271" s="209" t="s">
        <v>1878</v>
      </c>
      <c r="F271" s="209" t="s">
        <v>1054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976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2039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1863</v>
      </c>
      <c r="C272" s="177" t="s">
        <v>2146</v>
      </c>
      <c r="D272" s="177" t="s">
        <v>1879</v>
      </c>
      <c r="E272" s="177"/>
      <c r="F272" s="177"/>
      <c r="G272" s="177" t="s">
        <v>1880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2039</v>
      </c>
      <c r="AE272" s="162" t="s">
        <v>143</v>
      </c>
      <c r="AF272" s="181" t="s">
        <v>1783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1863</v>
      </c>
      <c r="C273" s="209" t="s">
        <v>2146</v>
      </c>
      <c r="D273" s="209" t="s">
        <v>1016</v>
      </c>
      <c r="E273" s="209" t="s">
        <v>1823</v>
      </c>
      <c r="F273" s="209" t="s">
        <v>1067</v>
      </c>
      <c r="G273" s="209" t="s">
        <v>1053</v>
      </c>
      <c r="H273" s="210"/>
      <c r="I273" s="211" t="s">
        <v>1017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976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2039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1863</v>
      </c>
      <c r="C274" s="209" t="s">
        <v>2146</v>
      </c>
      <c r="D274" s="209" t="s">
        <v>1010</v>
      </c>
      <c r="E274" s="209" t="s">
        <v>1802</v>
      </c>
      <c r="F274" s="209" t="s">
        <v>1066</v>
      </c>
      <c r="G274" s="209" t="s">
        <v>1048</v>
      </c>
      <c r="H274" s="210">
        <v>604</v>
      </c>
      <c r="I274" s="211" t="s">
        <v>1049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2039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1789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1790</v>
      </c>
      <c r="BZ274" s="117" t="s">
        <v>1051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1863</v>
      </c>
      <c r="C275" s="209" t="s">
        <v>2146</v>
      </c>
      <c r="D275" s="209" t="s">
        <v>13</v>
      </c>
      <c r="E275" s="209" t="s">
        <v>1788</v>
      </c>
      <c r="F275" s="209" t="s">
        <v>1069</v>
      </c>
      <c r="G275" s="209" t="s">
        <v>1070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2039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1789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1790</v>
      </c>
      <c r="BZ275" s="117" t="s">
        <v>1013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1863</v>
      </c>
      <c r="C276" s="209" t="s">
        <v>2146</v>
      </c>
      <c r="D276" s="209" t="s">
        <v>1055</v>
      </c>
      <c r="E276" s="209" t="s">
        <v>1878</v>
      </c>
      <c r="F276" s="209" t="s">
        <v>1068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976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2039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1863</v>
      </c>
      <c r="C277" s="177" t="s">
        <v>2147</v>
      </c>
      <c r="D277" s="177" t="s">
        <v>1881</v>
      </c>
      <c r="E277" s="177"/>
      <c r="F277" s="177"/>
      <c r="G277" s="177" t="s">
        <v>1882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2039</v>
      </c>
      <c r="AE277" s="162" t="s">
        <v>143</v>
      </c>
      <c r="AF277" s="181" t="s">
        <v>1783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1863</v>
      </c>
      <c r="C278" s="209" t="s">
        <v>2147</v>
      </c>
      <c r="D278" s="209" t="s">
        <v>1073</v>
      </c>
      <c r="E278" s="209" t="s">
        <v>1883</v>
      </c>
      <c r="F278" s="209" t="s">
        <v>1071</v>
      </c>
      <c r="G278" s="209" t="s">
        <v>1072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2039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1789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1790</v>
      </c>
      <c r="BZ278" s="117" t="s">
        <v>957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2067</v>
      </c>
      <c r="C279" s="177" t="s">
        <v>2148</v>
      </c>
      <c r="D279" s="177" t="s">
        <v>1884</v>
      </c>
      <c r="E279" s="177"/>
      <c r="F279" s="177"/>
      <c r="G279" s="177" t="s">
        <v>1885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2039</v>
      </c>
      <c r="AE279" s="162" t="s">
        <v>143</v>
      </c>
      <c r="AF279" s="181" t="s">
        <v>1783</v>
      </c>
      <c r="AG279" s="181">
        <v>21</v>
      </c>
      <c r="AH279" s="181">
        <f>+AG279</f>
        <v>21</v>
      </c>
      <c r="AI279" s="181">
        <v>21</v>
      </c>
      <c r="AJ279" s="181">
        <f>+AH279-AI279</f>
        <v>0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2067</v>
      </c>
      <c r="C280" s="177" t="s">
        <v>2208</v>
      </c>
      <c r="D280" s="177" t="s">
        <v>1884</v>
      </c>
      <c r="E280" s="177"/>
      <c r="F280" s="177"/>
      <c r="G280" s="177" t="s">
        <v>1885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2039</v>
      </c>
      <c r="AE280" s="162" t="s">
        <v>143</v>
      </c>
      <c r="AF280" s="181" t="s">
        <v>1783</v>
      </c>
      <c r="AG280" s="181">
        <v>1</v>
      </c>
      <c r="AH280" s="181">
        <f t="shared" ref="AH280:AH282" si="579">+AG280</f>
        <v>1</v>
      </c>
      <c r="AI280" s="181">
        <v>1</v>
      </c>
      <c r="AJ280" s="181">
        <f t="shared" ref="AJ280:AJ282" si="580">+AH280-AI280</f>
        <v>0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2067</v>
      </c>
      <c r="C281" s="177" t="s">
        <v>2209</v>
      </c>
      <c r="D281" s="177" t="s">
        <v>1884</v>
      </c>
      <c r="E281" s="177"/>
      <c r="F281" s="177"/>
      <c r="G281" s="177" t="s">
        <v>1885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2039</v>
      </c>
      <c r="AE281" s="162" t="s">
        <v>143</v>
      </c>
      <c r="AF281" s="181" t="s">
        <v>1783</v>
      </c>
      <c r="AG281" s="181">
        <v>1</v>
      </c>
      <c r="AH281" s="181">
        <f t="shared" si="579"/>
        <v>1</v>
      </c>
      <c r="AI281" s="181">
        <v>1</v>
      </c>
      <c r="AJ281" s="181">
        <f t="shared" si="580"/>
        <v>0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2067</v>
      </c>
      <c r="C282" s="177" t="s">
        <v>2210</v>
      </c>
      <c r="D282" s="177" t="s">
        <v>1884</v>
      </c>
      <c r="E282" s="177"/>
      <c r="F282" s="177"/>
      <c r="G282" s="177" t="s">
        <v>1885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2039</v>
      </c>
      <c r="AE282" s="162" t="s">
        <v>143</v>
      </c>
      <c r="AF282" s="181" t="s">
        <v>1783</v>
      </c>
      <c r="AG282" s="181">
        <v>1</v>
      </c>
      <c r="AH282" s="181">
        <f t="shared" si="579"/>
        <v>1</v>
      </c>
      <c r="AI282" s="181">
        <v>1</v>
      </c>
      <c r="AJ282" s="181">
        <f t="shared" si="580"/>
        <v>0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2067</v>
      </c>
      <c r="C283" s="177" t="s">
        <v>2151</v>
      </c>
      <c r="D283" s="177" t="s">
        <v>1886</v>
      </c>
      <c r="E283" s="177"/>
      <c r="F283" s="177"/>
      <c r="G283" s="177" t="s">
        <v>1887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2039</v>
      </c>
      <c r="AE283" s="162" t="s">
        <v>143</v>
      </c>
      <c r="AF283" s="181" t="s">
        <v>1783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2067</v>
      </c>
      <c r="C284" s="177" t="s">
        <v>1892</v>
      </c>
      <c r="D284" s="177" t="s">
        <v>1893</v>
      </c>
      <c r="E284" s="177"/>
      <c r="F284" s="177"/>
      <c r="G284" s="177" t="s">
        <v>1894</v>
      </c>
      <c r="H284" s="178"/>
      <c r="I284" s="179" t="s">
        <v>1895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2039</v>
      </c>
      <c r="AE284" s="162" t="s">
        <v>143</v>
      </c>
      <c r="AF284" s="181" t="s">
        <v>1783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2067</v>
      </c>
      <c r="C285" s="177" t="s">
        <v>1896</v>
      </c>
      <c r="D285" s="177" t="s">
        <v>1897</v>
      </c>
      <c r="E285" s="177"/>
      <c r="F285" s="177"/>
      <c r="G285" s="177" t="s">
        <v>1898</v>
      </c>
      <c r="H285" s="178"/>
      <c r="I285" s="179" t="s">
        <v>1899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2039</v>
      </c>
      <c r="AE285" s="162" t="s">
        <v>143</v>
      </c>
      <c r="AF285" s="181" t="s">
        <v>1783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2067</v>
      </c>
      <c r="C286" s="177" t="s">
        <v>2010</v>
      </c>
      <c r="D286" s="177" t="s">
        <v>2011</v>
      </c>
      <c r="E286" s="177"/>
      <c r="F286" s="177"/>
      <c r="G286" s="177" t="s">
        <v>1890</v>
      </c>
      <c r="H286" s="178"/>
      <c r="I286" s="179" t="s">
        <v>1903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2039</v>
      </c>
      <c r="AE286" s="162" t="s">
        <v>143</v>
      </c>
      <c r="AF286" s="181" t="s">
        <v>1783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2067</v>
      </c>
      <c r="C287" s="177" t="s">
        <v>1900</v>
      </c>
      <c r="D287" s="177" t="s">
        <v>1901</v>
      </c>
      <c r="E287" s="177"/>
      <c r="F287" s="177"/>
      <c r="G287" s="177" t="s">
        <v>1902</v>
      </c>
      <c r="H287" s="178"/>
      <c r="I287" s="179" t="s">
        <v>1903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2039</v>
      </c>
      <c r="AE287" s="162" t="s">
        <v>143</v>
      </c>
      <c r="AF287" s="181" t="s">
        <v>1783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2067</v>
      </c>
      <c r="C288" s="177" t="s">
        <v>1904</v>
      </c>
      <c r="D288" s="177" t="s">
        <v>1901</v>
      </c>
      <c r="E288" s="177"/>
      <c r="F288" s="177"/>
      <c r="G288" s="177" t="s">
        <v>1905</v>
      </c>
      <c r="H288" s="178"/>
      <c r="I288" s="179" t="s">
        <v>1903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2039</v>
      </c>
      <c r="AE288" s="162" t="s">
        <v>143</v>
      </c>
      <c r="AF288" s="181" t="s">
        <v>1783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2067</v>
      </c>
      <c r="C289" s="177" t="s">
        <v>1906</v>
      </c>
      <c r="D289" s="177" t="s">
        <v>1907</v>
      </c>
      <c r="E289" s="177"/>
      <c r="F289" s="177"/>
      <c r="G289" s="177" t="s">
        <v>1908</v>
      </c>
      <c r="H289" s="178"/>
      <c r="I289" s="179" t="s">
        <v>1912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2039</v>
      </c>
      <c r="AE289" s="162" t="s">
        <v>143</v>
      </c>
      <c r="AF289" s="181" t="s">
        <v>1783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2067</v>
      </c>
      <c r="C290" s="177" t="s">
        <v>1910</v>
      </c>
      <c r="D290" s="177" t="s">
        <v>1907</v>
      </c>
      <c r="E290" s="177"/>
      <c r="F290" s="177"/>
      <c r="G290" s="177" t="s">
        <v>1911</v>
      </c>
      <c r="H290" s="178"/>
      <c r="I290" s="179" t="s">
        <v>1912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2039</v>
      </c>
      <c r="AE290" s="162" t="s">
        <v>143</v>
      </c>
      <c r="AF290" s="181" t="s">
        <v>1783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2067</v>
      </c>
      <c r="C291" s="177" t="s">
        <v>1913</v>
      </c>
      <c r="D291" s="177" t="s">
        <v>1907</v>
      </c>
      <c r="E291" s="177"/>
      <c r="F291" s="177"/>
      <c r="G291" s="177" t="s">
        <v>1914</v>
      </c>
      <c r="H291" s="178"/>
      <c r="I291" s="179" t="s">
        <v>1912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2039</v>
      </c>
      <c r="AE291" s="162" t="s">
        <v>143</v>
      </c>
      <c r="AF291" s="181" t="s">
        <v>1783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2067</v>
      </c>
      <c r="C292" s="177" t="s">
        <v>1915</v>
      </c>
      <c r="D292" s="177" t="s">
        <v>1073</v>
      </c>
      <c r="E292" s="177"/>
      <c r="F292" s="177"/>
      <c r="G292" s="177" t="s">
        <v>1914</v>
      </c>
      <c r="H292" s="178"/>
      <c r="I292" s="179" t="s">
        <v>1916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2039</v>
      </c>
      <c r="AE292" s="162" t="s">
        <v>143</v>
      </c>
      <c r="AF292" s="181" t="s">
        <v>1783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2067</v>
      </c>
      <c r="C293" s="177" t="s">
        <v>1917</v>
      </c>
      <c r="D293" s="177" t="s">
        <v>1073</v>
      </c>
      <c r="E293" s="177"/>
      <c r="F293" s="177"/>
      <c r="G293" s="177" t="s">
        <v>1908</v>
      </c>
      <c r="H293" s="178"/>
      <c r="I293" s="179" t="s">
        <v>1916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2039</v>
      </c>
      <c r="AE293" s="162" t="s">
        <v>143</v>
      </c>
      <c r="AF293" s="181" t="s">
        <v>1783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2067</v>
      </c>
      <c r="C294" s="177" t="s">
        <v>1918</v>
      </c>
      <c r="D294" s="177" t="s">
        <v>1073</v>
      </c>
      <c r="E294" s="177"/>
      <c r="F294" s="177"/>
      <c r="G294" s="177" t="s">
        <v>1911</v>
      </c>
      <c r="H294" s="178"/>
      <c r="I294" s="179" t="s">
        <v>1916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2039</v>
      </c>
      <c r="AE294" s="162" t="s">
        <v>143</v>
      </c>
      <c r="AF294" s="181" t="s">
        <v>1783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>
      <c r="A295" s="162">
        <v>138</v>
      </c>
      <c r="B295" s="177" t="s">
        <v>1919</v>
      </c>
      <c r="C295" s="177" t="s">
        <v>2152</v>
      </c>
      <c r="D295" s="177" t="s">
        <v>1920</v>
      </c>
      <c r="E295" s="177"/>
      <c r="F295" s="177"/>
      <c r="G295" s="177" t="s">
        <v>1921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1923</v>
      </c>
      <c r="AD295" s="184" t="s">
        <v>1924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1783</v>
      </c>
      <c r="AL295" s="181">
        <v>1</v>
      </c>
      <c r="AM295" s="181"/>
      <c r="AN295" s="181"/>
      <c r="AO295" s="181"/>
      <c r="AP295" s="181" t="s">
        <v>1922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1925</v>
      </c>
      <c r="BB295" s="182" t="s">
        <v>1926</v>
      </c>
      <c r="BC295" s="182" t="s">
        <v>1927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>
      <c r="A296" s="186"/>
      <c r="B296" s="187" t="s">
        <v>1919</v>
      </c>
      <c r="C296" s="187" t="s">
        <v>2153</v>
      </c>
      <c r="D296" s="187"/>
      <c r="E296" s="187"/>
      <c r="F296" s="187"/>
      <c r="G296" s="187" t="s">
        <v>1928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0.63247863247863245</v>
      </c>
      <c r="Y296" s="192"/>
      <c r="Z296" s="192"/>
      <c r="AA296" s="192"/>
      <c r="AB296" s="192"/>
      <c r="AC296" s="194" t="s">
        <v>1923</v>
      </c>
      <c r="AD296" s="195" t="s">
        <v>1924</v>
      </c>
      <c r="AE296" s="196" t="s">
        <v>1787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1925</v>
      </c>
      <c r="BB296" s="193" t="s">
        <v>1926</v>
      </c>
      <c r="BC296" s="193" t="s">
        <v>1927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>
      <c r="A297" s="117"/>
      <c r="B297" s="209" t="s">
        <v>1919</v>
      </c>
      <c r="C297" s="209" t="s">
        <v>2153</v>
      </c>
      <c r="D297" s="209" t="s">
        <v>1084</v>
      </c>
      <c r="E297" s="209" t="s">
        <v>1788</v>
      </c>
      <c r="F297" s="209" t="s">
        <v>1358</v>
      </c>
      <c r="G297" s="209" t="s">
        <v>1293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1923</v>
      </c>
      <c r="AD297" s="215" t="s">
        <v>1924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1925</v>
      </c>
      <c r="BB297" s="213" t="s">
        <v>1926</v>
      </c>
      <c r="BC297" s="213" t="s">
        <v>1927</v>
      </c>
      <c r="BD297" s="213" t="s">
        <v>140</v>
      </c>
      <c r="BE297" s="148"/>
      <c r="BF297" s="212" t="s">
        <v>1789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1790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>
      <c r="A298" s="117"/>
      <c r="B298" s="209" t="s">
        <v>1919</v>
      </c>
      <c r="C298" s="209" t="s">
        <v>2153</v>
      </c>
      <c r="D298" s="209" t="s">
        <v>1296</v>
      </c>
      <c r="E298" s="209" t="s">
        <v>1791</v>
      </c>
      <c r="F298" s="209" t="s">
        <v>1363</v>
      </c>
      <c r="G298" s="209" t="s">
        <v>1302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1923</v>
      </c>
      <c r="AD298" s="215" t="s">
        <v>1924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1925</v>
      </c>
      <c r="BB298" s="213" t="s">
        <v>1926</v>
      </c>
      <c r="BC298" s="213" t="s">
        <v>1927</v>
      </c>
      <c r="BD298" s="213" t="s">
        <v>140</v>
      </c>
      <c r="BE298" s="148"/>
      <c r="BF298" s="212" t="s">
        <v>1789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1790</v>
      </c>
      <c r="BZ298" s="158" t="s">
        <v>2155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>
      <c r="A299" s="117"/>
      <c r="B299" s="209" t="s">
        <v>1919</v>
      </c>
      <c r="C299" s="209" t="s">
        <v>2153</v>
      </c>
      <c r="D299" s="209" t="s">
        <v>1296</v>
      </c>
      <c r="E299" s="209" t="s">
        <v>1792</v>
      </c>
      <c r="F299" s="209" t="s">
        <v>1364</v>
      </c>
      <c r="G299" s="209" t="s">
        <v>1096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203">
        <f t="shared" ca="1" si="588"/>
        <v>1</v>
      </c>
      <c r="V299" s="203">
        <f t="shared" ca="1" si="589"/>
        <v>1</v>
      </c>
      <c r="W299" s="212"/>
      <c r="X299" s="212"/>
      <c r="Y299" s="212"/>
      <c r="Z299" s="212"/>
      <c r="AA299" s="212"/>
      <c r="AB299" s="212"/>
      <c r="AC299" s="214" t="s">
        <v>1923</v>
      </c>
      <c r="AD299" s="215" t="s">
        <v>1924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1</v>
      </c>
      <c r="AO299" s="203">
        <f t="shared" ca="1" si="595"/>
        <v>0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1925</v>
      </c>
      <c r="BB299" s="213" t="s">
        <v>1926</v>
      </c>
      <c r="BC299" s="213" t="s">
        <v>1927</v>
      </c>
      <c r="BD299" s="213" t="s">
        <v>140</v>
      </c>
      <c r="BE299" s="148"/>
      <c r="BF299" s="212" t="s">
        <v>1789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1790</v>
      </c>
      <c r="BZ299" s="158" t="s">
        <v>2156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>
      <c r="A300" s="117"/>
      <c r="B300" s="209" t="s">
        <v>1919</v>
      </c>
      <c r="C300" s="209" t="s">
        <v>2153</v>
      </c>
      <c r="D300" s="209" t="s">
        <v>1296</v>
      </c>
      <c r="E300" s="209" t="s">
        <v>1793</v>
      </c>
      <c r="F300" s="209" t="s">
        <v>1365</v>
      </c>
      <c r="G300" s="209" t="s">
        <v>1306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1923</v>
      </c>
      <c r="AD300" s="215" t="s">
        <v>1924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1925</v>
      </c>
      <c r="BB300" s="213" t="s">
        <v>1926</v>
      </c>
      <c r="BC300" s="213" t="s">
        <v>1927</v>
      </c>
      <c r="BD300" s="213" t="s">
        <v>140</v>
      </c>
      <c r="BE300" s="148"/>
      <c r="BF300" s="212" t="s">
        <v>1789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1790</v>
      </c>
      <c r="BZ300" s="158" t="s">
        <v>2157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>
      <c r="A301" s="117"/>
      <c r="B301" s="209" t="s">
        <v>1919</v>
      </c>
      <c r="C301" s="209" t="s">
        <v>2153</v>
      </c>
      <c r="D301" s="209" t="s">
        <v>1296</v>
      </c>
      <c r="E301" s="209" t="s">
        <v>1794</v>
      </c>
      <c r="F301" s="209" t="s">
        <v>1366</v>
      </c>
      <c r="G301" s="209" t="s">
        <v>1104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1923</v>
      </c>
      <c r="AD301" s="215" t="s">
        <v>1924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1925</v>
      </c>
      <c r="BB301" s="213" t="s">
        <v>1926</v>
      </c>
      <c r="BC301" s="213" t="s">
        <v>1927</v>
      </c>
      <c r="BD301" s="213" t="s">
        <v>140</v>
      </c>
      <c r="BE301" s="148"/>
      <c r="BF301" s="212" t="s">
        <v>1789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1790</v>
      </c>
      <c r="BZ301" s="158" t="s">
        <v>2157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>
      <c r="A302" s="117"/>
      <c r="B302" s="209" t="s">
        <v>1919</v>
      </c>
      <c r="C302" s="209" t="s">
        <v>2153</v>
      </c>
      <c r="D302" s="209" t="s">
        <v>1296</v>
      </c>
      <c r="E302" s="209" t="s">
        <v>1795</v>
      </c>
      <c r="F302" s="209" t="s">
        <v>1367</v>
      </c>
      <c r="G302" s="209" t="s">
        <v>1310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203">
        <f t="shared" ca="1" si="588"/>
        <v>1</v>
      </c>
      <c r="V302" s="203">
        <f t="shared" ca="1" si="589"/>
        <v>1</v>
      </c>
      <c r="W302" s="212"/>
      <c r="X302" s="212"/>
      <c r="Y302" s="212"/>
      <c r="Z302" s="212"/>
      <c r="AA302" s="212"/>
      <c r="AB302" s="212"/>
      <c r="AC302" s="214" t="s">
        <v>1923</v>
      </c>
      <c r="AD302" s="215" t="s">
        <v>1924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1</v>
      </c>
      <c r="AO302" s="203">
        <f t="shared" ca="1" si="595"/>
        <v>0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1925</v>
      </c>
      <c r="BB302" s="213" t="s">
        <v>1926</v>
      </c>
      <c r="BC302" s="213" t="s">
        <v>1927</v>
      </c>
      <c r="BD302" s="213" t="s">
        <v>140</v>
      </c>
      <c r="BE302" s="148"/>
      <c r="BF302" s="212" t="s">
        <v>1789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1790</v>
      </c>
      <c r="BZ302" s="158" t="s">
        <v>2156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>
      <c r="A303" s="117"/>
      <c r="B303" s="209" t="s">
        <v>1919</v>
      </c>
      <c r="C303" s="209" t="s">
        <v>2153</v>
      </c>
      <c r="D303" s="209" t="s">
        <v>1296</v>
      </c>
      <c r="E303" s="209" t="s">
        <v>1796</v>
      </c>
      <c r="F303" s="209" t="s">
        <v>1368</v>
      </c>
      <c r="G303" s="209" t="s">
        <v>1106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1923</v>
      </c>
      <c r="AD303" s="215" t="s">
        <v>1924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1925</v>
      </c>
      <c r="BB303" s="213" t="s">
        <v>1926</v>
      </c>
      <c r="BC303" s="213" t="s">
        <v>1927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1790</v>
      </c>
      <c r="BZ303" s="158" t="s">
        <v>2158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>
      <c r="A304" s="117"/>
      <c r="B304" s="209" t="s">
        <v>1919</v>
      </c>
      <c r="C304" s="209" t="s">
        <v>2153</v>
      </c>
      <c r="D304" s="209" t="s">
        <v>1296</v>
      </c>
      <c r="E304" s="209" t="s">
        <v>1797</v>
      </c>
      <c r="F304" s="209" t="s">
        <v>1369</v>
      </c>
      <c r="G304" s="209" t="s">
        <v>1030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1923</v>
      </c>
      <c r="AD304" s="215" t="s">
        <v>1924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1925</v>
      </c>
      <c r="BB304" s="213" t="s">
        <v>1926</v>
      </c>
      <c r="BC304" s="213" t="s">
        <v>1927</v>
      </c>
      <c r="BD304" s="213" t="s">
        <v>140</v>
      </c>
      <c r="BE304" s="148"/>
      <c r="BF304" s="212" t="s">
        <v>1789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1790</v>
      </c>
      <c r="BZ304" s="158" t="s">
        <v>2159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>
      <c r="A305" s="117"/>
      <c r="B305" s="209" t="s">
        <v>1919</v>
      </c>
      <c r="C305" s="209" t="s">
        <v>2153</v>
      </c>
      <c r="D305" s="209" t="s">
        <v>1076</v>
      </c>
      <c r="E305" s="209" t="s">
        <v>1798</v>
      </c>
      <c r="F305" s="209" t="s">
        <v>1370</v>
      </c>
      <c r="G305" s="209" t="s">
        <v>1030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1923</v>
      </c>
      <c r="AD305" s="215" t="s">
        <v>1924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1925</v>
      </c>
      <c r="BB305" s="213" t="s">
        <v>1926</v>
      </c>
      <c r="BC305" s="213" t="s">
        <v>1927</v>
      </c>
      <c r="BD305" s="213" t="s">
        <v>140</v>
      </c>
      <c r="BE305" s="148"/>
      <c r="BF305" s="212" t="s">
        <v>1789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1790</v>
      </c>
      <c r="BZ305" s="158" t="s">
        <v>2159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>
      <c r="A306" s="117"/>
      <c r="B306" s="209" t="s">
        <v>1919</v>
      </c>
      <c r="C306" s="209" t="s">
        <v>2153</v>
      </c>
      <c r="D306" s="209" t="s">
        <v>1296</v>
      </c>
      <c r="E306" s="209" t="s">
        <v>1799</v>
      </c>
      <c r="F306" s="209" t="s">
        <v>1359</v>
      </c>
      <c r="G306" s="209" t="s">
        <v>1295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3</v>
      </c>
      <c r="U306" s="203">
        <f t="shared" ca="1" si="588"/>
        <v>1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1923</v>
      </c>
      <c r="AD306" s="215" t="s">
        <v>1924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2</v>
      </c>
      <c r="AT306" s="203">
        <f t="shared" ca="1" si="598"/>
        <v>0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1925</v>
      </c>
      <c r="BB306" s="213" t="s">
        <v>1926</v>
      </c>
      <c r="BC306" s="213" t="s">
        <v>1927</v>
      </c>
      <c r="BD306" s="213" t="s">
        <v>140</v>
      </c>
      <c r="BE306" s="148"/>
      <c r="BF306" s="212" t="s">
        <v>1789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1790</v>
      </c>
      <c r="BZ306" s="158" t="s">
        <v>2156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>
      <c r="A307" s="117"/>
      <c r="B307" s="209" t="s">
        <v>1919</v>
      </c>
      <c r="C307" s="209" t="s">
        <v>2153</v>
      </c>
      <c r="D307" s="209" t="s">
        <v>1296</v>
      </c>
      <c r="E307" s="209" t="s">
        <v>1800</v>
      </c>
      <c r="F307" s="209" t="s">
        <v>1360</v>
      </c>
      <c r="G307" s="209" t="s">
        <v>1298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1923</v>
      </c>
      <c r="AD307" s="215" t="s">
        <v>1924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1925</v>
      </c>
      <c r="BB307" s="213" t="s">
        <v>1926</v>
      </c>
      <c r="BC307" s="213" t="s">
        <v>1927</v>
      </c>
      <c r="BD307" s="213" t="s">
        <v>140</v>
      </c>
      <c r="BE307" s="148"/>
      <c r="BF307" s="212" t="s">
        <v>1789</v>
      </c>
      <c r="BG307" s="117"/>
      <c r="BH307" s="155"/>
      <c r="BI307" s="216"/>
      <c r="BJ307" s="229" t="s">
        <v>1929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1790</v>
      </c>
      <c r="BZ307" s="158" t="s">
        <v>2159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>
      <c r="A308" s="141"/>
      <c r="B308" s="199" t="s">
        <v>1919</v>
      </c>
      <c r="C308" s="199" t="s">
        <v>2153</v>
      </c>
      <c r="D308" s="199" t="s">
        <v>1296</v>
      </c>
      <c r="E308" s="199" t="s">
        <v>1930</v>
      </c>
      <c r="F308" s="199" t="s">
        <v>1361</v>
      </c>
      <c r="G308" s="199" t="s">
        <v>1298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1923</v>
      </c>
      <c r="AD308" s="206" t="s">
        <v>1924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1925</v>
      </c>
      <c r="BB308" s="204" t="s">
        <v>1926</v>
      </c>
      <c r="BC308" s="204" t="s">
        <v>1927</v>
      </c>
      <c r="BD308" s="204" t="s">
        <v>140</v>
      </c>
      <c r="BE308" s="166"/>
      <c r="BF308" s="203" t="s">
        <v>1789</v>
      </c>
      <c r="BG308" s="141"/>
      <c r="BH308" s="152"/>
      <c r="BI308" s="207"/>
      <c r="BJ308" s="230" t="s">
        <v>1931</v>
      </c>
      <c r="BK308" s="230"/>
      <c r="BL308" s="153" t="s">
        <v>1932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1790</v>
      </c>
      <c r="BZ308" s="158" t="s">
        <v>2159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>
      <c r="A309" s="117"/>
      <c r="B309" s="209" t="s">
        <v>1919</v>
      </c>
      <c r="C309" s="209" t="s">
        <v>2153</v>
      </c>
      <c r="D309" s="209" t="s">
        <v>1296</v>
      </c>
      <c r="E309" s="209" t="s">
        <v>1801</v>
      </c>
      <c r="F309" s="209" t="s">
        <v>1362</v>
      </c>
      <c r="G309" s="209" t="s">
        <v>1090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1923</v>
      </c>
      <c r="AD309" s="215" t="s">
        <v>1924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1925</v>
      </c>
      <c r="BB309" s="213" t="s">
        <v>1926</v>
      </c>
      <c r="BC309" s="213" t="s">
        <v>1927</v>
      </c>
      <c r="BD309" s="213" t="s">
        <v>140</v>
      </c>
      <c r="BE309" s="148"/>
      <c r="BF309" s="212" t="s">
        <v>1789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1790</v>
      </c>
      <c r="BZ309" s="158" t="s">
        <v>2160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>
      <c r="A310" s="117"/>
      <c r="B310" s="209" t="s">
        <v>1919</v>
      </c>
      <c r="C310" s="209" t="s">
        <v>2153</v>
      </c>
      <c r="D310" s="209" t="s">
        <v>1076</v>
      </c>
      <c r="E310" s="209" t="s">
        <v>1802</v>
      </c>
      <c r="F310" s="209" t="s">
        <v>1356</v>
      </c>
      <c r="G310" s="209" t="s">
        <v>1075</v>
      </c>
      <c r="H310" s="210">
        <v>812</v>
      </c>
      <c r="I310" s="211" t="s">
        <v>1077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1923</v>
      </c>
      <c r="AD310" s="215" t="s">
        <v>1924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1925</v>
      </c>
      <c r="BB310" s="213" t="s">
        <v>1926</v>
      </c>
      <c r="BC310" s="213" t="s">
        <v>1927</v>
      </c>
      <c r="BD310" s="213" t="s">
        <v>140</v>
      </c>
      <c r="BE310" s="148"/>
      <c r="BF310" s="212" t="s">
        <v>1789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1790</v>
      </c>
      <c r="BZ310" s="158" t="s">
        <v>2161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>
      <c r="A311" s="117"/>
      <c r="B311" s="209" t="s">
        <v>1919</v>
      </c>
      <c r="C311" s="209" t="s">
        <v>2153</v>
      </c>
      <c r="D311" s="209" t="s">
        <v>1076</v>
      </c>
      <c r="E311" s="199" t="s">
        <v>1803</v>
      </c>
      <c r="F311" s="199" t="s">
        <v>1357</v>
      </c>
      <c r="G311" s="209" t="s">
        <v>1080</v>
      </c>
      <c r="H311" s="210">
        <v>737</v>
      </c>
      <c r="I311" s="211" t="s">
        <v>1077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1923</v>
      </c>
      <c r="AD311" s="215" t="s">
        <v>1924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1925</v>
      </c>
      <c r="BB311" s="213" t="s">
        <v>1926</v>
      </c>
      <c r="BC311" s="213" t="s">
        <v>1927</v>
      </c>
      <c r="BD311" s="213" t="s">
        <v>140</v>
      </c>
      <c r="BE311" s="148"/>
      <c r="BF311" s="212" t="s">
        <v>1789</v>
      </c>
      <c r="BG311" s="117"/>
      <c r="BH311" s="141" t="s">
        <v>1933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1790</v>
      </c>
      <c r="BZ311" s="158" t="s">
        <v>2162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>
      <c r="A312" s="186"/>
      <c r="B312" s="187" t="s">
        <v>1919</v>
      </c>
      <c r="C312" s="187" t="s">
        <v>2163</v>
      </c>
      <c r="D312" s="187"/>
      <c r="E312" s="187"/>
      <c r="F312" s="187"/>
      <c r="G312" s="187" t="s">
        <v>1934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0.7142857142857143</v>
      </c>
      <c r="Y312" s="192"/>
      <c r="Z312" s="192"/>
      <c r="AA312" s="192"/>
      <c r="AB312" s="192"/>
      <c r="AC312" s="194" t="s">
        <v>1923</v>
      </c>
      <c r="AD312" s="195" t="s">
        <v>1924</v>
      </c>
      <c r="AE312" s="196" t="s">
        <v>1787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1925</v>
      </c>
      <c r="BB312" s="193" t="s">
        <v>1926</v>
      </c>
      <c r="BC312" s="193" t="s">
        <v>1927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1291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>
      <c r="A313" s="117"/>
      <c r="B313" s="209" t="s">
        <v>1919</v>
      </c>
      <c r="C313" s="209" t="s">
        <v>2163</v>
      </c>
      <c r="D313" s="209" t="s">
        <v>1084</v>
      </c>
      <c r="E313" s="209" t="s">
        <v>1815</v>
      </c>
      <c r="F313" s="209" t="s">
        <v>1377</v>
      </c>
      <c r="G313" s="209" t="s">
        <v>1293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1923</v>
      </c>
      <c r="AD313" s="215" t="s">
        <v>1924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1925</v>
      </c>
      <c r="BB313" s="213" t="s">
        <v>1926</v>
      </c>
      <c r="BC313" s="213" t="s">
        <v>1927</v>
      </c>
      <c r="BD313" s="213" t="s">
        <v>140</v>
      </c>
      <c r="BE313" s="148"/>
      <c r="BF313" s="212" t="s">
        <v>1789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1790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>
      <c r="A314" s="117"/>
      <c r="B314" s="209" t="s">
        <v>1919</v>
      </c>
      <c r="C314" s="209" t="s">
        <v>2163</v>
      </c>
      <c r="D314" s="209" t="s">
        <v>1296</v>
      </c>
      <c r="E314" s="209" t="s">
        <v>1805</v>
      </c>
      <c r="F314" s="209" t="s">
        <v>1378</v>
      </c>
      <c r="G314" s="209" t="s">
        <v>1316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1923</v>
      </c>
      <c r="AD314" s="215" t="s">
        <v>1924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1925</v>
      </c>
      <c r="BB314" s="213" t="s">
        <v>1926</v>
      </c>
      <c r="BC314" s="213" t="s">
        <v>1927</v>
      </c>
      <c r="BD314" s="213" t="s">
        <v>140</v>
      </c>
      <c r="BE314" s="148"/>
      <c r="BF314" s="212" t="s">
        <v>1789</v>
      </c>
      <c r="BG314" s="117"/>
      <c r="BH314" s="155"/>
      <c r="BI314" s="216"/>
      <c r="BJ314" s="229" t="s">
        <v>1935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1790</v>
      </c>
      <c r="BZ314" s="158" t="s">
        <v>2164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>
      <c r="A315" s="117"/>
      <c r="B315" s="209" t="s">
        <v>1919</v>
      </c>
      <c r="C315" s="209" t="s">
        <v>2163</v>
      </c>
      <c r="D315" s="209" t="s">
        <v>1296</v>
      </c>
      <c r="E315" s="209" t="s">
        <v>1816</v>
      </c>
      <c r="F315" s="209" t="s">
        <v>1379</v>
      </c>
      <c r="G315" s="219" t="s">
        <v>1335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1923</v>
      </c>
      <c r="AD315" s="215" t="s">
        <v>1924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1925</v>
      </c>
      <c r="BB315" s="213" t="s">
        <v>1926</v>
      </c>
      <c r="BC315" s="213" t="s">
        <v>1927</v>
      </c>
      <c r="BD315" s="213" t="s">
        <v>140</v>
      </c>
      <c r="BE315" s="148"/>
      <c r="BF315" s="212" t="s">
        <v>1789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2165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1790</v>
      </c>
      <c r="BZ315" s="167" t="s">
        <v>2166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>
      <c r="A316" s="117"/>
      <c r="B316" s="209" t="s">
        <v>1919</v>
      </c>
      <c r="C316" s="209" t="s">
        <v>2163</v>
      </c>
      <c r="D316" s="209" t="s">
        <v>1076</v>
      </c>
      <c r="E316" s="209" t="s">
        <v>1817</v>
      </c>
      <c r="F316" s="209" t="s">
        <v>1380</v>
      </c>
      <c r="G316" s="209" t="s">
        <v>1343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203">
        <f t="shared" ca="1" si="609"/>
        <v>1</v>
      </c>
      <c r="V316" s="203">
        <f t="shared" ca="1" si="610"/>
        <v>1</v>
      </c>
      <c r="W316" s="212"/>
      <c r="X316" s="212"/>
      <c r="Y316" s="212"/>
      <c r="Z316" s="212"/>
      <c r="AA316" s="212"/>
      <c r="AB316" s="212"/>
      <c r="AC316" s="214" t="s">
        <v>1923</v>
      </c>
      <c r="AD316" s="215" t="s">
        <v>1924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1</v>
      </c>
      <c r="AO316" s="203">
        <f t="shared" ca="1" si="616"/>
        <v>0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1925</v>
      </c>
      <c r="BB316" s="213" t="s">
        <v>1926</v>
      </c>
      <c r="BC316" s="213" t="s">
        <v>1927</v>
      </c>
      <c r="BD316" s="213" t="s">
        <v>140</v>
      </c>
      <c r="BE316" s="148"/>
      <c r="BF316" s="212" t="s">
        <v>1789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1790</v>
      </c>
      <c r="BZ316" s="158" t="s">
        <v>2167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>
      <c r="A317" s="117"/>
      <c r="B317" s="209" t="s">
        <v>1919</v>
      </c>
      <c r="C317" s="209" t="s">
        <v>2163</v>
      </c>
      <c r="D317" s="209" t="s">
        <v>1076</v>
      </c>
      <c r="E317" s="209" t="s">
        <v>1806</v>
      </c>
      <c r="F317" s="209" t="s">
        <v>1381</v>
      </c>
      <c r="G317" s="209" t="s">
        <v>1346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1</v>
      </c>
      <c r="U317" s="203">
        <f t="shared" ca="1" si="609"/>
        <v>1</v>
      </c>
      <c r="V317" s="203">
        <f t="shared" ca="1" si="610"/>
        <v>1</v>
      </c>
      <c r="W317" s="212"/>
      <c r="X317" s="212"/>
      <c r="Y317" s="212"/>
      <c r="Z317" s="212"/>
      <c r="AA317" s="212"/>
      <c r="AB317" s="212"/>
      <c r="AC317" s="214" t="s">
        <v>1923</v>
      </c>
      <c r="AD317" s="215" t="s">
        <v>1924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1</v>
      </c>
      <c r="AO317" s="203">
        <f t="shared" ca="1" si="616"/>
        <v>0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1925</v>
      </c>
      <c r="BB317" s="213" t="s">
        <v>1926</v>
      </c>
      <c r="BC317" s="213" t="s">
        <v>1927</v>
      </c>
      <c r="BD317" s="213" t="s">
        <v>140</v>
      </c>
      <c r="BE317" s="148"/>
      <c r="BF317" s="212" t="s">
        <v>1789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1790</v>
      </c>
      <c r="BZ317" s="158" t="s">
        <v>2167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>
      <c r="A318" s="117"/>
      <c r="B318" s="209" t="s">
        <v>1919</v>
      </c>
      <c r="C318" s="209" t="s">
        <v>2163</v>
      </c>
      <c r="D318" s="209" t="s">
        <v>1296</v>
      </c>
      <c r="E318" s="209" t="s">
        <v>1936</v>
      </c>
      <c r="F318" s="209" t="s">
        <v>1387</v>
      </c>
      <c r="G318" s="209" t="s">
        <v>1138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ca="1" si="609"/>
        <v>0</v>
      </c>
      <c r="V318" s="203">
        <f t="shared" ca="1" si="610"/>
        <v>2</v>
      </c>
      <c r="W318" s="212"/>
      <c r="X318" s="212"/>
      <c r="Y318" s="212"/>
      <c r="Z318" s="212"/>
      <c r="AA318" s="212"/>
      <c r="AB318" s="212"/>
      <c r="AC318" s="214" t="s">
        <v>1923</v>
      </c>
      <c r="AD318" s="215" t="s">
        <v>1924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1</v>
      </c>
      <c r="AO318" s="203">
        <f t="shared" ca="1" si="616"/>
        <v>0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1</v>
      </c>
      <c r="AT318" s="203">
        <f t="shared" ca="1" si="619"/>
        <v>0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1925</v>
      </c>
      <c r="BB318" s="213" t="s">
        <v>1926</v>
      </c>
      <c r="BC318" s="213" t="s">
        <v>1927</v>
      </c>
      <c r="BD318" s="213" t="s">
        <v>140</v>
      </c>
      <c r="BE318" s="148"/>
      <c r="BF318" s="212" t="s">
        <v>1789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1790</v>
      </c>
      <c r="BZ318" s="158" t="s">
        <v>2156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>
      <c r="A319" s="117"/>
      <c r="B319" s="209" t="s">
        <v>1919</v>
      </c>
      <c r="C319" s="209" t="s">
        <v>2163</v>
      </c>
      <c r="D319" s="209" t="s">
        <v>1296</v>
      </c>
      <c r="E319" s="209" t="s">
        <v>1807</v>
      </c>
      <c r="F319" s="209" t="s">
        <v>1382</v>
      </c>
      <c r="G319" s="209" t="s">
        <v>1096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203">
        <f t="shared" ca="1" si="609"/>
        <v>1</v>
      </c>
      <c r="V319" s="203">
        <f t="shared" ca="1" si="610"/>
        <v>1</v>
      </c>
      <c r="W319" s="212"/>
      <c r="X319" s="212"/>
      <c r="Y319" s="212"/>
      <c r="Z319" s="212"/>
      <c r="AA319" s="212"/>
      <c r="AB319" s="212"/>
      <c r="AC319" s="214" t="s">
        <v>1923</v>
      </c>
      <c r="AD319" s="215" t="s">
        <v>1924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1</v>
      </c>
      <c r="AO319" s="203">
        <f t="shared" ca="1" si="616"/>
        <v>0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1925</v>
      </c>
      <c r="BB319" s="213" t="s">
        <v>1926</v>
      </c>
      <c r="BC319" s="213" t="s">
        <v>1927</v>
      </c>
      <c r="BD319" s="213" t="s">
        <v>140</v>
      </c>
      <c r="BE319" s="148"/>
      <c r="BF319" s="212" t="s">
        <v>1789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1790</v>
      </c>
      <c r="BZ319" s="158" t="s">
        <v>2156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>
      <c r="A320" s="117"/>
      <c r="B320" s="209" t="s">
        <v>1919</v>
      </c>
      <c r="C320" s="209" t="s">
        <v>2163</v>
      </c>
      <c r="D320" s="209" t="s">
        <v>1296</v>
      </c>
      <c r="E320" s="209" t="s">
        <v>1818</v>
      </c>
      <c r="F320" s="209" t="s">
        <v>1383</v>
      </c>
      <c r="G320" s="209" t="s">
        <v>1349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1923</v>
      </c>
      <c r="AD320" s="215" t="s">
        <v>1924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1925</v>
      </c>
      <c r="BB320" s="213" t="s">
        <v>1926</v>
      </c>
      <c r="BC320" s="213" t="s">
        <v>1927</v>
      </c>
      <c r="BD320" s="213" t="s">
        <v>140</v>
      </c>
      <c r="BE320" s="148"/>
      <c r="BF320" s="212" t="s">
        <v>1789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1790</v>
      </c>
      <c r="BZ320" s="158" t="s">
        <v>2156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>
      <c r="A321" s="117"/>
      <c r="B321" s="209" t="s">
        <v>1919</v>
      </c>
      <c r="C321" s="209" t="s">
        <v>2163</v>
      </c>
      <c r="D321" s="209" t="s">
        <v>1296</v>
      </c>
      <c r="E321" s="209" t="s">
        <v>1819</v>
      </c>
      <c r="F321" s="209" t="s">
        <v>1384</v>
      </c>
      <c r="G321" s="209" t="s">
        <v>1134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1923</v>
      </c>
      <c r="AD321" s="215" t="s">
        <v>1924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1925</v>
      </c>
      <c r="BB321" s="213" t="s">
        <v>1926</v>
      </c>
      <c r="BC321" s="213" t="s">
        <v>1927</v>
      </c>
      <c r="BD321" s="213" t="s">
        <v>140</v>
      </c>
      <c r="BE321" s="148"/>
      <c r="BF321" s="212" t="s">
        <v>1789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1790</v>
      </c>
      <c r="BZ321" s="158" t="s">
        <v>2156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>
      <c r="A322" s="117"/>
      <c r="B322" s="209" t="s">
        <v>1919</v>
      </c>
      <c r="C322" s="209" t="s">
        <v>2163</v>
      </c>
      <c r="D322" s="209" t="s">
        <v>1296</v>
      </c>
      <c r="E322" s="209" t="s">
        <v>1820</v>
      </c>
      <c r="F322" s="209" t="s">
        <v>1385</v>
      </c>
      <c r="G322" s="209" t="s">
        <v>1352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1923</v>
      </c>
      <c r="AD322" s="215" t="s">
        <v>1924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1925</v>
      </c>
      <c r="BB322" s="213" t="s">
        <v>1926</v>
      </c>
      <c r="BC322" s="213" t="s">
        <v>1927</v>
      </c>
      <c r="BD322" s="213" t="s">
        <v>140</v>
      </c>
      <c r="BE322" s="148"/>
      <c r="BF322" s="212" t="s">
        <v>1789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1790</v>
      </c>
      <c r="BZ322" s="158" t="s">
        <v>2155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>
      <c r="A323" s="117"/>
      <c r="B323" s="209" t="s">
        <v>1919</v>
      </c>
      <c r="C323" s="209" t="s">
        <v>2163</v>
      </c>
      <c r="D323" s="209" t="s">
        <v>1296</v>
      </c>
      <c r="E323" s="209" t="s">
        <v>1808</v>
      </c>
      <c r="F323" s="209" t="s">
        <v>1386</v>
      </c>
      <c r="G323" s="209" t="s">
        <v>1354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1923</v>
      </c>
      <c r="AD323" s="215" t="s">
        <v>1924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1925</v>
      </c>
      <c r="BB323" s="213" t="s">
        <v>1926</v>
      </c>
      <c r="BC323" s="213" t="s">
        <v>1927</v>
      </c>
      <c r="BD323" s="213" t="s">
        <v>140</v>
      </c>
      <c r="BE323" s="148"/>
      <c r="BF323" s="212" t="s">
        <v>1789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1790</v>
      </c>
      <c r="BZ323" s="158" t="s">
        <v>2155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>
      <c r="A324" s="117"/>
      <c r="B324" s="209" t="s">
        <v>1919</v>
      </c>
      <c r="C324" s="209" t="s">
        <v>2163</v>
      </c>
      <c r="D324" s="209" t="s">
        <v>1076</v>
      </c>
      <c r="E324" s="199" t="s">
        <v>1803</v>
      </c>
      <c r="F324" s="199" t="s">
        <v>1375</v>
      </c>
      <c r="G324" s="209" t="s">
        <v>1080</v>
      </c>
      <c r="H324" s="210">
        <v>737</v>
      </c>
      <c r="I324" s="211" t="s">
        <v>1077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1923</v>
      </c>
      <c r="AD324" s="215" t="s">
        <v>1924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1925</v>
      </c>
      <c r="BB324" s="213" t="s">
        <v>1926</v>
      </c>
      <c r="BC324" s="213" t="s">
        <v>1927</v>
      </c>
      <c r="BD324" s="213" t="s">
        <v>140</v>
      </c>
      <c r="BE324" s="148"/>
      <c r="BF324" s="212" t="s">
        <v>1789</v>
      </c>
      <c r="BG324" s="117"/>
      <c r="BH324" s="141" t="s">
        <v>1933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1790</v>
      </c>
      <c r="BZ324" s="158" t="s">
        <v>2162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>
      <c r="A325" s="141"/>
      <c r="B325" s="199" t="s">
        <v>1919</v>
      </c>
      <c r="C325" s="199" t="s">
        <v>2163</v>
      </c>
      <c r="D325" s="199" t="s">
        <v>1129</v>
      </c>
      <c r="E325" s="199" t="s">
        <v>1823</v>
      </c>
      <c r="F325" s="199" t="s">
        <v>1376</v>
      </c>
      <c r="G325" s="199" t="s">
        <v>1128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1923</v>
      </c>
      <c r="AD325" s="225" t="s">
        <v>1924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1925</v>
      </c>
      <c r="BB325" s="204" t="s">
        <v>1926</v>
      </c>
      <c r="BC325" s="204" t="s">
        <v>1927</v>
      </c>
      <c r="BD325" s="204" t="s">
        <v>140</v>
      </c>
      <c r="BE325" s="166"/>
      <c r="BF325" s="212" t="s">
        <v>1789</v>
      </c>
      <c r="BG325" s="141"/>
      <c r="BH325" s="152"/>
      <c r="BI325" s="207"/>
      <c r="BJ325" s="207"/>
      <c r="BK325" s="153" t="s">
        <v>1824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1790</v>
      </c>
      <c r="BZ325" s="167" t="s">
        <v>2168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>
      <c r="A326" s="186"/>
      <c r="B326" s="187" t="s">
        <v>1919</v>
      </c>
      <c r="C326" s="187" t="s">
        <v>2169</v>
      </c>
      <c r="D326" s="187"/>
      <c r="E326" s="187"/>
      <c r="F326" s="187"/>
      <c r="G326" s="187" t="s">
        <v>1937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1923</v>
      </c>
      <c r="AD326" s="195" t="s">
        <v>1924</v>
      </c>
      <c r="AE326" s="196" t="s">
        <v>1787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1925</v>
      </c>
      <c r="BB326" s="193" t="s">
        <v>1926</v>
      </c>
      <c r="BC326" s="193" t="s">
        <v>1927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>
      <c r="A327" s="117"/>
      <c r="B327" s="209" t="s">
        <v>1919</v>
      </c>
      <c r="C327" s="209" t="s">
        <v>2169</v>
      </c>
      <c r="D327" s="209" t="s">
        <v>1084</v>
      </c>
      <c r="E327" s="209" t="s">
        <v>1811</v>
      </c>
      <c r="F327" s="209" t="s">
        <v>1372</v>
      </c>
      <c r="G327" s="209" t="s">
        <v>1293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1923</v>
      </c>
      <c r="AD327" s="215" t="s">
        <v>1924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1925</v>
      </c>
      <c r="BB327" s="213" t="s">
        <v>1926</v>
      </c>
      <c r="BC327" s="213" t="s">
        <v>1927</v>
      </c>
      <c r="BD327" s="213" t="s">
        <v>140</v>
      </c>
      <c r="BE327" s="148"/>
      <c r="BF327" s="212" t="s">
        <v>1789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1790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>
      <c r="A328" s="117"/>
      <c r="B328" s="209" t="s">
        <v>1919</v>
      </c>
      <c r="C328" s="209" t="s">
        <v>2169</v>
      </c>
      <c r="D328" s="209" t="s">
        <v>1296</v>
      </c>
      <c r="E328" s="209" t="s">
        <v>1816</v>
      </c>
      <c r="F328" s="209" t="s">
        <v>1371</v>
      </c>
      <c r="G328" s="219" t="s">
        <v>1335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1923</v>
      </c>
      <c r="AD328" s="215" t="s">
        <v>1924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1925</v>
      </c>
      <c r="BB328" s="213" t="s">
        <v>1926</v>
      </c>
      <c r="BC328" s="213" t="s">
        <v>1927</v>
      </c>
      <c r="BD328" s="213" t="s">
        <v>140</v>
      </c>
      <c r="BE328" s="148"/>
      <c r="BF328" s="212" t="s">
        <v>1789</v>
      </c>
      <c r="BG328" s="117"/>
      <c r="BH328" s="155"/>
      <c r="BI328" s="216"/>
      <c r="BJ328" s="229" t="s">
        <v>1938</v>
      </c>
      <c r="BK328" s="229"/>
      <c r="BL328" s="149"/>
      <c r="BM328" s="149"/>
      <c r="BN328" s="149"/>
      <c r="BO328" s="149"/>
      <c r="BP328" s="149" t="s">
        <v>2165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1790</v>
      </c>
      <c r="BZ328" s="167" t="s">
        <v>2166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>
      <c r="A329" s="117"/>
      <c r="B329" s="209" t="s">
        <v>1919</v>
      </c>
      <c r="C329" s="209" t="s">
        <v>2169</v>
      </c>
      <c r="D329" s="209" t="s">
        <v>1296</v>
      </c>
      <c r="E329" s="209" t="s">
        <v>1821</v>
      </c>
      <c r="F329" s="209" t="s">
        <v>1373</v>
      </c>
      <c r="G329" s="209" t="s">
        <v>1125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1923</v>
      </c>
      <c r="AD329" s="215" t="s">
        <v>1924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1925</v>
      </c>
      <c r="BB329" s="213" t="s">
        <v>1926</v>
      </c>
      <c r="BC329" s="213" t="s">
        <v>1927</v>
      </c>
      <c r="BD329" s="213" t="s">
        <v>140</v>
      </c>
      <c r="BE329" s="148"/>
      <c r="BF329" s="212" t="s">
        <v>1789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1790</v>
      </c>
      <c r="BZ329" s="158" t="s">
        <v>2155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>
      <c r="A330" s="117"/>
      <c r="B330" s="209" t="s">
        <v>1919</v>
      </c>
      <c r="C330" s="209" t="s">
        <v>2169</v>
      </c>
      <c r="D330" s="209" t="s">
        <v>1296</v>
      </c>
      <c r="E330" s="209" t="s">
        <v>1822</v>
      </c>
      <c r="F330" s="209" t="s">
        <v>1374</v>
      </c>
      <c r="G330" s="209" t="s">
        <v>1123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1923</v>
      </c>
      <c r="AD330" s="215" t="s">
        <v>1924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1925</v>
      </c>
      <c r="BB330" s="213" t="s">
        <v>1926</v>
      </c>
      <c r="BC330" s="213" t="s">
        <v>1927</v>
      </c>
      <c r="BD330" s="213" t="s">
        <v>140</v>
      </c>
      <c r="BE330" s="148"/>
      <c r="BF330" s="212" t="s">
        <v>1789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1790</v>
      </c>
      <c r="BZ330" s="158" t="s">
        <v>2157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>
      <c r="A331" s="117"/>
      <c r="B331" s="209" t="s">
        <v>1919</v>
      </c>
      <c r="C331" s="209" t="s">
        <v>2169</v>
      </c>
      <c r="D331" s="209" t="s">
        <v>1296</v>
      </c>
      <c r="E331" s="209" t="s">
        <v>1816</v>
      </c>
      <c r="F331" s="209" t="s">
        <v>1371</v>
      </c>
      <c r="G331" s="219" t="s">
        <v>1335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1923</v>
      </c>
      <c r="AD331" s="226" t="s">
        <v>1924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1925</v>
      </c>
      <c r="BB331" s="213" t="s">
        <v>1926</v>
      </c>
      <c r="BC331" s="213" t="s">
        <v>1927</v>
      </c>
      <c r="BD331" s="213" t="s">
        <v>140</v>
      </c>
      <c r="BE331" s="148"/>
      <c r="BF331" s="212" t="s">
        <v>1789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2165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1790</v>
      </c>
      <c r="BZ331" s="167" t="s">
        <v>2166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>
      <c r="A332" s="186"/>
      <c r="B332" s="187" t="s">
        <v>1919</v>
      </c>
      <c r="C332" s="187" t="s">
        <v>2170</v>
      </c>
      <c r="D332" s="187"/>
      <c r="E332" s="187"/>
      <c r="F332" s="187"/>
      <c r="G332" s="187" t="s">
        <v>1939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1</v>
      </c>
      <c r="X332" s="192">
        <f ca="1">SUMIFS(T:T,C:C,C332,AE:AE,"")/SUMIFS(L:L,C:C,C332,AE:AE,"",AB:AB,"")</f>
        <v>0.875</v>
      </c>
      <c r="Y332" s="192"/>
      <c r="Z332" s="192"/>
      <c r="AA332" s="192"/>
      <c r="AB332" s="192"/>
      <c r="AC332" s="194" t="s">
        <v>1923</v>
      </c>
      <c r="AD332" s="195" t="s">
        <v>1924</v>
      </c>
      <c r="AE332" s="196" t="s">
        <v>1787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1925</v>
      </c>
      <c r="BB332" s="193" t="s">
        <v>1926</v>
      </c>
      <c r="BC332" s="193" t="s">
        <v>1927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>
      <c r="A333" s="117"/>
      <c r="B333" s="209" t="s">
        <v>1919</v>
      </c>
      <c r="C333" s="209" t="s">
        <v>2170</v>
      </c>
      <c r="D333" s="209" t="s">
        <v>1084</v>
      </c>
      <c r="E333" s="209" t="s">
        <v>1811</v>
      </c>
      <c r="F333" s="209" t="s">
        <v>1391</v>
      </c>
      <c r="G333" s="209" t="s">
        <v>1293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1923</v>
      </c>
      <c r="AD333" s="215" t="s">
        <v>1924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1925</v>
      </c>
      <c r="BB333" s="213" t="s">
        <v>1926</v>
      </c>
      <c r="BC333" s="213" t="s">
        <v>1927</v>
      </c>
      <c r="BD333" s="213" t="s">
        <v>140</v>
      </c>
      <c r="BE333" s="148"/>
      <c r="BF333" s="212" t="s">
        <v>1789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1790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>
      <c r="A334" s="117"/>
      <c r="B334" s="209" t="s">
        <v>1919</v>
      </c>
      <c r="C334" s="209" t="s">
        <v>2170</v>
      </c>
      <c r="D334" s="209" t="s">
        <v>1296</v>
      </c>
      <c r="E334" s="209" t="s">
        <v>1805</v>
      </c>
      <c r="F334" s="209" t="s">
        <v>1388</v>
      </c>
      <c r="G334" s="209" t="s">
        <v>1316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1923</v>
      </c>
      <c r="AD334" s="215" t="s">
        <v>1924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1925</v>
      </c>
      <c r="BB334" s="213" t="s">
        <v>1926</v>
      </c>
      <c r="BC334" s="213" t="s">
        <v>1927</v>
      </c>
      <c r="BD334" s="213" t="s">
        <v>140</v>
      </c>
      <c r="BE334" s="148"/>
      <c r="BF334" s="212" t="s">
        <v>1789</v>
      </c>
      <c r="BG334" s="117"/>
      <c r="BH334" s="155"/>
      <c r="BI334" s="216"/>
      <c r="BJ334" s="229" t="s">
        <v>1935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1790</v>
      </c>
      <c r="BZ334" s="158" t="s">
        <v>2164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>
      <c r="A335" s="117"/>
      <c r="B335" s="209" t="s">
        <v>1919</v>
      </c>
      <c r="C335" s="209" t="s">
        <v>2170</v>
      </c>
      <c r="D335" s="209" t="s">
        <v>1296</v>
      </c>
      <c r="E335" s="209" t="s">
        <v>1816</v>
      </c>
      <c r="F335" s="209" t="s">
        <v>1389</v>
      </c>
      <c r="G335" s="219" t="s">
        <v>1335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1923</v>
      </c>
      <c r="AD335" s="215" t="s">
        <v>1924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1925</v>
      </c>
      <c r="BB335" s="213" t="s">
        <v>1926</v>
      </c>
      <c r="BC335" s="213" t="s">
        <v>1927</v>
      </c>
      <c r="BD335" s="213" t="s">
        <v>140</v>
      </c>
      <c r="BE335" s="148"/>
      <c r="BF335" s="212" t="s">
        <v>1789</v>
      </c>
      <c r="BG335" s="117"/>
      <c r="BH335" s="155"/>
      <c r="BI335" s="216"/>
      <c r="BJ335" s="229" t="s">
        <v>1938</v>
      </c>
      <c r="BK335" s="229"/>
      <c r="BL335" s="149"/>
      <c r="BM335" s="149"/>
      <c r="BN335" s="149"/>
      <c r="BO335" s="149"/>
      <c r="BP335" s="149" t="s">
        <v>2165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1790</v>
      </c>
      <c r="BZ335" s="167" t="s">
        <v>2166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>
      <c r="A336" s="117"/>
      <c r="B336" s="209" t="s">
        <v>1919</v>
      </c>
      <c r="C336" s="209" t="s">
        <v>2170</v>
      </c>
      <c r="D336" s="209" t="s">
        <v>1296</v>
      </c>
      <c r="E336" s="209" t="s">
        <v>1807</v>
      </c>
      <c r="F336" s="209" t="s">
        <v>1390</v>
      </c>
      <c r="G336" s="209" t="s">
        <v>1096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203">
        <f t="shared" ca="1" si="646"/>
        <v>1</v>
      </c>
      <c r="V336" s="203">
        <f t="shared" ca="1" si="647"/>
        <v>1</v>
      </c>
      <c r="W336" s="212"/>
      <c r="X336" s="212"/>
      <c r="Y336" s="212"/>
      <c r="Z336" s="212"/>
      <c r="AA336" s="212"/>
      <c r="AB336" s="212"/>
      <c r="AC336" s="214" t="s">
        <v>1923</v>
      </c>
      <c r="AD336" s="215" t="s">
        <v>1924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1</v>
      </c>
      <c r="AO336" s="203">
        <f t="shared" ca="1" si="653"/>
        <v>0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1925</v>
      </c>
      <c r="BB336" s="213" t="s">
        <v>1926</v>
      </c>
      <c r="BC336" s="213" t="s">
        <v>1927</v>
      </c>
      <c r="BD336" s="213" t="s">
        <v>140</v>
      </c>
      <c r="BE336" s="148"/>
      <c r="BF336" s="212" t="s">
        <v>1789</v>
      </c>
      <c r="BG336" s="117"/>
      <c r="BH336" s="155"/>
      <c r="BI336" s="216"/>
      <c r="BJ336" s="229" t="s">
        <v>1940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1790</v>
      </c>
      <c r="BZ336" s="158" t="s">
        <v>2156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>
      <c r="A337" s="117"/>
      <c r="B337" s="209" t="s">
        <v>1919</v>
      </c>
      <c r="C337" s="209" t="s">
        <v>2170</v>
      </c>
      <c r="D337" s="209" t="s">
        <v>1296</v>
      </c>
      <c r="E337" s="199" t="s">
        <v>1941</v>
      </c>
      <c r="F337" s="199" t="s">
        <v>1392</v>
      </c>
      <c r="G337" s="209" t="s">
        <v>1329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1923</v>
      </c>
      <c r="AD337" s="215" t="s">
        <v>1924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1925</v>
      </c>
      <c r="BB337" s="213" t="s">
        <v>1926</v>
      </c>
      <c r="BC337" s="213" t="s">
        <v>1927</v>
      </c>
      <c r="BD337" s="213" t="s">
        <v>140</v>
      </c>
      <c r="BE337" s="148"/>
      <c r="BF337" s="212" t="s">
        <v>1789</v>
      </c>
      <c r="BG337" s="117"/>
      <c r="BH337" s="141" t="s">
        <v>1942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1790</v>
      </c>
      <c r="BZ337" s="158" t="s">
        <v>2155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>
      <c r="A338" s="162">
        <v>139</v>
      </c>
      <c r="B338" s="177" t="s">
        <v>1943</v>
      </c>
      <c r="C338" s="177" t="s">
        <v>2171</v>
      </c>
      <c r="D338" s="177" t="s">
        <v>1944</v>
      </c>
      <c r="E338" s="177"/>
      <c r="F338" s="177"/>
      <c r="G338" s="177" t="s">
        <v>1945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1923</v>
      </c>
      <c r="AD338" s="184" t="s">
        <v>1924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1783</v>
      </c>
      <c r="AL338" s="181">
        <v>1</v>
      </c>
      <c r="AM338" s="181"/>
      <c r="AN338" s="181"/>
      <c r="AO338" s="181"/>
      <c r="AP338" s="181" t="s">
        <v>1922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1925</v>
      </c>
      <c r="BB338" s="182" t="s">
        <v>1926</v>
      </c>
      <c r="BC338" s="182" t="s">
        <v>1927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>
      <c r="A339" s="186"/>
      <c r="B339" s="187" t="s">
        <v>1943</v>
      </c>
      <c r="C339" s="187" t="s">
        <v>2172</v>
      </c>
      <c r="D339" s="187"/>
      <c r="E339" s="187"/>
      <c r="F339" s="187"/>
      <c r="G339" s="187" t="s">
        <v>1946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0.57894736842105265</v>
      </c>
      <c r="Y339" s="192"/>
      <c r="Z339" s="192"/>
      <c r="AA339" s="192"/>
      <c r="AB339" s="192"/>
      <c r="AC339" s="194" t="s">
        <v>1923</v>
      </c>
      <c r="AD339" s="195" t="s">
        <v>1924</v>
      </c>
      <c r="AE339" s="196" t="s">
        <v>1787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1925</v>
      </c>
      <c r="BB339" s="193" t="s">
        <v>1926</v>
      </c>
      <c r="BC339" s="193" t="s">
        <v>1927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>
      <c r="A340" s="117"/>
      <c r="B340" s="209" t="s">
        <v>1943</v>
      </c>
      <c r="C340" s="209" t="s">
        <v>2172</v>
      </c>
      <c r="D340" s="209" t="s">
        <v>1084</v>
      </c>
      <c r="E340" s="209" t="s">
        <v>1788</v>
      </c>
      <c r="F340" s="209" t="s">
        <v>1447</v>
      </c>
      <c r="G340" s="209" t="s">
        <v>1395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1923</v>
      </c>
      <c r="AD340" s="215" t="s">
        <v>1924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1925</v>
      </c>
      <c r="BB340" s="213" t="s">
        <v>1926</v>
      </c>
      <c r="BC340" s="213" t="s">
        <v>1927</v>
      </c>
      <c r="BD340" s="213" t="s">
        <v>140</v>
      </c>
      <c r="BE340" s="148"/>
      <c r="BF340" s="212" t="s">
        <v>1789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1790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>
      <c r="A341" s="117"/>
      <c r="B341" s="209" t="s">
        <v>1943</v>
      </c>
      <c r="C341" s="209" t="s">
        <v>2172</v>
      </c>
      <c r="D341" s="209" t="s">
        <v>1084</v>
      </c>
      <c r="E341" s="209" t="s">
        <v>1791</v>
      </c>
      <c r="F341" s="209" t="s">
        <v>1448</v>
      </c>
      <c r="G341" s="209" t="s">
        <v>1397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1923</v>
      </c>
      <c r="AD341" s="215" t="s">
        <v>1924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1925</v>
      </c>
      <c r="BB341" s="213" t="s">
        <v>1926</v>
      </c>
      <c r="BC341" s="213" t="s">
        <v>1927</v>
      </c>
      <c r="BD341" s="213" t="s">
        <v>140</v>
      </c>
      <c r="BE341" s="148"/>
      <c r="BF341" s="212" t="s">
        <v>1789</v>
      </c>
      <c r="BG341" s="117"/>
      <c r="BH341" s="155"/>
      <c r="BI341" s="216"/>
      <c r="BJ341" s="229" t="s">
        <v>1940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1790</v>
      </c>
      <c r="BZ341" s="167" t="s">
        <v>1449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>
      <c r="A342" s="117"/>
      <c r="B342" s="209" t="s">
        <v>1943</v>
      </c>
      <c r="C342" s="209" t="s">
        <v>2172</v>
      </c>
      <c r="D342" s="209" t="s">
        <v>1084</v>
      </c>
      <c r="E342" s="209" t="s">
        <v>1947</v>
      </c>
      <c r="F342" s="209" t="s">
        <v>1450</v>
      </c>
      <c r="G342" s="209" t="s">
        <v>1397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1923</v>
      </c>
      <c r="AD342" s="215" t="s">
        <v>1924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1925</v>
      </c>
      <c r="BB342" s="213" t="s">
        <v>1926</v>
      </c>
      <c r="BC342" s="213" t="s">
        <v>1927</v>
      </c>
      <c r="BD342" s="213" t="s">
        <v>140</v>
      </c>
      <c r="BE342" s="148"/>
      <c r="BF342" s="212" t="s">
        <v>1789</v>
      </c>
      <c r="BG342" s="117"/>
      <c r="BH342" s="155"/>
      <c r="BI342" s="216"/>
      <c r="BJ342" s="229" t="s">
        <v>1948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1790</v>
      </c>
      <c r="BZ342" s="158" t="s">
        <v>2173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>
      <c r="A343" s="117"/>
      <c r="B343" s="209" t="s">
        <v>1943</v>
      </c>
      <c r="C343" s="209" t="s">
        <v>2172</v>
      </c>
      <c r="D343" s="209" t="s">
        <v>1084</v>
      </c>
      <c r="E343" s="209" t="s">
        <v>1792</v>
      </c>
      <c r="F343" s="209" t="s">
        <v>1451</v>
      </c>
      <c r="G343" s="209" t="s">
        <v>1397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1923</v>
      </c>
      <c r="AD343" s="215" t="s">
        <v>1924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1925</v>
      </c>
      <c r="BB343" s="213" t="s">
        <v>1926</v>
      </c>
      <c r="BC343" s="213" t="s">
        <v>1927</v>
      </c>
      <c r="BD343" s="213" t="s">
        <v>140</v>
      </c>
      <c r="BE343" s="148"/>
      <c r="BF343" s="212" t="s">
        <v>1789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1790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>
      <c r="A344" s="117"/>
      <c r="B344" s="209" t="s">
        <v>1943</v>
      </c>
      <c r="C344" s="209" t="s">
        <v>2172</v>
      </c>
      <c r="D344" s="209" t="s">
        <v>1084</v>
      </c>
      <c r="E344" s="209" t="s">
        <v>1949</v>
      </c>
      <c r="F344" s="209" t="s">
        <v>1452</v>
      </c>
      <c r="G344" s="209" t="s">
        <v>1397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1923</v>
      </c>
      <c r="AD344" s="215" t="s">
        <v>1924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1925</v>
      </c>
      <c r="BB344" s="213" t="s">
        <v>1926</v>
      </c>
      <c r="BC344" s="213" t="s">
        <v>1927</v>
      </c>
      <c r="BD344" s="213" t="s">
        <v>140</v>
      </c>
      <c r="BE344" s="148"/>
      <c r="BF344" s="212" t="s">
        <v>1789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1790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>
      <c r="A345" s="117"/>
      <c r="B345" s="209" t="s">
        <v>1943</v>
      </c>
      <c r="C345" s="209" t="s">
        <v>2172</v>
      </c>
      <c r="D345" s="209" t="s">
        <v>1296</v>
      </c>
      <c r="E345" s="209" t="s">
        <v>1793</v>
      </c>
      <c r="F345" s="209" t="s">
        <v>1453</v>
      </c>
      <c r="G345" s="209" t="s">
        <v>1157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1923</v>
      </c>
      <c r="AD345" s="215" t="s">
        <v>1924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1925</v>
      </c>
      <c r="BB345" s="213" t="s">
        <v>1926</v>
      </c>
      <c r="BC345" s="213" t="s">
        <v>1927</v>
      </c>
      <c r="BD345" s="213" t="s">
        <v>140</v>
      </c>
      <c r="BE345" s="148"/>
      <c r="BF345" s="212" t="s">
        <v>1789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1790</v>
      </c>
      <c r="BZ345" s="158" t="s">
        <v>2155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>
      <c r="A346" s="117"/>
      <c r="B346" s="209" t="s">
        <v>1943</v>
      </c>
      <c r="C346" s="209" t="s">
        <v>2172</v>
      </c>
      <c r="D346" s="209" t="s">
        <v>1296</v>
      </c>
      <c r="E346" s="209" t="s">
        <v>1794</v>
      </c>
      <c r="F346" s="209" t="s">
        <v>1454</v>
      </c>
      <c r="G346" s="209" t="s">
        <v>1163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1923</v>
      </c>
      <c r="AD346" s="215" t="s">
        <v>1924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1925</v>
      </c>
      <c r="BB346" s="213" t="s">
        <v>1926</v>
      </c>
      <c r="BC346" s="213" t="s">
        <v>1927</v>
      </c>
      <c r="BD346" s="213" t="s">
        <v>140</v>
      </c>
      <c r="BE346" s="148"/>
      <c r="BF346" s="212" t="s">
        <v>1789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1790</v>
      </c>
      <c r="BZ346" s="158" t="s">
        <v>2160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>
      <c r="A347" s="117"/>
      <c r="B347" s="209" t="s">
        <v>1943</v>
      </c>
      <c r="C347" s="209" t="s">
        <v>2172</v>
      </c>
      <c r="D347" s="209" t="s">
        <v>1296</v>
      </c>
      <c r="E347" s="209" t="s">
        <v>1795</v>
      </c>
      <c r="F347" s="209" t="s">
        <v>1455</v>
      </c>
      <c r="G347" s="209" t="s">
        <v>1090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1923</v>
      </c>
      <c r="AD347" s="215" t="s">
        <v>1924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1925</v>
      </c>
      <c r="BB347" s="213" t="s">
        <v>1926</v>
      </c>
      <c r="BC347" s="213" t="s">
        <v>1927</v>
      </c>
      <c r="BD347" s="213" t="s">
        <v>140</v>
      </c>
      <c r="BE347" s="148"/>
      <c r="BF347" s="212" t="s">
        <v>1789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1790</v>
      </c>
      <c r="BZ347" s="158" t="s">
        <v>2160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>
      <c r="A348" s="117"/>
      <c r="B348" s="209" t="s">
        <v>1943</v>
      </c>
      <c r="C348" s="209" t="s">
        <v>2172</v>
      </c>
      <c r="D348" s="209" t="s">
        <v>1296</v>
      </c>
      <c r="E348" s="209" t="s">
        <v>1796</v>
      </c>
      <c r="F348" s="209" t="s">
        <v>1456</v>
      </c>
      <c r="G348" s="209" t="s">
        <v>1406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1923</v>
      </c>
      <c r="AD348" s="215" t="s">
        <v>1924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1925</v>
      </c>
      <c r="BB348" s="213" t="s">
        <v>1926</v>
      </c>
      <c r="BC348" s="213" t="s">
        <v>1927</v>
      </c>
      <c r="BD348" s="213" t="s">
        <v>140</v>
      </c>
      <c r="BE348" s="148"/>
      <c r="BF348" s="212" t="s">
        <v>1789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1790</v>
      </c>
      <c r="BZ348" s="158" t="s">
        <v>2159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>
      <c r="A349" s="117"/>
      <c r="B349" s="209" t="s">
        <v>1943</v>
      </c>
      <c r="C349" s="209" t="s">
        <v>2172</v>
      </c>
      <c r="D349" s="209" t="s">
        <v>1296</v>
      </c>
      <c r="E349" s="209" t="s">
        <v>1797</v>
      </c>
      <c r="F349" s="209" t="s">
        <v>1457</v>
      </c>
      <c r="G349" s="209" t="s">
        <v>1408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1923</v>
      </c>
      <c r="AD349" s="215" t="s">
        <v>1924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1925</v>
      </c>
      <c r="BB349" s="213" t="s">
        <v>1926</v>
      </c>
      <c r="BC349" s="213" t="s">
        <v>1927</v>
      </c>
      <c r="BD349" s="213" t="s">
        <v>140</v>
      </c>
      <c r="BE349" s="148"/>
      <c r="BF349" s="212" t="s">
        <v>1789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1790</v>
      </c>
      <c r="BZ349" s="158" t="s">
        <v>2159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>
      <c r="A350" s="117"/>
      <c r="B350" s="209" t="s">
        <v>1943</v>
      </c>
      <c r="C350" s="209" t="s">
        <v>2172</v>
      </c>
      <c r="D350" s="209" t="s">
        <v>1076</v>
      </c>
      <c r="E350" s="209" t="s">
        <v>1802</v>
      </c>
      <c r="F350" s="209" t="s">
        <v>1446</v>
      </c>
      <c r="G350" s="209" t="s">
        <v>1075</v>
      </c>
      <c r="H350" s="210">
        <v>812</v>
      </c>
      <c r="I350" s="211" t="s">
        <v>1077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1923</v>
      </c>
      <c r="AD350" s="215" t="s">
        <v>1924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1925</v>
      </c>
      <c r="BB350" s="213" t="s">
        <v>1926</v>
      </c>
      <c r="BC350" s="213" t="s">
        <v>1927</v>
      </c>
      <c r="BD350" s="213" t="s">
        <v>140</v>
      </c>
      <c r="BE350" s="148"/>
      <c r="BF350" s="212" t="s">
        <v>1789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1790</v>
      </c>
      <c r="BZ350" s="158" t="s">
        <v>2161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>
      <c r="A351" s="186"/>
      <c r="B351" s="187" t="s">
        <v>1943</v>
      </c>
      <c r="C351" s="187" t="s">
        <v>2174</v>
      </c>
      <c r="D351" s="187"/>
      <c r="E351" s="187"/>
      <c r="F351" s="187"/>
      <c r="G351" s="187" t="s">
        <v>1950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1923</v>
      </c>
      <c r="AD351" s="195" t="s">
        <v>1924</v>
      </c>
      <c r="AE351" s="196" t="s">
        <v>1787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1925</v>
      </c>
      <c r="BB351" s="193" t="s">
        <v>1926</v>
      </c>
      <c r="BC351" s="193" t="s">
        <v>1927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>
      <c r="A352" s="117"/>
      <c r="B352" s="209" t="s">
        <v>1943</v>
      </c>
      <c r="C352" s="209" t="s">
        <v>2174</v>
      </c>
      <c r="D352" s="209" t="s">
        <v>1084</v>
      </c>
      <c r="E352" s="209" t="s">
        <v>1798</v>
      </c>
      <c r="F352" s="209" t="s">
        <v>1469</v>
      </c>
      <c r="G352" s="209" t="s">
        <v>1429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1923</v>
      </c>
      <c r="AD352" s="215" t="s">
        <v>1924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1925</v>
      </c>
      <c r="BB352" s="213" t="s">
        <v>1926</v>
      </c>
      <c r="BC352" s="213" t="s">
        <v>1927</v>
      </c>
      <c r="BD352" s="213" t="s">
        <v>140</v>
      </c>
      <c r="BE352" s="148"/>
      <c r="BF352" s="212" t="s">
        <v>1789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1790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>
      <c r="A353" s="117"/>
      <c r="B353" s="209" t="s">
        <v>1943</v>
      </c>
      <c r="C353" s="209" t="s">
        <v>2174</v>
      </c>
      <c r="D353" s="209" t="s">
        <v>1084</v>
      </c>
      <c r="E353" s="209" t="s">
        <v>1799</v>
      </c>
      <c r="F353" s="209" t="s">
        <v>1465</v>
      </c>
      <c r="G353" s="209" t="s">
        <v>1410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1923</v>
      </c>
      <c r="AD353" s="215" t="s">
        <v>1924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1925</v>
      </c>
      <c r="BB353" s="213" t="s">
        <v>1926</v>
      </c>
      <c r="BC353" s="213" t="s">
        <v>1927</v>
      </c>
      <c r="BD353" s="213" t="s">
        <v>140</v>
      </c>
      <c r="BE353" s="148"/>
      <c r="BF353" s="212" t="s">
        <v>1789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1790</v>
      </c>
      <c r="BZ353" s="167" t="s">
        <v>2154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>
      <c r="A354" s="117"/>
      <c r="B354" s="209" t="s">
        <v>1943</v>
      </c>
      <c r="C354" s="209" t="s">
        <v>2174</v>
      </c>
      <c r="D354" s="209" t="s">
        <v>1084</v>
      </c>
      <c r="E354" s="209" t="s">
        <v>1800</v>
      </c>
      <c r="F354" s="209" t="s">
        <v>1466</v>
      </c>
      <c r="G354" s="209" t="s">
        <v>1412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1923</v>
      </c>
      <c r="AD354" s="215" t="s">
        <v>1924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1925</v>
      </c>
      <c r="BB354" s="213" t="s">
        <v>1926</v>
      </c>
      <c r="BC354" s="213" t="s">
        <v>1927</v>
      </c>
      <c r="BD354" s="213" t="s">
        <v>140</v>
      </c>
      <c r="BE354" s="148"/>
      <c r="BF354" s="212" t="s">
        <v>1789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1790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>
      <c r="A355" s="141"/>
      <c r="B355" s="199" t="s">
        <v>1943</v>
      </c>
      <c r="C355" s="199" t="s">
        <v>2174</v>
      </c>
      <c r="D355" s="199" t="s">
        <v>1296</v>
      </c>
      <c r="E355" s="199" t="s">
        <v>1801</v>
      </c>
      <c r="F355" s="199" t="s">
        <v>1467</v>
      </c>
      <c r="G355" s="199" t="s">
        <v>1414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1923</v>
      </c>
      <c r="AD355" s="206" t="s">
        <v>1924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1925</v>
      </c>
      <c r="BB355" s="204" t="s">
        <v>1926</v>
      </c>
      <c r="BC355" s="204" t="s">
        <v>1927</v>
      </c>
      <c r="BD355" s="204" t="s">
        <v>140</v>
      </c>
      <c r="BE355" s="166"/>
      <c r="BF355" s="203" t="s">
        <v>1789</v>
      </c>
      <c r="BG355" s="141"/>
      <c r="BH355" s="152"/>
      <c r="BI355" s="207"/>
      <c r="BJ355" s="207"/>
      <c r="BK355" s="207"/>
      <c r="BL355" s="153" t="s">
        <v>1932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1790</v>
      </c>
      <c r="BZ355" s="158" t="s">
        <v>2159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>
      <c r="A356" s="141"/>
      <c r="B356" s="199" t="s">
        <v>1943</v>
      </c>
      <c r="C356" s="199" t="s">
        <v>2174</v>
      </c>
      <c r="D356" s="199" t="s">
        <v>1296</v>
      </c>
      <c r="E356" s="199" t="s">
        <v>1815</v>
      </c>
      <c r="F356" s="199" t="s">
        <v>1468</v>
      </c>
      <c r="G356" s="199" t="s">
        <v>1416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1923</v>
      </c>
      <c r="AD356" s="206" t="s">
        <v>1924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1925</v>
      </c>
      <c r="BB356" s="204" t="s">
        <v>1926</v>
      </c>
      <c r="BC356" s="204" t="s">
        <v>1927</v>
      </c>
      <c r="BD356" s="204" t="s">
        <v>140</v>
      </c>
      <c r="BE356" s="166"/>
      <c r="BF356" s="203" t="s">
        <v>1789</v>
      </c>
      <c r="BG356" s="141"/>
      <c r="BH356" s="152"/>
      <c r="BI356" s="207"/>
      <c r="BJ356" s="207"/>
      <c r="BK356" s="207"/>
      <c r="BL356" s="153" t="s">
        <v>1932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1790</v>
      </c>
      <c r="BZ356" s="158" t="s">
        <v>2159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>
      <c r="A357" s="186"/>
      <c r="B357" s="187" t="s">
        <v>1943</v>
      </c>
      <c r="C357" s="187" t="s">
        <v>2175</v>
      </c>
      <c r="D357" s="187"/>
      <c r="E357" s="187"/>
      <c r="F357" s="187"/>
      <c r="G357" s="187" t="s">
        <v>1951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0.64102564102564108</v>
      </c>
      <c r="Y357" s="192"/>
      <c r="Z357" s="192"/>
      <c r="AA357" s="192"/>
      <c r="AB357" s="192"/>
      <c r="AC357" s="194" t="s">
        <v>1923</v>
      </c>
      <c r="AD357" s="195" t="s">
        <v>1924</v>
      </c>
      <c r="AE357" s="196" t="s">
        <v>1787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1925</v>
      </c>
      <c r="BB357" s="193" t="s">
        <v>1926</v>
      </c>
      <c r="BC357" s="193" t="s">
        <v>1927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>
      <c r="A358" s="117"/>
      <c r="B358" s="209" t="s">
        <v>1943</v>
      </c>
      <c r="C358" s="209" t="s">
        <v>2175</v>
      </c>
      <c r="D358" s="209" t="s">
        <v>1084</v>
      </c>
      <c r="E358" s="209" t="s">
        <v>1805</v>
      </c>
      <c r="F358" s="209" t="s">
        <v>1458</v>
      </c>
      <c r="G358" s="209" t="s">
        <v>1088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1923</v>
      </c>
      <c r="AD358" s="215" t="s">
        <v>1924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1925</v>
      </c>
      <c r="BB358" s="213" t="s">
        <v>1926</v>
      </c>
      <c r="BC358" s="213" t="s">
        <v>1927</v>
      </c>
      <c r="BD358" s="213" t="s">
        <v>140</v>
      </c>
      <c r="BE358" s="148"/>
      <c r="BF358" s="212" t="s">
        <v>1789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1790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>
      <c r="A359" s="141"/>
      <c r="B359" s="199" t="s">
        <v>1943</v>
      </c>
      <c r="C359" s="199" t="s">
        <v>2175</v>
      </c>
      <c r="D359" s="199" t="s">
        <v>1084</v>
      </c>
      <c r="E359" s="199" t="s">
        <v>1816</v>
      </c>
      <c r="F359" s="199" t="s">
        <v>1459</v>
      </c>
      <c r="G359" s="199" t="s">
        <v>1432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1923</v>
      </c>
      <c r="AD359" s="206" t="s">
        <v>1924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1925</v>
      </c>
      <c r="BB359" s="204" t="s">
        <v>1926</v>
      </c>
      <c r="BC359" s="204" t="s">
        <v>1927</v>
      </c>
      <c r="BD359" s="204" t="s">
        <v>140</v>
      </c>
      <c r="BE359" s="166"/>
      <c r="BF359" s="203" t="s">
        <v>1789</v>
      </c>
      <c r="BG359" s="141"/>
      <c r="BH359" s="141"/>
      <c r="BI359" s="153"/>
      <c r="BJ359" s="153"/>
      <c r="BK359" s="153"/>
      <c r="BL359" s="153" t="s">
        <v>1932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1790</v>
      </c>
      <c r="BZ359" s="167" t="s">
        <v>2154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>
      <c r="A360" s="117"/>
      <c r="B360" s="209" t="s">
        <v>1943</v>
      </c>
      <c r="C360" s="209" t="s">
        <v>2175</v>
      </c>
      <c r="D360" s="209" t="s">
        <v>1084</v>
      </c>
      <c r="E360" s="209" t="s">
        <v>1817</v>
      </c>
      <c r="F360" s="209" t="s">
        <v>1460</v>
      </c>
      <c r="G360" s="209" t="s">
        <v>1434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1923</v>
      </c>
      <c r="AD360" s="215" t="s">
        <v>1924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1925</v>
      </c>
      <c r="BB360" s="213" t="s">
        <v>1926</v>
      </c>
      <c r="BC360" s="213" t="s">
        <v>1927</v>
      </c>
      <c r="BD360" s="213" t="s">
        <v>140</v>
      </c>
      <c r="BE360" s="148"/>
      <c r="BF360" s="212" t="s">
        <v>1789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1790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>
      <c r="A361" s="117"/>
      <c r="B361" s="209" t="s">
        <v>1943</v>
      </c>
      <c r="C361" s="209" t="s">
        <v>2175</v>
      </c>
      <c r="D361" s="209" t="s">
        <v>1296</v>
      </c>
      <c r="E361" s="209" t="s">
        <v>1806</v>
      </c>
      <c r="F361" s="209" t="s">
        <v>1461</v>
      </c>
      <c r="G361" s="209" t="s">
        <v>1436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1923</v>
      </c>
      <c r="AD361" s="215" t="s">
        <v>1924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1925</v>
      </c>
      <c r="BB361" s="213" t="s">
        <v>1926</v>
      </c>
      <c r="BC361" s="213" t="s">
        <v>1927</v>
      </c>
      <c r="BD361" s="213" t="s">
        <v>140</v>
      </c>
      <c r="BE361" s="148"/>
      <c r="BF361" s="212" t="s">
        <v>1789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1790</v>
      </c>
      <c r="BZ361" s="158" t="s">
        <v>2159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>
      <c r="A362" s="117"/>
      <c r="B362" s="209" t="s">
        <v>1943</v>
      </c>
      <c r="C362" s="209" t="s">
        <v>2175</v>
      </c>
      <c r="D362" s="209" t="s">
        <v>1296</v>
      </c>
      <c r="E362" s="209" t="s">
        <v>1807</v>
      </c>
      <c r="F362" s="209" t="s">
        <v>1462</v>
      </c>
      <c r="G362" s="209" t="s">
        <v>1438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1923</v>
      </c>
      <c r="AD362" s="215" t="s">
        <v>1924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1925</v>
      </c>
      <c r="BB362" s="213" t="s">
        <v>1926</v>
      </c>
      <c r="BC362" s="213" t="s">
        <v>1927</v>
      </c>
      <c r="BD362" s="213" t="s">
        <v>140</v>
      </c>
      <c r="BE362" s="148"/>
      <c r="BF362" s="212" t="s">
        <v>1789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1790</v>
      </c>
      <c r="BZ362" s="158" t="s">
        <v>2159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>
      <c r="A363" s="117"/>
      <c r="B363" s="209" t="s">
        <v>1943</v>
      </c>
      <c r="C363" s="209" t="s">
        <v>2175</v>
      </c>
      <c r="D363" s="209" t="s">
        <v>1296</v>
      </c>
      <c r="E363" s="209" t="s">
        <v>1818</v>
      </c>
      <c r="F363" s="209" t="s">
        <v>1463</v>
      </c>
      <c r="G363" s="209" t="s">
        <v>1125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1923</v>
      </c>
      <c r="AD363" s="215" t="s">
        <v>1924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1925</v>
      </c>
      <c r="BB363" s="213" t="s">
        <v>1926</v>
      </c>
      <c r="BC363" s="213" t="s">
        <v>1927</v>
      </c>
      <c r="BD363" s="213" t="s">
        <v>140</v>
      </c>
      <c r="BE363" s="148"/>
      <c r="BF363" s="212" t="s">
        <v>1789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1790</v>
      </c>
      <c r="BZ363" s="158" t="s">
        <v>2155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>
      <c r="A364" s="117"/>
      <c r="B364" s="209" t="s">
        <v>1943</v>
      </c>
      <c r="C364" s="209" t="s">
        <v>2175</v>
      </c>
      <c r="D364" s="209" t="s">
        <v>1296</v>
      </c>
      <c r="E364" s="209" t="s">
        <v>1819</v>
      </c>
      <c r="F364" s="209" t="s">
        <v>1464</v>
      </c>
      <c r="G364" s="209" t="s">
        <v>1123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1923</v>
      </c>
      <c r="AD364" s="215" t="s">
        <v>1924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1925</v>
      </c>
      <c r="BB364" s="213" t="s">
        <v>1926</v>
      </c>
      <c r="BC364" s="213" t="s">
        <v>1927</v>
      </c>
      <c r="BD364" s="213" t="s">
        <v>140</v>
      </c>
      <c r="BE364" s="148"/>
      <c r="BF364" s="212" t="s">
        <v>1789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1790</v>
      </c>
      <c r="BZ364" s="158" t="s">
        <v>2157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>
      <c r="A365" s="186"/>
      <c r="B365" s="187" t="s">
        <v>1943</v>
      </c>
      <c r="C365" s="187" t="s">
        <v>2176</v>
      </c>
      <c r="D365" s="187"/>
      <c r="E365" s="187"/>
      <c r="F365" s="187"/>
      <c r="G365" s="187" t="s">
        <v>1952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1923</v>
      </c>
      <c r="AD365" s="195" t="s">
        <v>1924</v>
      </c>
      <c r="AE365" s="196" t="s">
        <v>1787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1925</v>
      </c>
      <c r="BB365" s="193" t="s">
        <v>1926</v>
      </c>
      <c r="BC365" s="193" t="s">
        <v>1927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>
      <c r="A366" s="117"/>
      <c r="B366" s="209" t="s">
        <v>1943</v>
      </c>
      <c r="C366" s="209" t="s">
        <v>2176</v>
      </c>
      <c r="D366" s="209" t="s">
        <v>1084</v>
      </c>
      <c r="E366" s="209" t="s">
        <v>1798</v>
      </c>
      <c r="F366" s="209" t="s">
        <v>1474</v>
      </c>
      <c r="G366" s="209" t="s">
        <v>1429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1923</v>
      </c>
      <c r="AD366" s="215" t="s">
        <v>1924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1925</v>
      </c>
      <c r="BB366" s="213" t="s">
        <v>1926</v>
      </c>
      <c r="BC366" s="213" t="s">
        <v>1927</v>
      </c>
      <c r="BD366" s="213" t="s">
        <v>140</v>
      </c>
      <c r="BE366" s="148"/>
      <c r="BF366" s="212" t="s">
        <v>1789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1790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>
      <c r="A367" s="141"/>
      <c r="B367" s="199" t="s">
        <v>1943</v>
      </c>
      <c r="C367" s="199" t="s">
        <v>2176</v>
      </c>
      <c r="D367" s="199" t="s">
        <v>1084</v>
      </c>
      <c r="E367" s="199" t="s">
        <v>1799</v>
      </c>
      <c r="F367" s="199" t="s">
        <v>1470</v>
      </c>
      <c r="G367" s="199" t="s">
        <v>1410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1923</v>
      </c>
      <c r="AD367" s="206" t="s">
        <v>1924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1925</v>
      </c>
      <c r="BB367" s="204" t="s">
        <v>1926</v>
      </c>
      <c r="BC367" s="204" t="s">
        <v>1927</v>
      </c>
      <c r="BD367" s="204" t="s">
        <v>140</v>
      </c>
      <c r="BE367" s="166"/>
      <c r="BF367" s="203" t="s">
        <v>1789</v>
      </c>
      <c r="BG367" s="141"/>
      <c r="BH367" s="141"/>
      <c r="BI367" s="153"/>
      <c r="BJ367" s="153"/>
      <c r="BK367" s="153"/>
      <c r="BL367" s="153" t="s">
        <v>1932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1790</v>
      </c>
      <c r="BZ367" s="167" t="s">
        <v>2154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>
      <c r="A368" s="117"/>
      <c r="B368" s="209" t="s">
        <v>1943</v>
      </c>
      <c r="C368" s="209" t="s">
        <v>2176</v>
      </c>
      <c r="D368" s="209" t="s">
        <v>1084</v>
      </c>
      <c r="E368" s="209" t="s">
        <v>1800</v>
      </c>
      <c r="F368" s="209" t="s">
        <v>1471</v>
      </c>
      <c r="G368" s="209" t="s">
        <v>1412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1923</v>
      </c>
      <c r="AD368" s="215" t="s">
        <v>1924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1925</v>
      </c>
      <c r="BB368" s="213" t="s">
        <v>1926</v>
      </c>
      <c r="BC368" s="213" t="s">
        <v>1927</v>
      </c>
      <c r="BD368" s="213" t="s">
        <v>140</v>
      </c>
      <c r="BE368" s="148"/>
      <c r="BF368" s="212" t="s">
        <v>1789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1790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>
      <c r="A369" s="141"/>
      <c r="B369" s="199" t="s">
        <v>1943</v>
      </c>
      <c r="C369" s="199" t="s">
        <v>2176</v>
      </c>
      <c r="D369" s="199" t="s">
        <v>1296</v>
      </c>
      <c r="E369" s="199" t="s">
        <v>1801</v>
      </c>
      <c r="F369" s="199" t="s">
        <v>1472</v>
      </c>
      <c r="G369" s="199" t="s">
        <v>1414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1923</v>
      </c>
      <c r="AD369" s="206" t="s">
        <v>1924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1925</v>
      </c>
      <c r="BB369" s="204" t="s">
        <v>1926</v>
      </c>
      <c r="BC369" s="204" t="s">
        <v>1927</v>
      </c>
      <c r="BD369" s="204" t="s">
        <v>140</v>
      </c>
      <c r="BE369" s="166"/>
      <c r="BF369" s="203" t="s">
        <v>1789</v>
      </c>
      <c r="BG369" s="141"/>
      <c r="BH369" s="152"/>
      <c r="BI369" s="207"/>
      <c r="BJ369" s="207"/>
      <c r="BK369" s="207"/>
      <c r="BL369" s="153" t="s">
        <v>1932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1790</v>
      </c>
      <c r="BZ369" s="158" t="s">
        <v>2159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>
      <c r="A370" s="141"/>
      <c r="B370" s="199" t="s">
        <v>1943</v>
      </c>
      <c r="C370" s="199" t="s">
        <v>2176</v>
      </c>
      <c r="D370" s="199" t="s">
        <v>1296</v>
      </c>
      <c r="E370" s="199" t="s">
        <v>1815</v>
      </c>
      <c r="F370" s="199" t="s">
        <v>1473</v>
      </c>
      <c r="G370" s="199" t="s">
        <v>1416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1923</v>
      </c>
      <c r="AD370" s="206" t="s">
        <v>1924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1925</v>
      </c>
      <c r="BB370" s="204" t="s">
        <v>1926</v>
      </c>
      <c r="BC370" s="204" t="s">
        <v>1927</v>
      </c>
      <c r="BD370" s="204" t="s">
        <v>140</v>
      </c>
      <c r="BE370" s="166"/>
      <c r="BF370" s="203" t="s">
        <v>1789</v>
      </c>
      <c r="BG370" s="141"/>
      <c r="BH370" s="152"/>
      <c r="BI370" s="207"/>
      <c r="BJ370" s="207"/>
      <c r="BK370" s="207"/>
      <c r="BL370" s="153" t="s">
        <v>1932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1790</v>
      </c>
      <c r="BZ370" s="158" t="s">
        <v>2159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>
      <c r="A371" s="162">
        <v>140</v>
      </c>
      <c r="B371" s="177" t="s">
        <v>1953</v>
      </c>
      <c r="C371" s="177" t="s">
        <v>2177</v>
      </c>
      <c r="D371" s="177" t="s">
        <v>1954</v>
      </c>
      <c r="E371" s="177"/>
      <c r="F371" s="177"/>
      <c r="G371" s="177" t="s">
        <v>1955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1923</v>
      </c>
      <c r="AD371" s="184" t="s">
        <v>1924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1783</v>
      </c>
      <c r="AL371" s="181">
        <v>1</v>
      </c>
      <c r="AM371" s="181"/>
      <c r="AN371" s="181"/>
      <c r="AO371" s="181"/>
      <c r="AP371" s="181" t="s">
        <v>1922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1925</v>
      </c>
      <c r="BB371" s="182" t="s">
        <v>1926</v>
      </c>
      <c r="BC371" s="182" t="s">
        <v>1927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>
      <c r="A372" s="186"/>
      <c r="B372" s="187" t="s">
        <v>1953</v>
      </c>
      <c r="C372" s="187" t="s">
        <v>2178</v>
      </c>
      <c r="D372" s="187"/>
      <c r="E372" s="187"/>
      <c r="F372" s="187"/>
      <c r="G372" s="187" t="s">
        <v>1956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0.64516129032258063</v>
      </c>
      <c r="Y372" s="192"/>
      <c r="Z372" s="192"/>
      <c r="AA372" s="192"/>
      <c r="AB372" s="192"/>
      <c r="AC372" s="194" t="s">
        <v>1923</v>
      </c>
      <c r="AD372" s="195" t="s">
        <v>1924</v>
      </c>
      <c r="AE372" s="196" t="s">
        <v>1787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1925</v>
      </c>
      <c r="BB372" s="193" t="s">
        <v>1926</v>
      </c>
      <c r="BC372" s="193" t="s">
        <v>1927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>
      <c r="A373" s="117"/>
      <c r="B373" s="209" t="s">
        <v>1953</v>
      </c>
      <c r="C373" s="209" t="s">
        <v>2178</v>
      </c>
      <c r="D373" s="209" t="s">
        <v>1084</v>
      </c>
      <c r="E373" s="209" t="s">
        <v>1788</v>
      </c>
      <c r="F373" s="209" t="s">
        <v>1538</v>
      </c>
      <c r="G373" s="209" t="s">
        <v>1477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1923</v>
      </c>
      <c r="AD373" s="215" t="s">
        <v>1924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1925</v>
      </c>
      <c r="BB373" s="213" t="s">
        <v>1926</v>
      </c>
      <c r="BC373" s="213" t="s">
        <v>1927</v>
      </c>
      <c r="BD373" s="213" t="s">
        <v>140</v>
      </c>
      <c r="BE373" s="148"/>
      <c r="BF373" s="212" t="s">
        <v>1789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1790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>
      <c r="A374" s="141"/>
      <c r="B374" s="199" t="s">
        <v>1953</v>
      </c>
      <c r="C374" s="199" t="s">
        <v>2178</v>
      </c>
      <c r="D374" s="199" t="s">
        <v>1296</v>
      </c>
      <c r="E374" s="199" t="s">
        <v>1791</v>
      </c>
      <c r="F374" s="199" t="s">
        <v>1544</v>
      </c>
      <c r="G374" s="199" t="s">
        <v>1228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1923</v>
      </c>
      <c r="AD374" s="206" t="s">
        <v>1924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1925</v>
      </c>
      <c r="BB374" s="204" t="s">
        <v>1926</v>
      </c>
      <c r="BC374" s="204" t="s">
        <v>1927</v>
      </c>
      <c r="BD374" s="204" t="s">
        <v>140</v>
      </c>
      <c r="BE374" s="166"/>
      <c r="BF374" s="203" t="s">
        <v>1789</v>
      </c>
      <c r="BG374" s="141"/>
      <c r="BH374" s="152"/>
      <c r="BI374" s="207"/>
      <c r="BJ374" s="207"/>
      <c r="BK374" s="207"/>
      <c r="BL374" s="153" t="s">
        <v>1932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1790</v>
      </c>
      <c r="BZ374" s="158" t="s">
        <v>2156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>
      <c r="A375" s="117"/>
      <c r="B375" s="209" t="s">
        <v>1953</v>
      </c>
      <c r="C375" s="209" t="s">
        <v>2178</v>
      </c>
      <c r="D375" s="209" t="s">
        <v>1296</v>
      </c>
      <c r="E375" s="209" t="s">
        <v>1792</v>
      </c>
      <c r="F375" s="209" t="s">
        <v>1545</v>
      </c>
      <c r="G375" s="209" t="s">
        <v>1487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1923</v>
      </c>
      <c r="AD375" s="215" t="s">
        <v>1924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1925</v>
      </c>
      <c r="BB375" s="213" t="s">
        <v>1926</v>
      </c>
      <c r="BC375" s="213" t="s">
        <v>1927</v>
      </c>
      <c r="BD375" s="213" t="s">
        <v>140</v>
      </c>
      <c r="BE375" s="148"/>
      <c r="BF375" s="212" t="s">
        <v>1789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1790</v>
      </c>
      <c r="BZ375" s="158" t="s">
        <v>2157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>
      <c r="A376" s="117"/>
      <c r="B376" s="209" t="s">
        <v>1953</v>
      </c>
      <c r="C376" s="209" t="s">
        <v>2178</v>
      </c>
      <c r="D376" s="209" t="s">
        <v>1296</v>
      </c>
      <c r="E376" s="209" t="s">
        <v>1793</v>
      </c>
      <c r="F376" s="209" t="s">
        <v>1546</v>
      </c>
      <c r="G376" s="209" t="s">
        <v>1489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1923</v>
      </c>
      <c r="AD376" s="215" t="s">
        <v>1924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1925</v>
      </c>
      <c r="BB376" s="213" t="s">
        <v>1926</v>
      </c>
      <c r="BC376" s="213" t="s">
        <v>1927</v>
      </c>
      <c r="BD376" s="213" t="s">
        <v>140</v>
      </c>
      <c r="BE376" s="148"/>
      <c r="BF376" s="212" t="s">
        <v>1789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1790</v>
      </c>
      <c r="BZ376" s="158" t="s">
        <v>2157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>
      <c r="A377" s="117"/>
      <c r="B377" s="209" t="s">
        <v>1953</v>
      </c>
      <c r="C377" s="209" t="s">
        <v>2178</v>
      </c>
      <c r="D377" s="209" t="s">
        <v>1296</v>
      </c>
      <c r="E377" s="209" t="s">
        <v>1957</v>
      </c>
      <c r="F377" s="209" t="s">
        <v>1547</v>
      </c>
      <c r="G377" s="209" t="s">
        <v>1489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1923</v>
      </c>
      <c r="AD377" s="215" t="s">
        <v>1924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1925</v>
      </c>
      <c r="BB377" s="213" t="s">
        <v>1926</v>
      </c>
      <c r="BC377" s="213" t="s">
        <v>1927</v>
      </c>
      <c r="BD377" s="213" t="s">
        <v>140</v>
      </c>
      <c r="BE377" s="148"/>
      <c r="BF377" s="212" t="s">
        <v>1789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1790</v>
      </c>
      <c r="BZ377" s="158" t="s">
        <v>2157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>
      <c r="A378" s="117"/>
      <c r="B378" s="209" t="s">
        <v>1953</v>
      </c>
      <c r="C378" s="209" t="s">
        <v>2178</v>
      </c>
      <c r="D378" s="209" t="s">
        <v>1296</v>
      </c>
      <c r="E378" s="209" t="s">
        <v>1794</v>
      </c>
      <c r="F378" s="209" t="s">
        <v>1548</v>
      </c>
      <c r="G378" s="209" t="s">
        <v>1199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203">
        <f t="shared" ca="1" si="742"/>
        <v>1</v>
      </c>
      <c r="V378" s="203">
        <f t="shared" ca="1" si="743"/>
        <v>1</v>
      </c>
      <c r="W378" s="212"/>
      <c r="X378" s="212"/>
      <c r="Y378" s="212"/>
      <c r="Z378" s="212"/>
      <c r="AA378" s="212"/>
      <c r="AB378" s="212"/>
      <c r="AC378" s="214" t="s">
        <v>1923</v>
      </c>
      <c r="AD378" s="215" t="s">
        <v>1924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1</v>
      </c>
      <c r="AO378" s="203">
        <f t="shared" ca="1" si="749"/>
        <v>0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1925</v>
      </c>
      <c r="BB378" s="213" t="s">
        <v>1926</v>
      </c>
      <c r="BC378" s="213" t="s">
        <v>1927</v>
      </c>
      <c r="BD378" s="213" t="s">
        <v>140</v>
      </c>
      <c r="BE378" s="148"/>
      <c r="BF378" s="212" t="s">
        <v>1789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1790</v>
      </c>
      <c r="BZ378" s="158" t="s">
        <v>2179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>
      <c r="A379" s="117"/>
      <c r="B379" s="209" t="s">
        <v>1953</v>
      </c>
      <c r="C379" s="209" t="s">
        <v>2178</v>
      </c>
      <c r="D379" s="209" t="s">
        <v>1296</v>
      </c>
      <c r="E379" s="209" t="s">
        <v>1795</v>
      </c>
      <c r="F379" s="209" t="s">
        <v>1549</v>
      </c>
      <c r="G379" s="209" t="s">
        <v>1493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203">
        <f t="shared" ca="1" si="742"/>
        <v>0</v>
      </c>
      <c r="V379" s="203">
        <f t="shared" ca="1" si="743"/>
        <v>2</v>
      </c>
      <c r="W379" s="212"/>
      <c r="X379" s="212"/>
      <c r="Y379" s="212"/>
      <c r="Z379" s="212"/>
      <c r="AA379" s="212"/>
      <c r="AB379" s="212"/>
      <c r="AC379" s="214" t="s">
        <v>1923</v>
      </c>
      <c r="AD379" s="215" t="s">
        <v>1924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1</v>
      </c>
      <c r="AT379" s="203">
        <f t="shared" ca="1" si="752"/>
        <v>0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1925</v>
      </c>
      <c r="BB379" s="213" t="s">
        <v>1926</v>
      </c>
      <c r="BC379" s="213" t="s">
        <v>1927</v>
      </c>
      <c r="BD379" s="213" t="s">
        <v>140</v>
      </c>
      <c r="BE379" s="148"/>
      <c r="BF379" s="212" t="s">
        <v>1789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1790</v>
      </c>
      <c r="BZ379" s="158" t="s">
        <v>2156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>
      <c r="A380" s="117"/>
      <c r="B380" s="209" t="s">
        <v>1953</v>
      </c>
      <c r="C380" s="209" t="s">
        <v>2178</v>
      </c>
      <c r="D380" s="209" t="s">
        <v>1296</v>
      </c>
      <c r="E380" s="209" t="s">
        <v>1796</v>
      </c>
      <c r="F380" s="209" t="s">
        <v>1550</v>
      </c>
      <c r="G380" s="209" t="s">
        <v>1495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1923</v>
      </c>
      <c r="AD380" s="215" t="s">
        <v>1924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1925</v>
      </c>
      <c r="BB380" s="213" t="s">
        <v>1926</v>
      </c>
      <c r="BC380" s="213" t="s">
        <v>1927</v>
      </c>
      <c r="BD380" s="213" t="s">
        <v>140</v>
      </c>
      <c r="BE380" s="148"/>
      <c r="BF380" s="212" t="s">
        <v>1789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1790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>
      <c r="A381" s="117"/>
      <c r="B381" s="209" t="s">
        <v>1953</v>
      </c>
      <c r="C381" s="209" t="s">
        <v>2178</v>
      </c>
      <c r="D381" s="209" t="s">
        <v>1296</v>
      </c>
      <c r="E381" s="209" t="s">
        <v>1797</v>
      </c>
      <c r="F381" s="209" t="s">
        <v>1551</v>
      </c>
      <c r="G381" s="209" t="s">
        <v>1497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1923</v>
      </c>
      <c r="AD381" s="215" t="s">
        <v>1924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1925</v>
      </c>
      <c r="BB381" s="213" t="s">
        <v>1926</v>
      </c>
      <c r="BC381" s="213" t="s">
        <v>1927</v>
      </c>
      <c r="BD381" s="213" t="s">
        <v>140</v>
      </c>
      <c r="BE381" s="148"/>
      <c r="BF381" s="212" t="s">
        <v>1789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1790</v>
      </c>
      <c r="BZ381" s="158" t="s">
        <v>2156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>
      <c r="A382" s="117"/>
      <c r="B382" s="209" t="s">
        <v>1953</v>
      </c>
      <c r="C382" s="209" t="s">
        <v>2178</v>
      </c>
      <c r="D382" s="209" t="s">
        <v>1296</v>
      </c>
      <c r="E382" s="209" t="s">
        <v>1798</v>
      </c>
      <c r="F382" s="209" t="s">
        <v>1552</v>
      </c>
      <c r="G382" s="209" t="s">
        <v>1157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1923</v>
      </c>
      <c r="AD382" s="215" t="s">
        <v>1924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1925</v>
      </c>
      <c r="BB382" s="213" t="s">
        <v>1926</v>
      </c>
      <c r="BC382" s="213" t="s">
        <v>1927</v>
      </c>
      <c r="BD382" s="213" t="s">
        <v>140</v>
      </c>
      <c r="BE382" s="148"/>
      <c r="BF382" s="212" t="s">
        <v>1789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1790</v>
      </c>
      <c r="BZ382" s="158" t="s">
        <v>2155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>
      <c r="A383" s="117"/>
      <c r="B383" s="209" t="s">
        <v>1953</v>
      </c>
      <c r="C383" s="209" t="s">
        <v>2178</v>
      </c>
      <c r="D383" s="209" t="s">
        <v>1084</v>
      </c>
      <c r="E383" s="209" t="s">
        <v>1799</v>
      </c>
      <c r="F383" s="209" t="s">
        <v>1539</v>
      </c>
      <c r="G383" s="209" t="s">
        <v>1479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1923</v>
      </c>
      <c r="AD383" s="215" t="s">
        <v>1924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1925</v>
      </c>
      <c r="BB383" s="213" t="s">
        <v>1926</v>
      </c>
      <c r="BC383" s="213" t="s">
        <v>1927</v>
      </c>
      <c r="BD383" s="213" t="s">
        <v>140</v>
      </c>
      <c r="BE383" s="148"/>
      <c r="BF383" s="212" t="s">
        <v>1789</v>
      </c>
      <c r="BG383" s="117"/>
      <c r="BH383" s="155"/>
      <c r="BI383" s="230" t="s">
        <v>1958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1790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>
      <c r="A384" s="117"/>
      <c r="B384" s="209" t="s">
        <v>1953</v>
      </c>
      <c r="C384" s="209" t="s">
        <v>2178</v>
      </c>
      <c r="D384" s="209" t="s">
        <v>1084</v>
      </c>
      <c r="E384" s="209" t="s">
        <v>1836</v>
      </c>
      <c r="F384" s="209" t="s">
        <v>1540</v>
      </c>
      <c r="G384" s="209" t="s">
        <v>1479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1923</v>
      </c>
      <c r="AD384" s="215" t="s">
        <v>1924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1925</v>
      </c>
      <c r="BB384" s="213" t="s">
        <v>1926</v>
      </c>
      <c r="BC384" s="213" t="s">
        <v>1927</v>
      </c>
      <c r="BD384" s="213" t="s">
        <v>140</v>
      </c>
      <c r="BE384" s="148"/>
      <c r="BF384" s="212" t="s">
        <v>1789</v>
      </c>
      <c r="BG384" s="117"/>
      <c r="BH384" s="155"/>
      <c r="BI384" s="229"/>
      <c r="BJ384" s="229" t="s">
        <v>1958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1790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>
      <c r="A385" s="117"/>
      <c r="B385" s="209" t="s">
        <v>1953</v>
      </c>
      <c r="C385" s="209" t="s">
        <v>2178</v>
      </c>
      <c r="D385" s="209" t="s">
        <v>1296</v>
      </c>
      <c r="E385" s="209" t="s">
        <v>1800</v>
      </c>
      <c r="F385" s="209" t="s">
        <v>1541</v>
      </c>
      <c r="G385" s="209" t="s">
        <v>1482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1923</v>
      </c>
      <c r="AD385" s="215" t="s">
        <v>1924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1925</v>
      </c>
      <c r="BB385" s="213" t="s">
        <v>1926</v>
      </c>
      <c r="BC385" s="213" t="s">
        <v>1927</v>
      </c>
      <c r="BD385" s="213" t="s">
        <v>140</v>
      </c>
      <c r="BE385" s="148"/>
      <c r="BF385" s="212" t="s">
        <v>1789</v>
      </c>
      <c r="BG385" s="117"/>
      <c r="BH385" s="155"/>
      <c r="BI385" s="216"/>
      <c r="BJ385" s="229" t="s">
        <v>1959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1790</v>
      </c>
      <c r="BZ385" s="158" t="s">
        <v>2159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>
      <c r="A386" s="117"/>
      <c r="B386" s="209" t="s">
        <v>1953</v>
      </c>
      <c r="C386" s="209" t="s">
        <v>2178</v>
      </c>
      <c r="D386" s="209" t="s">
        <v>1296</v>
      </c>
      <c r="E386" s="209" t="s">
        <v>1930</v>
      </c>
      <c r="F386" s="209" t="s">
        <v>1542</v>
      </c>
      <c r="G386" s="209" t="s">
        <v>1482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1923</v>
      </c>
      <c r="AD386" s="215" t="s">
        <v>1924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1925</v>
      </c>
      <c r="BB386" s="213" t="s">
        <v>1926</v>
      </c>
      <c r="BC386" s="213" t="s">
        <v>1927</v>
      </c>
      <c r="BD386" s="213" t="s">
        <v>140</v>
      </c>
      <c r="BE386" s="148"/>
      <c r="BF386" s="212" t="s">
        <v>1789</v>
      </c>
      <c r="BG386" s="117"/>
      <c r="BH386" s="155"/>
      <c r="BI386" s="216"/>
      <c r="BJ386" s="229" t="s">
        <v>1931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1790</v>
      </c>
      <c r="BZ386" s="158" t="s">
        <v>2159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>
      <c r="A387" s="117"/>
      <c r="B387" s="209" t="s">
        <v>1953</v>
      </c>
      <c r="C387" s="209" t="s">
        <v>2178</v>
      </c>
      <c r="D387" s="209" t="s">
        <v>1296</v>
      </c>
      <c r="E387" s="209" t="s">
        <v>1801</v>
      </c>
      <c r="F387" s="209" t="s">
        <v>1543</v>
      </c>
      <c r="G387" s="209" t="s">
        <v>1163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1923</v>
      </c>
      <c r="AD387" s="215" t="s">
        <v>1924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1925</v>
      </c>
      <c r="BB387" s="213" t="s">
        <v>1926</v>
      </c>
      <c r="BC387" s="213" t="s">
        <v>1927</v>
      </c>
      <c r="BD387" s="213" t="s">
        <v>140</v>
      </c>
      <c r="BE387" s="148"/>
      <c r="BF387" s="212" t="s">
        <v>1789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1790</v>
      </c>
      <c r="BZ387" s="158" t="s">
        <v>2160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>
      <c r="A388" s="117"/>
      <c r="B388" s="209" t="s">
        <v>1953</v>
      </c>
      <c r="C388" s="209" t="s">
        <v>2178</v>
      </c>
      <c r="D388" s="209" t="s">
        <v>1076</v>
      </c>
      <c r="E388" s="209" t="s">
        <v>1802</v>
      </c>
      <c r="F388" s="209" t="s">
        <v>1537</v>
      </c>
      <c r="G388" s="209" t="s">
        <v>1075</v>
      </c>
      <c r="H388" s="210">
        <v>812</v>
      </c>
      <c r="I388" s="211" t="s">
        <v>1077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1923</v>
      </c>
      <c r="AD388" s="215" t="s">
        <v>1924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1925</v>
      </c>
      <c r="BB388" s="213" t="s">
        <v>1926</v>
      </c>
      <c r="BC388" s="213" t="s">
        <v>1927</v>
      </c>
      <c r="BD388" s="213" t="s">
        <v>140</v>
      </c>
      <c r="BE388" s="148"/>
      <c r="BF388" s="212" t="s">
        <v>1789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1790</v>
      </c>
      <c r="BZ388" s="158" t="s">
        <v>2161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>
      <c r="A389" s="186"/>
      <c r="B389" s="187" t="s">
        <v>1953</v>
      </c>
      <c r="C389" s="187" t="s">
        <v>2180</v>
      </c>
      <c r="D389" s="187"/>
      <c r="E389" s="187"/>
      <c r="F389" s="187"/>
      <c r="G389" s="187" t="s">
        <v>1960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0.7</v>
      </c>
      <c r="Y389" s="192"/>
      <c r="Z389" s="192"/>
      <c r="AA389" s="192"/>
      <c r="AB389" s="192"/>
      <c r="AC389" s="194" t="s">
        <v>1923</v>
      </c>
      <c r="AD389" s="195" t="s">
        <v>1924</v>
      </c>
      <c r="AE389" s="196" t="s">
        <v>1787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1925</v>
      </c>
      <c r="BB389" s="193" t="s">
        <v>1926</v>
      </c>
      <c r="BC389" s="193" t="s">
        <v>1927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>
      <c r="A390" s="117"/>
      <c r="B390" s="209" t="s">
        <v>1953</v>
      </c>
      <c r="C390" s="209" t="s">
        <v>2180</v>
      </c>
      <c r="D390" s="209" t="s">
        <v>1084</v>
      </c>
      <c r="E390" s="209" t="s">
        <v>1788</v>
      </c>
      <c r="F390" s="209" t="s">
        <v>1561</v>
      </c>
      <c r="G390" s="209" t="s">
        <v>1477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1923</v>
      </c>
      <c r="AD390" s="215" t="s">
        <v>1924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1925</v>
      </c>
      <c r="BB390" s="213" t="s">
        <v>1926</v>
      </c>
      <c r="BC390" s="213" t="s">
        <v>1927</v>
      </c>
      <c r="BD390" s="213" t="s">
        <v>140</v>
      </c>
      <c r="BE390" s="148"/>
      <c r="BF390" s="212" t="s">
        <v>1789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1790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>
      <c r="A391" s="117"/>
      <c r="B391" s="209" t="s">
        <v>1953</v>
      </c>
      <c r="C391" s="209" t="s">
        <v>2180</v>
      </c>
      <c r="D391" s="209" t="s">
        <v>1296</v>
      </c>
      <c r="E391" s="209" t="s">
        <v>1795</v>
      </c>
      <c r="F391" s="209" t="s">
        <v>1567</v>
      </c>
      <c r="G391" s="209" t="s">
        <v>1493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1923</v>
      </c>
      <c r="AD391" s="215" t="s">
        <v>1924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1925</v>
      </c>
      <c r="BB391" s="213" t="s">
        <v>1926</v>
      </c>
      <c r="BC391" s="213" t="s">
        <v>1927</v>
      </c>
      <c r="BD391" s="213" t="s">
        <v>140</v>
      </c>
      <c r="BE391" s="148"/>
      <c r="BF391" s="212" t="s">
        <v>1789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1790</v>
      </c>
      <c r="BZ391" s="158" t="s">
        <v>2156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>
      <c r="A392" s="141"/>
      <c r="B392" s="199" t="s">
        <v>1953</v>
      </c>
      <c r="C392" s="199" t="s">
        <v>2180</v>
      </c>
      <c r="D392" s="199" t="s">
        <v>1296</v>
      </c>
      <c r="E392" s="199" t="s">
        <v>1815</v>
      </c>
      <c r="F392" s="199" t="s">
        <v>1562</v>
      </c>
      <c r="G392" s="199" t="s">
        <v>1501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203">
        <f t="shared" ca="1" si="763"/>
        <v>1</v>
      </c>
      <c r="V392" s="203">
        <f t="shared" ca="1" si="764"/>
        <v>1</v>
      </c>
      <c r="W392" s="203"/>
      <c r="X392" s="203"/>
      <c r="Y392" s="203"/>
      <c r="Z392" s="203"/>
      <c r="AA392" s="203"/>
      <c r="AB392" s="203"/>
      <c r="AC392" s="205" t="s">
        <v>1923</v>
      </c>
      <c r="AD392" s="206" t="s">
        <v>1924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1</v>
      </c>
      <c r="AO392" s="203">
        <f t="shared" ca="1" si="770"/>
        <v>0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1925</v>
      </c>
      <c r="BB392" s="204" t="s">
        <v>1926</v>
      </c>
      <c r="BC392" s="204" t="s">
        <v>1927</v>
      </c>
      <c r="BD392" s="204" t="s">
        <v>140</v>
      </c>
      <c r="BE392" s="166"/>
      <c r="BF392" s="203" t="s">
        <v>1789</v>
      </c>
      <c r="BG392" s="141"/>
      <c r="BH392" s="152"/>
      <c r="BI392" s="207"/>
      <c r="BJ392" s="207"/>
      <c r="BK392" s="207"/>
      <c r="BL392" s="153" t="s">
        <v>1932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1790</v>
      </c>
      <c r="BZ392" s="158" t="s">
        <v>2156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>
      <c r="A393" s="117"/>
      <c r="B393" s="209" t="s">
        <v>1953</v>
      </c>
      <c r="C393" s="209" t="s">
        <v>2180</v>
      </c>
      <c r="D393" s="209" t="s">
        <v>1296</v>
      </c>
      <c r="E393" s="209" t="s">
        <v>1805</v>
      </c>
      <c r="F393" s="209" t="s">
        <v>1563</v>
      </c>
      <c r="G393" s="209" t="s">
        <v>1503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1923</v>
      </c>
      <c r="AD393" s="215" t="s">
        <v>1924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1925</v>
      </c>
      <c r="BB393" s="213" t="s">
        <v>1926</v>
      </c>
      <c r="BC393" s="213" t="s">
        <v>1927</v>
      </c>
      <c r="BD393" s="213" t="s">
        <v>140</v>
      </c>
      <c r="BE393" s="148"/>
      <c r="BF393" s="212" t="s">
        <v>1789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1790</v>
      </c>
      <c r="BZ393" s="158" t="s">
        <v>2157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>
      <c r="A394" s="117"/>
      <c r="B394" s="209" t="s">
        <v>1953</v>
      </c>
      <c r="C394" s="209" t="s">
        <v>2180</v>
      </c>
      <c r="D394" s="209" t="s">
        <v>1084</v>
      </c>
      <c r="E394" s="209" t="s">
        <v>1816</v>
      </c>
      <c r="F394" s="209" t="s">
        <v>1564</v>
      </c>
      <c r="G394" s="209" t="s">
        <v>1505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1923</v>
      </c>
      <c r="AD394" s="215" t="s">
        <v>1924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1925</v>
      </c>
      <c r="BB394" s="213" t="s">
        <v>1926</v>
      </c>
      <c r="BC394" s="213" t="s">
        <v>1927</v>
      </c>
      <c r="BD394" s="213" t="s">
        <v>140</v>
      </c>
      <c r="BE394" s="148"/>
      <c r="BF394" s="212" t="s">
        <v>1789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1790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>
      <c r="A395" s="117"/>
      <c r="B395" s="209" t="s">
        <v>1953</v>
      </c>
      <c r="C395" s="209" t="s">
        <v>2180</v>
      </c>
      <c r="D395" s="209" t="s">
        <v>1084</v>
      </c>
      <c r="E395" s="209" t="s">
        <v>1817</v>
      </c>
      <c r="F395" s="209" t="s">
        <v>1565</v>
      </c>
      <c r="G395" s="209" t="s">
        <v>1495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1923</v>
      </c>
      <c r="AD395" s="215" t="s">
        <v>1924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1925</v>
      </c>
      <c r="BB395" s="213" t="s">
        <v>1926</v>
      </c>
      <c r="BC395" s="213" t="s">
        <v>1927</v>
      </c>
      <c r="BD395" s="213" t="s">
        <v>140</v>
      </c>
      <c r="BE395" s="148"/>
      <c r="BF395" s="212" t="s">
        <v>1789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1790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>
      <c r="A396" s="117"/>
      <c r="B396" s="209" t="s">
        <v>1953</v>
      </c>
      <c r="C396" s="209" t="s">
        <v>2180</v>
      </c>
      <c r="D396" s="209" t="s">
        <v>1296</v>
      </c>
      <c r="E396" s="209" t="s">
        <v>1806</v>
      </c>
      <c r="F396" s="209" t="s">
        <v>1566</v>
      </c>
      <c r="G396" s="209" t="s">
        <v>1508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1923</v>
      </c>
      <c r="AD396" s="215" t="s">
        <v>1924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1925</v>
      </c>
      <c r="BB396" s="213" t="s">
        <v>1926</v>
      </c>
      <c r="BC396" s="213" t="s">
        <v>1927</v>
      </c>
      <c r="BD396" s="213" t="s">
        <v>140</v>
      </c>
      <c r="BE396" s="148"/>
      <c r="BF396" s="212" t="s">
        <v>1789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1790</v>
      </c>
      <c r="BZ396" s="158" t="s">
        <v>2159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>
      <c r="A397" s="186"/>
      <c r="B397" s="187" t="s">
        <v>1953</v>
      </c>
      <c r="C397" s="187" t="s">
        <v>2181</v>
      </c>
      <c r="D397" s="187"/>
      <c r="E397" s="187"/>
      <c r="F397" s="187"/>
      <c r="G397" s="187" t="s">
        <v>1961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0.61538461538461542</v>
      </c>
      <c r="Y397" s="192"/>
      <c r="Z397" s="192"/>
      <c r="AA397" s="192"/>
      <c r="AB397" s="192"/>
      <c r="AC397" s="194" t="s">
        <v>1923</v>
      </c>
      <c r="AD397" s="195" t="s">
        <v>1924</v>
      </c>
      <c r="AE397" s="196" t="s">
        <v>1787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1925</v>
      </c>
      <c r="BB397" s="193" t="s">
        <v>1926</v>
      </c>
      <c r="BC397" s="193" t="s">
        <v>1927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>
      <c r="A398" s="117"/>
      <c r="B398" s="209" t="s">
        <v>1953</v>
      </c>
      <c r="C398" s="209" t="s">
        <v>2181</v>
      </c>
      <c r="D398" s="209" t="s">
        <v>1084</v>
      </c>
      <c r="E398" s="209" t="s">
        <v>1788</v>
      </c>
      <c r="F398" s="209" t="s">
        <v>1553</v>
      </c>
      <c r="G398" s="209" t="s">
        <v>1477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1923</v>
      </c>
      <c r="AD398" s="215" t="s">
        <v>1924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1925</v>
      </c>
      <c r="BB398" s="213" t="s">
        <v>1926</v>
      </c>
      <c r="BC398" s="213" t="s">
        <v>1927</v>
      </c>
      <c r="BD398" s="213" t="s">
        <v>140</v>
      </c>
      <c r="BE398" s="148"/>
      <c r="BF398" s="212" t="s">
        <v>1789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1790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>
      <c r="A399" s="117"/>
      <c r="B399" s="209" t="s">
        <v>1953</v>
      </c>
      <c r="C399" s="209" t="s">
        <v>2181</v>
      </c>
      <c r="D399" s="209" t="s">
        <v>1296</v>
      </c>
      <c r="E399" s="209" t="s">
        <v>1795</v>
      </c>
      <c r="F399" s="209" t="s">
        <v>1560</v>
      </c>
      <c r="G399" s="209" t="s">
        <v>1493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1923</v>
      </c>
      <c r="AD399" s="215" t="s">
        <v>1924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1925</v>
      </c>
      <c r="BB399" s="213" t="s">
        <v>1926</v>
      </c>
      <c r="BC399" s="213" t="s">
        <v>1927</v>
      </c>
      <c r="BD399" s="213" t="s">
        <v>140</v>
      </c>
      <c r="BE399" s="148"/>
      <c r="BF399" s="212" t="s">
        <v>1789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1790</v>
      </c>
      <c r="BZ399" s="158" t="s">
        <v>2156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>
      <c r="A400" s="117"/>
      <c r="B400" s="209" t="s">
        <v>1953</v>
      </c>
      <c r="C400" s="209" t="s">
        <v>2181</v>
      </c>
      <c r="D400" s="209" t="s">
        <v>1084</v>
      </c>
      <c r="E400" s="209" t="s">
        <v>1817</v>
      </c>
      <c r="F400" s="209" t="s">
        <v>1554</v>
      </c>
      <c r="G400" s="209" t="s">
        <v>1495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1923</v>
      </c>
      <c r="AD400" s="215" t="s">
        <v>1924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1925</v>
      </c>
      <c r="BB400" s="213" t="s">
        <v>1926</v>
      </c>
      <c r="BC400" s="213" t="s">
        <v>1927</v>
      </c>
      <c r="BD400" s="213" t="s">
        <v>140</v>
      </c>
      <c r="BE400" s="148"/>
      <c r="BF400" s="212" t="s">
        <v>1789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1790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>
      <c r="A401" s="117"/>
      <c r="B401" s="209" t="s">
        <v>1953</v>
      </c>
      <c r="C401" s="209" t="s">
        <v>2181</v>
      </c>
      <c r="D401" s="209" t="s">
        <v>1296</v>
      </c>
      <c r="E401" s="209" t="s">
        <v>1806</v>
      </c>
      <c r="F401" s="209" t="s">
        <v>1555</v>
      </c>
      <c r="G401" s="209" t="s">
        <v>1508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1923</v>
      </c>
      <c r="AD401" s="215" t="s">
        <v>1924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1925</v>
      </c>
      <c r="BB401" s="213" t="s">
        <v>1926</v>
      </c>
      <c r="BC401" s="213" t="s">
        <v>1927</v>
      </c>
      <c r="BD401" s="213" t="s">
        <v>140</v>
      </c>
      <c r="BE401" s="148"/>
      <c r="BF401" s="212" t="s">
        <v>1789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1790</v>
      </c>
      <c r="BZ401" s="158" t="s">
        <v>2159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>
      <c r="A402" s="117"/>
      <c r="B402" s="209" t="s">
        <v>1953</v>
      </c>
      <c r="C402" s="209" t="s">
        <v>2181</v>
      </c>
      <c r="D402" s="209" t="s">
        <v>1296</v>
      </c>
      <c r="E402" s="209" t="s">
        <v>1807</v>
      </c>
      <c r="F402" s="209" t="s">
        <v>1556</v>
      </c>
      <c r="G402" s="209" t="s">
        <v>1524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1923</v>
      </c>
      <c r="AD402" s="215" t="s">
        <v>1924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1925</v>
      </c>
      <c r="BB402" s="213" t="s">
        <v>1926</v>
      </c>
      <c r="BC402" s="213" t="s">
        <v>1927</v>
      </c>
      <c r="BD402" s="213" t="s">
        <v>140</v>
      </c>
      <c r="BE402" s="148"/>
      <c r="BF402" s="212" t="s">
        <v>1789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1790</v>
      </c>
      <c r="BZ402" s="158" t="s">
        <v>2157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>
      <c r="A403" s="117"/>
      <c r="B403" s="209" t="s">
        <v>1953</v>
      </c>
      <c r="C403" s="209" t="s">
        <v>2181</v>
      </c>
      <c r="D403" s="209" t="s">
        <v>1296</v>
      </c>
      <c r="E403" s="209" t="s">
        <v>1818</v>
      </c>
      <c r="F403" s="209" t="s">
        <v>1557</v>
      </c>
      <c r="G403" s="209" t="s">
        <v>1526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1923</v>
      </c>
      <c r="AD403" s="215" t="s">
        <v>1924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1925</v>
      </c>
      <c r="BB403" s="213" t="s">
        <v>1926</v>
      </c>
      <c r="BC403" s="213" t="s">
        <v>1927</v>
      </c>
      <c r="BD403" s="213" t="s">
        <v>140</v>
      </c>
      <c r="BE403" s="148"/>
      <c r="BF403" s="212" t="s">
        <v>1789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1790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>
      <c r="A404" s="117"/>
      <c r="B404" s="209" t="s">
        <v>1953</v>
      </c>
      <c r="C404" s="209" t="s">
        <v>2181</v>
      </c>
      <c r="D404" s="209" t="s">
        <v>1296</v>
      </c>
      <c r="E404" s="209" t="s">
        <v>1819</v>
      </c>
      <c r="F404" s="209" t="s">
        <v>1558</v>
      </c>
      <c r="G404" s="209" t="s">
        <v>1125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1923</v>
      </c>
      <c r="AD404" s="215" t="s">
        <v>1924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1925</v>
      </c>
      <c r="BB404" s="213" t="s">
        <v>1926</v>
      </c>
      <c r="BC404" s="213" t="s">
        <v>1927</v>
      </c>
      <c r="BD404" s="213" t="s">
        <v>140</v>
      </c>
      <c r="BE404" s="148"/>
      <c r="BF404" s="212" t="s">
        <v>1789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1790</v>
      </c>
      <c r="BZ404" s="158" t="s">
        <v>2155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>
      <c r="A405" s="117"/>
      <c r="B405" s="209" t="s">
        <v>1953</v>
      </c>
      <c r="C405" s="209" t="s">
        <v>2181</v>
      </c>
      <c r="D405" s="209" t="s">
        <v>1296</v>
      </c>
      <c r="E405" s="209" t="s">
        <v>1820</v>
      </c>
      <c r="F405" s="209" t="s">
        <v>1559</v>
      </c>
      <c r="G405" s="209" t="s">
        <v>1123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1923</v>
      </c>
      <c r="AD405" s="215" t="s">
        <v>1924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1925</v>
      </c>
      <c r="BB405" s="213" t="s">
        <v>1926</v>
      </c>
      <c r="BC405" s="213" t="s">
        <v>1927</v>
      </c>
      <c r="BD405" s="213" t="s">
        <v>140</v>
      </c>
      <c r="BE405" s="148"/>
      <c r="BF405" s="212" t="s">
        <v>1789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1790</v>
      </c>
      <c r="BZ405" s="158" t="s">
        <v>2157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>
      <c r="A406" s="186"/>
      <c r="B406" s="187" t="s">
        <v>1953</v>
      </c>
      <c r="C406" s="187" t="s">
        <v>2182</v>
      </c>
      <c r="D406" s="187"/>
      <c r="E406" s="187"/>
      <c r="F406" s="187"/>
      <c r="G406" s="187" t="s">
        <v>1960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0.4</v>
      </c>
      <c r="Y406" s="192"/>
      <c r="Z406" s="192"/>
      <c r="AA406" s="192"/>
      <c r="AB406" s="192"/>
      <c r="AC406" s="194" t="s">
        <v>1923</v>
      </c>
      <c r="AD406" s="195" t="s">
        <v>1924</v>
      </c>
      <c r="AE406" s="196" t="s">
        <v>1787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1925</v>
      </c>
      <c r="BB406" s="193" t="s">
        <v>1926</v>
      </c>
      <c r="BC406" s="193" t="s">
        <v>1927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>
      <c r="A407" s="117"/>
      <c r="B407" s="209" t="s">
        <v>1953</v>
      </c>
      <c r="C407" s="209" t="s">
        <v>2182</v>
      </c>
      <c r="D407" s="209" t="s">
        <v>1084</v>
      </c>
      <c r="E407" s="209" t="s">
        <v>1788</v>
      </c>
      <c r="F407" s="209" t="s">
        <v>1568</v>
      </c>
      <c r="G407" s="209" t="s">
        <v>1477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1923</v>
      </c>
      <c r="AD407" s="215" t="s">
        <v>1924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1925</v>
      </c>
      <c r="BB407" s="213" t="s">
        <v>1926</v>
      </c>
      <c r="BC407" s="213" t="s">
        <v>1927</v>
      </c>
      <c r="BD407" s="213" t="s">
        <v>140</v>
      </c>
      <c r="BE407" s="148"/>
      <c r="BF407" s="212" t="s">
        <v>1789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1790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>
      <c r="A408" s="117"/>
      <c r="B408" s="209" t="s">
        <v>1953</v>
      </c>
      <c r="C408" s="209" t="s">
        <v>2182</v>
      </c>
      <c r="D408" s="209" t="s">
        <v>1296</v>
      </c>
      <c r="E408" s="209" t="s">
        <v>1795</v>
      </c>
      <c r="F408" s="209" t="s">
        <v>1574</v>
      </c>
      <c r="G408" s="209" t="s">
        <v>1493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1923</v>
      </c>
      <c r="AD408" s="215" t="s">
        <v>1924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1925</v>
      </c>
      <c r="BB408" s="213" t="s">
        <v>1926</v>
      </c>
      <c r="BC408" s="213" t="s">
        <v>1927</v>
      </c>
      <c r="BD408" s="213" t="s">
        <v>140</v>
      </c>
      <c r="BE408" s="148"/>
      <c r="BF408" s="212" t="s">
        <v>1789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1790</v>
      </c>
      <c r="BZ408" s="158" t="s">
        <v>2156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>
      <c r="A409" s="141"/>
      <c r="B409" s="199" t="s">
        <v>1953</v>
      </c>
      <c r="C409" s="199" t="s">
        <v>2182</v>
      </c>
      <c r="D409" s="199" t="s">
        <v>1296</v>
      </c>
      <c r="E409" s="199" t="s">
        <v>1815</v>
      </c>
      <c r="F409" s="199" t="s">
        <v>1569</v>
      </c>
      <c r="G409" s="199" t="s">
        <v>1501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203">
        <f t="shared" ca="1" si="801"/>
        <v>1</v>
      </c>
      <c r="V409" s="203">
        <f t="shared" ca="1" si="802"/>
        <v>1</v>
      </c>
      <c r="W409" s="203"/>
      <c r="X409" s="203"/>
      <c r="Y409" s="203"/>
      <c r="Z409" s="203"/>
      <c r="AA409" s="203"/>
      <c r="AB409" s="203"/>
      <c r="AC409" s="205" t="s">
        <v>1923</v>
      </c>
      <c r="AD409" s="206" t="s">
        <v>1924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1</v>
      </c>
      <c r="AO409" s="203">
        <f t="shared" ca="1" si="808"/>
        <v>0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1925</v>
      </c>
      <c r="BB409" s="204" t="s">
        <v>1926</v>
      </c>
      <c r="BC409" s="204" t="s">
        <v>1927</v>
      </c>
      <c r="BD409" s="204" t="s">
        <v>140</v>
      </c>
      <c r="BE409" s="166"/>
      <c r="BF409" s="203" t="s">
        <v>1789</v>
      </c>
      <c r="BG409" s="141"/>
      <c r="BH409" s="152"/>
      <c r="BI409" s="207"/>
      <c r="BJ409" s="207"/>
      <c r="BK409" s="207"/>
      <c r="BL409" s="153" t="s">
        <v>1932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1790</v>
      </c>
      <c r="BZ409" s="158" t="s">
        <v>2156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>
      <c r="A410" s="117"/>
      <c r="B410" s="209" t="s">
        <v>1953</v>
      </c>
      <c r="C410" s="209" t="s">
        <v>2182</v>
      </c>
      <c r="D410" s="209" t="s">
        <v>1296</v>
      </c>
      <c r="E410" s="209" t="s">
        <v>1805</v>
      </c>
      <c r="F410" s="209" t="s">
        <v>1570</v>
      </c>
      <c r="G410" s="209" t="s">
        <v>1503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1923</v>
      </c>
      <c r="AD410" s="215" t="s">
        <v>1924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1925</v>
      </c>
      <c r="BB410" s="213" t="s">
        <v>1926</v>
      </c>
      <c r="BC410" s="213" t="s">
        <v>1927</v>
      </c>
      <c r="BD410" s="213" t="s">
        <v>140</v>
      </c>
      <c r="BE410" s="148"/>
      <c r="BF410" s="212" t="s">
        <v>1789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1790</v>
      </c>
      <c r="BZ410" s="158" t="s">
        <v>2157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>
      <c r="A411" s="117"/>
      <c r="B411" s="209" t="s">
        <v>1953</v>
      </c>
      <c r="C411" s="209" t="s">
        <v>2182</v>
      </c>
      <c r="D411" s="209" t="s">
        <v>1084</v>
      </c>
      <c r="E411" s="209" t="s">
        <v>1816</v>
      </c>
      <c r="F411" s="209" t="s">
        <v>1571</v>
      </c>
      <c r="G411" s="209" t="s">
        <v>1505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1923</v>
      </c>
      <c r="AD411" s="215" t="s">
        <v>1924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1925</v>
      </c>
      <c r="BB411" s="213" t="s">
        <v>1926</v>
      </c>
      <c r="BC411" s="213" t="s">
        <v>1927</v>
      </c>
      <c r="BD411" s="213" t="s">
        <v>140</v>
      </c>
      <c r="BE411" s="148"/>
      <c r="BF411" s="212" t="s">
        <v>1789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1790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>
      <c r="A412" s="117"/>
      <c r="B412" s="209" t="s">
        <v>1953</v>
      </c>
      <c r="C412" s="209" t="s">
        <v>2182</v>
      </c>
      <c r="D412" s="209" t="s">
        <v>1084</v>
      </c>
      <c r="E412" s="209" t="s">
        <v>1817</v>
      </c>
      <c r="F412" s="209" t="s">
        <v>1572</v>
      </c>
      <c r="G412" s="209" t="s">
        <v>1495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1923</v>
      </c>
      <c r="AD412" s="215" t="s">
        <v>1924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1925</v>
      </c>
      <c r="BB412" s="213" t="s">
        <v>1926</v>
      </c>
      <c r="BC412" s="213" t="s">
        <v>1927</v>
      </c>
      <c r="BD412" s="213" t="s">
        <v>140</v>
      </c>
      <c r="BE412" s="148"/>
      <c r="BF412" s="212" t="s">
        <v>1789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1790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>
      <c r="A413" s="117"/>
      <c r="B413" s="209" t="s">
        <v>1953</v>
      </c>
      <c r="C413" s="209" t="s">
        <v>2182</v>
      </c>
      <c r="D413" s="209" t="s">
        <v>1296</v>
      </c>
      <c r="E413" s="209" t="s">
        <v>1806</v>
      </c>
      <c r="F413" s="209" t="s">
        <v>1573</v>
      </c>
      <c r="G413" s="209" t="s">
        <v>1508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1923</v>
      </c>
      <c r="AD413" s="215" t="s">
        <v>1924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1925</v>
      </c>
      <c r="BB413" s="213" t="s">
        <v>1926</v>
      </c>
      <c r="BC413" s="213" t="s">
        <v>1927</v>
      </c>
      <c r="BD413" s="213" t="s">
        <v>140</v>
      </c>
      <c r="BE413" s="148"/>
      <c r="BF413" s="212" t="s">
        <v>1789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1790</v>
      </c>
      <c r="BZ413" s="158" t="s">
        <v>2159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>
      <c r="A414" s="162">
        <v>141</v>
      </c>
      <c r="B414" s="177" t="s">
        <v>1962</v>
      </c>
      <c r="C414" s="177" t="s">
        <v>2183</v>
      </c>
      <c r="D414" s="177" t="s">
        <v>1963</v>
      </c>
      <c r="E414" s="177"/>
      <c r="F414" s="177"/>
      <c r="G414" s="177" t="s">
        <v>1964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1923</v>
      </c>
      <c r="AD414" s="184" t="s">
        <v>1924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1783</v>
      </c>
      <c r="AL414" s="181">
        <v>1</v>
      </c>
      <c r="AM414" s="181"/>
      <c r="AN414" s="181"/>
      <c r="AO414" s="181"/>
      <c r="AP414" s="181" t="s">
        <v>1922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1925</v>
      </c>
      <c r="BB414" s="182" t="s">
        <v>1926</v>
      </c>
      <c r="BC414" s="182" t="s">
        <v>1927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>
      <c r="A415" s="186"/>
      <c r="B415" s="187" t="s">
        <v>1962</v>
      </c>
      <c r="C415" s="187" t="s">
        <v>2184</v>
      </c>
      <c r="D415" s="187"/>
      <c r="E415" s="187"/>
      <c r="F415" s="187"/>
      <c r="G415" s="187" t="s">
        <v>1965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1</v>
      </c>
      <c r="X415" s="192">
        <f ca="1">SUMIFS(T:T,C:C,C415,AE:AE,"")/SUMIFS(L:L,C:C,C415,AE:AE,"",AB:AB,"")</f>
        <v>0.67543859649122806</v>
      </c>
      <c r="Y415" s="192"/>
      <c r="Z415" s="192"/>
      <c r="AA415" s="192"/>
      <c r="AB415" s="192"/>
      <c r="AC415" s="194" t="s">
        <v>1923</v>
      </c>
      <c r="AD415" s="195" t="s">
        <v>1924</v>
      </c>
      <c r="AE415" s="196" t="s">
        <v>1787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1925</v>
      </c>
      <c r="BB415" s="193" t="s">
        <v>1926</v>
      </c>
      <c r="BC415" s="193" t="s">
        <v>1927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>
      <c r="A416" s="117"/>
      <c r="B416" s="209" t="s">
        <v>1962</v>
      </c>
      <c r="C416" s="209" t="s">
        <v>2184</v>
      </c>
      <c r="D416" s="209" t="s">
        <v>1084</v>
      </c>
      <c r="E416" s="209" t="s">
        <v>1788</v>
      </c>
      <c r="F416" s="209" t="s">
        <v>1600</v>
      </c>
      <c r="G416" s="209" t="s">
        <v>1577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1923</v>
      </c>
      <c r="AD416" s="215" t="s">
        <v>1924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1925</v>
      </c>
      <c r="BB416" s="213" t="s">
        <v>1926</v>
      </c>
      <c r="BC416" s="213" t="s">
        <v>1927</v>
      </c>
      <c r="BD416" s="213" t="s">
        <v>140</v>
      </c>
      <c r="BE416" s="148"/>
      <c r="BF416" s="212" t="s">
        <v>1789</v>
      </c>
      <c r="BG416" s="117"/>
      <c r="BH416" s="155"/>
      <c r="BI416" s="216"/>
      <c r="BJ416" s="216"/>
      <c r="BK416" s="216"/>
      <c r="BL416" s="149" t="s">
        <v>1932</v>
      </c>
      <c r="BM416" s="149"/>
      <c r="BN416" s="149"/>
      <c r="BO416" s="149"/>
      <c r="BP416" s="149"/>
      <c r="BQ416" s="150" t="s">
        <v>2185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1790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>
      <c r="A417" s="117"/>
      <c r="B417" s="209" t="s">
        <v>1962</v>
      </c>
      <c r="C417" s="209" t="s">
        <v>2184</v>
      </c>
      <c r="D417" s="209" t="s">
        <v>1296</v>
      </c>
      <c r="E417" s="209" t="s">
        <v>1791</v>
      </c>
      <c r="F417" s="209" t="s">
        <v>1601</v>
      </c>
      <c r="G417" s="209" t="s">
        <v>1157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1923</v>
      </c>
      <c r="AD417" s="215" t="s">
        <v>1924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1925</v>
      </c>
      <c r="BB417" s="213" t="s">
        <v>1926</v>
      </c>
      <c r="BC417" s="213" t="s">
        <v>1927</v>
      </c>
      <c r="BD417" s="213" t="s">
        <v>140</v>
      </c>
      <c r="BE417" s="148"/>
      <c r="BF417" s="212" t="s">
        <v>1789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1790</v>
      </c>
      <c r="BZ417" s="158" t="s">
        <v>2155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>
      <c r="A418" s="117"/>
      <c r="B418" s="209" t="s">
        <v>1962</v>
      </c>
      <c r="C418" s="209" t="s">
        <v>2184</v>
      </c>
      <c r="D418" s="209" t="s">
        <v>1296</v>
      </c>
      <c r="E418" s="209" t="s">
        <v>1792</v>
      </c>
      <c r="F418" s="209" t="s">
        <v>1602</v>
      </c>
      <c r="G418" s="209" t="s">
        <v>1497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1923</v>
      </c>
      <c r="AD418" s="215" t="s">
        <v>1924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1925</v>
      </c>
      <c r="BB418" s="213" t="s">
        <v>1926</v>
      </c>
      <c r="BC418" s="213" t="s">
        <v>1927</v>
      </c>
      <c r="BD418" s="213" t="s">
        <v>140</v>
      </c>
      <c r="BE418" s="148"/>
      <c r="BF418" s="212" t="s">
        <v>1789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1790</v>
      </c>
      <c r="BZ418" s="158" t="s">
        <v>2156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>
      <c r="A419" s="117"/>
      <c r="B419" s="209" t="s">
        <v>1962</v>
      </c>
      <c r="C419" s="209" t="s">
        <v>2184</v>
      </c>
      <c r="D419" s="209" t="s">
        <v>1296</v>
      </c>
      <c r="E419" s="209" t="s">
        <v>1793</v>
      </c>
      <c r="F419" s="209" t="s">
        <v>1603</v>
      </c>
      <c r="G419" s="209" t="s">
        <v>1581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1923</v>
      </c>
      <c r="AD419" s="215" t="s">
        <v>1924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1925</v>
      </c>
      <c r="BB419" s="213" t="s">
        <v>1926</v>
      </c>
      <c r="BC419" s="213" t="s">
        <v>1927</v>
      </c>
      <c r="BD419" s="213" t="s">
        <v>140</v>
      </c>
      <c r="BE419" s="148"/>
      <c r="BF419" s="212" t="s">
        <v>1789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1790</v>
      </c>
      <c r="BZ419" s="158" t="s">
        <v>2156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>
      <c r="A420" s="117"/>
      <c r="B420" s="209" t="s">
        <v>1962</v>
      </c>
      <c r="C420" s="209" t="s">
        <v>2184</v>
      </c>
      <c r="D420" s="209" t="s">
        <v>1296</v>
      </c>
      <c r="E420" s="209" t="s">
        <v>1957</v>
      </c>
      <c r="F420" s="209" t="s">
        <v>1604</v>
      </c>
      <c r="G420" s="209" t="s">
        <v>1581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8</v>
      </c>
      <c r="U420" s="203">
        <f t="shared" ca="1" si="823"/>
        <v>6</v>
      </c>
      <c r="V420" s="203">
        <f t="shared" ca="1" si="824"/>
        <v>1</v>
      </c>
      <c r="W420" s="212"/>
      <c r="X420" s="212"/>
      <c r="Y420" s="212"/>
      <c r="Z420" s="212"/>
      <c r="AA420" s="212"/>
      <c r="AB420" s="212"/>
      <c r="AC420" s="214" t="s">
        <v>1923</v>
      </c>
      <c r="AD420" s="215" t="s">
        <v>1924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7</v>
      </c>
      <c r="AT420" s="203">
        <f t="shared" ca="1" si="833"/>
        <v>0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1925</v>
      </c>
      <c r="BB420" s="213" t="s">
        <v>1926</v>
      </c>
      <c r="BC420" s="213" t="s">
        <v>1927</v>
      </c>
      <c r="BD420" s="213" t="s">
        <v>140</v>
      </c>
      <c r="BE420" s="148"/>
      <c r="BF420" s="212" t="s">
        <v>1789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1790</v>
      </c>
      <c r="BZ420" s="158" t="s">
        <v>2156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>
      <c r="A421" s="117"/>
      <c r="B421" s="209" t="s">
        <v>1962</v>
      </c>
      <c r="C421" s="209" t="s">
        <v>2184</v>
      </c>
      <c r="D421" s="209" t="s">
        <v>1296</v>
      </c>
      <c r="E421" s="209" t="s">
        <v>1794</v>
      </c>
      <c r="F421" s="209" t="s">
        <v>1605</v>
      </c>
      <c r="G421" s="209" t="s">
        <v>1584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1923</v>
      </c>
      <c r="AD421" s="215" t="s">
        <v>1924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1925</v>
      </c>
      <c r="BB421" s="213" t="s">
        <v>1926</v>
      </c>
      <c r="BC421" s="213" t="s">
        <v>1927</v>
      </c>
      <c r="BD421" s="213" t="s">
        <v>140</v>
      </c>
      <c r="BE421" s="148"/>
      <c r="BF421" s="212" t="s">
        <v>1789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1790</v>
      </c>
      <c r="BZ421" s="158" t="s">
        <v>2160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>
      <c r="A422" s="117"/>
      <c r="B422" s="209" t="s">
        <v>1962</v>
      </c>
      <c r="C422" s="209" t="s">
        <v>2184</v>
      </c>
      <c r="D422" s="209" t="s">
        <v>1076</v>
      </c>
      <c r="E422" s="209" t="s">
        <v>1802</v>
      </c>
      <c r="F422" s="209" t="s">
        <v>1599</v>
      </c>
      <c r="G422" s="209" t="s">
        <v>1075</v>
      </c>
      <c r="H422" s="210">
        <v>812</v>
      </c>
      <c r="I422" s="211" t="s">
        <v>1077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1923</v>
      </c>
      <c r="AD422" s="215" t="s">
        <v>1924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1925</v>
      </c>
      <c r="BB422" s="213" t="s">
        <v>1926</v>
      </c>
      <c r="BC422" s="213" t="s">
        <v>1927</v>
      </c>
      <c r="BD422" s="213" t="s">
        <v>140</v>
      </c>
      <c r="BE422" s="148"/>
      <c r="BF422" s="212" t="s">
        <v>1789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1790</v>
      </c>
      <c r="BZ422" s="158" t="s">
        <v>2161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>
      <c r="A423" s="186"/>
      <c r="B423" s="187" t="s">
        <v>1962</v>
      </c>
      <c r="C423" s="187" t="s">
        <v>2186</v>
      </c>
      <c r="D423" s="187"/>
      <c r="E423" s="187"/>
      <c r="F423" s="187"/>
      <c r="G423" s="187" t="s">
        <v>1966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1</v>
      </c>
      <c r="X423" s="192">
        <f ca="1">SUMIFS(T:T,C:C,C423,AE:AE,"")/SUMIFS(L:L,C:C,C423,AE:AE,"",AB:AB,"")</f>
        <v>0.73333333333333328</v>
      </c>
      <c r="Y423" s="192"/>
      <c r="Z423" s="192"/>
      <c r="AA423" s="192"/>
      <c r="AB423" s="192"/>
      <c r="AC423" s="194" t="s">
        <v>1923</v>
      </c>
      <c r="AD423" s="195" t="s">
        <v>1924</v>
      </c>
      <c r="AE423" s="196" t="s">
        <v>1787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1925</v>
      </c>
      <c r="BB423" s="193" t="s">
        <v>1926</v>
      </c>
      <c r="BC423" s="193" t="s">
        <v>1927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>
      <c r="A424" s="117"/>
      <c r="B424" s="209" t="s">
        <v>1962</v>
      </c>
      <c r="C424" s="209" t="s">
        <v>2186</v>
      </c>
      <c r="D424" s="209" t="s">
        <v>1084</v>
      </c>
      <c r="E424" s="209" t="s">
        <v>1795</v>
      </c>
      <c r="F424" s="209" t="s">
        <v>1606</v>
      </c>
      <c r="G424" s="209" t="s">
        <v>1577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1923</v>
      </c>
      <c r="AD424" s="215" t="s">
        <v>1924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1925</v>
      </c>
      <c r="BB424" s="213" t="s">
        <v>1926</v>
      </c>
      <c r="BC424" s="213" t="s">
        <v>1927</v>
      </c>
      <c r="BD424" s="213" t="s">
        <v>140</v>
      </c>
      <c r="BE424" s="148"/>
      <c r="BF424" s="212" t="s">
        <v>1789</v>
      </c>
      <c r="BG424" s="117"/>
      <c r="BH424" s="155"/>
      <c r="BI424" s="216"/>
      <c r="BJ424" s="216"/>
      <c r="BK424" s="216"/>
      <c r="BL424" s="149" t="s">
        <v>1932</v>
      </c>
      <c r="BM424" s="149"/>
      <c r="BN424" s="149"/>
      <c r="BO424" s="149"/>
      <c r="BP424" s="149"/>
      <c r="BQ424" s="150" t="s">
        <v>2185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1790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>
      <c r="A425" s="117"/>
      <c r="B425" s="209" t="s">
        <v>1962</v>
      </c>
      <c r="C425" s="209" t="s">
        <v>2186</v>
      </c>
      <c r="D425" s="209" t="s">
        <v>1296</v>
      </c>
      <c r="E425" s="209" t="s">
        <v>1796</v>
      </c>
      <c r="F425" s="209" t="s">
        <v>1607</v>
      </c>
      <c r="G425" s="209" t="s">
        <v>1592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7</v>
      </c>
      <c r="U425" s="203">
        <f t="shared" ca="1" si="840"/>
        <v>7</v>
      </c>
      <c r="V425" s="203">
        <f t="shared" ca="1" si="841"/>
        <v>1</v>
      </c>
      <c r="W425" s="212"/>
      <c r="X425" s="212"/>
      <c r="Y425" s="212"/>
      <c r="Z425" s="212"/>
      <c r="AA425" s="212"/>
      <c r="AB425" s="212"/>
      <c r="AC425" s="214" t="s">
        <v>1923</v>
      </c>
      <c r="AD425" s="215" t="s">
        <v>1924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6</v>
      </c>
      <c r="AT425" s="203">
        <f t="shared" ca="1" si="850"/>
        <v>1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1925</v>
      </c>
      <c r="BB425" s="213" t="s">
        <v>1926</v>
      </c>
      <c r="BC425" s="213" t="s">
        <v>1927</v>
      </c>
      <c r="BD425" s="213" t="s">
        <v>140</v>
      </c>
      <c r="BE425" s="148"/>
      <c r="BF425" s="212" t="s">
        <v>1789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1790</v>
      </c>
      <c r="BZ425" s="158" t="s">
        <v>2156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>
      <c r="A426" s="117"/>
      <c r="B426" s="209" t="s">
        <v>1962</v>
      </c>
      <c r="C426" s="209" t="s">
        <v>2186</v>
      </c>
      <c r="D426" s="209" t="s">
        <v>1296</v>
      </c>
      <c r="E426" s="209" t="s">
        <v>1797</v>
      </c>
      <c r="F426" s="209" t="s">
        <v>1608</v>
      </c>
      <c r="G426" s="209" t="s">
        <v>1125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1923</v>
      </c>
      <c r="AD426" s="215" t="s">
        <v>1924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1925</v>
      </c>
      <c r="BB426" s="213" t="s">
        <v>1926</v>
      </c>
      <c r="BC426" s="213" t="s">
        <v>1927</v>
      </c>
      <c r="BD426" s="213" t="s">
        <v>140</v>
      </c>
      <c r="BE426" s="148"/>
      <c r="BF426" s="212" t="s">
        <v>1789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1790</v>
      </c>
      <c r="BZ426" s="158" t="s">
        <v>2155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>
      <c r="A427" s="117"/>
      <c r="B427" s="209" t="s">
        <v>1962</v>
      </c>
      <c r="C427" s="209" t="s">
        <v>2186</v>
      </c>
      <c r="D427" s="209" t="s">
        <v>1296</v>
      </c>
      <c r="E427" s="209" t="s">
        <v>1798</v>
      </c>
      <c r="F427" s="209" t="s">
        <v>1609</v>
      </c>
      <c r="G427" s="209" t="s">
        <v>1123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1923</v>
      </c>
      <c r="AD427" s="215" t="s">
        <v>1924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1925</v>
      </c>
      <c r="BB427" s="213" t="s">
        <v>1926</v>
      </c>
      <c r="BC427" s="213" t="s">
        <v>1927</v>
      </c>
      <c r="BD427" s="213" t="s">
        <v>140</v>
      </c>
      <c r="BE427" s="148"/>
      <c r="BF427" s="212" t="s">
        <v>1789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1790</v>
      </c>
      <c r="BZ427" s="158" t="s">
        <v>2157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>
      <c r="A428" s="186"/>
      <c r="B428" s="187" t="s">
        <v>1962</v>
      </c>
      <c r="C428" s="187" t="s">
        <v>2187</v>
      </c>
      <c r="D428" s="187"/>
      <c r="E428" s="187"/>
      <c r="F428" s="187"/>
      <c r="G428" s="187" t="s">
        <v>1966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1</v>
      </c>
      <c r="X428" s="192">
        <f ca="1">SUMIFS(T:T,C:C,C428,AE:AE,"")/SUMIFS(L:L,C:C,C428,AE:AE,"",AB:AB,"")</f>
        <v>0.6</v>
      </c>
      <c r="Y428" s="192"/>
      <c r="Z428" s="192"/>
      <c r="AA428" s="192"/>
      <c r="AB428" s="192"/>
      <c r="AC428" s="194" t="s">
        <v>1923</v>
      </c>
      <c r="AD428" s="195" t="s">
        <v>1924</v>
      </c>
      <c r="AE428" s="196" t="s">
        <v>1787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1925</v>
      </c>
      <c r="BB428" s="193" t="s">
        <v>1926</v>
      </c>
      <c r="BC428" s="193" t="s">
        <v>1927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>
      <c r="A429" s="141"/>
      <c r="B429" s="199" t="s">
        <v>1962</v>
      </c>
      <c r="C429" s="199" t="s">
        <v>2187</v>
      </c>
      <c r="D429" s="199" t="s">
        <v>1084</v>
      </c>
      <c r="E429" s="199" t="s">
        <v>1795</v>
      </c>
      <c r="F429" s="199" t="s">
        <v>1610</v>
      </c>
      <c r="G429" s="199" t="s">
        <v>1577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1923</v>
      </c>
      <c r="AD429" s="206" t="s">
        <v>1924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1925</v>
      </c>
      <c r="BB429" s="204" t="s">
        <v>1926</v>
      </c>
      <c r="BC429" s="204" t="s">
        <v>1927</v>
      </c>
      <c r="BD429" s="204" t="s">
        <v>140</v>
      </c>
      <c r="BE429" s="166"/>
      <c r="BF429" s="203" t="s">
        <v>1789</v>
      </c>
      <c r="BG429" s="141"/>
      <c r="BH429" s="152"/>
      <c r="BI429" s="207"/>
      <c r="BJ429" s="207"/>
      <c r="BK429" s="207"/>
      <c r="BL429" s="153" t="s">
        <v>1932</v>
      </c>
      <c r="BM429" s="153"/>
      <c r="BN429" s="153"/>
      <c r="BO429" s="153"/>
      <c r="BP429" s="153"/>
      <c r="BQ429" s="150" t="s">
        <v>2185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1790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>
      <c r="A430" s="117"/>
      <c r="B430" s="209" t="s">
        <v>1962</v>
      </c>
      <c r="C430" s="209" t="s">
        <v>2187</v>
      </c>
      <c r="D430" s="209" t="s">
        <v>1296</v>
      </c>
      <c r="E430" s="209" t="s">
        <v>1796</v>
      </c>
      <c r="F430" s="209" t="s">
        <v>1611</v>
      </c>
      <c r="G430" s="209" t="s">
        <v>1592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7</v>
      </c>
      <c r="U430" s="203">
        <f t="shared" ca="1" si="856"/>
        <v>7</v>
      </c>
      <c r="V430" s="203">
        <f t="shared" ca="1" si="857"/>
        <v>1</v>
      </c>
      <c r="W430" s="212"/>
      <c r="X430" s="212"/>
      <c r="Y430" s="212"/>
      <c r="Z430" s="212"/>
      <c r="AA430" s="212"/>
      <c r="AB430" s="212"/>
      <c r="AC430" s="214" t="s">
        <v>1923</v>
      </c>
      <c r="AD430" s="215" t="s">
        <v>1924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6</v>
      </c>
      <c r="AT430" s="203">
        <f t="shared" ca="1" si="866"/>
        <v>1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1925</v>
      </c>
      <c r="BB430" s="213" t="s">
        <v>1926</v>
      </c>
      <c r="BC430" s="213" t="s">
        <v>1927</v>
      </c>
      <c r="BD430" s="213" t="s">
        <v>140</v>
      </c>
      <c r="BE430" s="148"/>
      <c r="BF430" s="212" t="s">
        <v>1789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1790</v>
      </c>
      <c r="BZ430" s="158" t="s">
        <v>2156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>
      <c r="A431" s="117"/>
      <c r="B431" s="209" t="s">
        <v>1962</v>
      </c>
      <c r="C431" s="209" t="s">
        <v>2187</v>
      </c>
      <c r="D431" s="209" t="s">
        <v>1296</v>
      </c>
      <c r="E431" s="209" t="s">
        <v>1797</v>
      </c>
      <c r="F431" s="209" t="s">
        <v>1612</v>
      </c>
      <c r="G431" s="209" t="s">
        <v>1125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1923</v>
      </c>
      <c r="AD431" s="215" t="s">
        <v>1924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1925</v>
      </c>
      <c r="BB431" s="213" t="s">
        <v>1926</v>
      </c>
      <c r="BC431" s="213" t="s">
        <v>1927</v>
      </c>
      <c r="BD431" s="213" t="s">
        <v>140</v>
      </c>
      <c r="BE431" s="148"/>
      <c r="BF431" s="212" t="s">
        <v>1789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1790</v>
      </c>
      <c r="BZ431" s="158" t="s">
        <v>2155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>
      <c r="A432" s="117"/>
      <c r="B432" s="209" t="s">
        <v>1962</v>
      </c>
      <c r="C432" s="209" t="s">
        <v>2187</v>
      </c>
      <c r="D432" s="209" t="s">
        <v>1296</v>
      </c>
      <c r="E432" s="209" t="s">
        <v>1798</v>
      </c>
      <c r="F432" s="209" t="s">
        <v>1613</v>
      </c>
      <c r="G432" s="209" t="s">
        <v>1123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1923</v>
      </c>
      <c r="AD432" s="215" t="s">
        <v>1924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1925</v>
      </c>
      <c r="BB432" s="213" t="s">
        <v>1926</v>
      </c>
      <c r="BC432" s="213" t="s">
        <v>1927</v>
      </c>
      <c r="BD432" s="213" t="s">
        <v>140</v>
      </c>
      <c r="BE432" s="148"/>
      <c r="BF432" s="212" t="s">
        <v>1789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1790</v>
      </c>
      <c r="BZ432" s="158" t="s">
        <v>2157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>
      <c r="A433" s="162">
        <v>142</v>
      </c>
      <c r="B433" s="177" t="s">
        <v>1967</v>
      </c>
      <c r="C433" s="177" t="s">
        <v>2188</v>
      </c>
      <c r="D433" s="177" t="s">
        <v>1968</v>
      </c>
      <c r="E433" s="177"/>
      <c r="F433" s="177"/>
      <c r="G433" s="177" t="s">
        <v>1969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0.70370370370370372</v>
      </c>
      <c r="Y433" s="181"/>
      <c r="Z433" s="181"/>
      <c r="AA433" s="181"/>
      <c r="AB433" s="181"/>
      <c r="AC433" s="228" t="s">
        <v>1923</v>
      </c>
      <c r="AD433" s="184" t="s">
        <v>1924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1970</v>
      </c>
      <c r="AL433" s="181">
        <v>1</v>
      </c>
      <c r="AM433" s="181"/>
      <c r="AN433" s="181"/>
      <c r="AO433" s="181"/>
      <c r="AP433" s="181" t="s">
        <v>1922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1925</v>
      </c>
      <c r="BB433" s="182" t="s">
        <v>1926</v>
      </c>
      <c r="BC433" s="182" t="s">
        <v>1927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>
      <c r="A434" s="141"/>
      <c r="B434" s="199" t="s">
        <v>1967</v>
      </c>
      <c r="C434" s="199" t="s">
        <v>2188</v>
      </c>
      <c r="D434" s="199" t="s">
        <v>1084</v>
      </c>
      <c r="E434" s="199" t="s">
        <v>1788</v>
      </c>
      <c r="F434" s="199" t="s">
        <v>1655</v>
      </c>
      <c r="G434" s="199" t="s">
        <v>1194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1923</v>
      </c>
      <c r="AD434" s="206" t="s">
        <v>1924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1925</v>
      </c>
      <c r="BB434" s="204" t="s">
        <v>1926</v>
      </c>
      <c r="BC434" s="204" t="s">
        <v>1927</v>
      </c>
      <c r="BD434" s="204" t="s">
        <v>140</v>
      </c>
      <c r="BE434" s="166"/>
      <c r="BF434" s="203" t="s">
        <v>1789</v>
      </c>
      <c r="BG434" s="141"/>
      <c r="BH434" s="152"/>
      <c r="BI434" s="207"/>
      <c r="BJ434" s="207"/>
      <c r="BK434" s="207"/>
      <c r="BL434" s="153" t="s">
        <v>1932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1790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>
      <c r="A435" s="141"/>
      <c r="B435" s="199" t="s">
        <v>1967</v>
      </c>
      <c r="C435" s="199" t="s">
        <v>2188</v>
      </c>
      <c r="D435" s="199" t="s">
        <v>1084</v>
      </c>
      <c r="E435" s="199" t="s">
        <v>1791</v>
      </c>
      <c r="F435" s="199" t="s">
        <v>1664</v>
      </c>
      <c r="G435" s="199" t="s">
        <v>1665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1923</v>
      </c>
      <c r="AD435" s="206" t="s">
        <v>1924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1925</v>
      </c>
      <c r="BB435" s="204" t="s">
        <v>1926</v>
      </c>
      <c r="BC435" s="204" t="s">
        <v>1927</v>
      </c>
      <c r="BD435" s="204" t="s">
        <v>140</v>
      </c>
      <c r="BE435" s="166"/>
      <c r="BF435" s="203" t="s">
        <v>1789</v>
      </c>
      <c r="BG435" s="141"/>
      <c r="BH435" s="152"/>
      <c r="BI435" s="207"/>
      <c r="BJ435" s="207"/>
      <c r="BK435" s="207"/>
      <c r="BL435" s="153" t="s">
        <v>1932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1790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>
      <c r="A436" s="117"/>
      <c r="B436" s="209" t="s">
        <v>1967</v>
      </c>
      <c r="C436" s="209" t="s">
        <v>2188</v>
      </c>
      <c r="D436" s="209" t="s">
        <v>1296</v>
      </c>
      <c r="E436" s="209" t="s">
        <v>1792</v>
      </c>
      <c r="F436" s="209" t="s">
        <v>1666</v>
      </c>
      <c r="G436" s="209" t="s">
        <v>1649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203">
        <f t="shared" ca="1" si="877"/>
        <v>0</v>
      </c>
      <c r="V436" s="203">
        <f t="shared" ca="1" si="878"/>
        <v>2</v>
      </c>
      <c r="W436" s="212"/>
      <c r="X436" s="212"/>
      <c r="Y436" s="212"/>
      <c r="Z436" s="212"/>
      <c r="AA436" s="212"/>
      <c r="AB436" s="212"/>
      <c r="AC436" s="214" t="s">
        <v>1923</v>
      </c>
      <c r="AD436" s="215" t="s">
        <v>1924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2</v>
      </c>
      <c r="AT436" s="203">
        <f t="shared" ca="1" si="890"/>
        <v>0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1925</v>
      </c>
      <c r="BB436" s="213" t="s">
        <v>1926</v>
      </c>
      <c r="BC436" s="213" t="s">
        <v>1927</v>
      </c>
      <c r="BD436" s="213" t="s">
        <v>140</v>
      </c>
      <c r="BE436" s="148"/>
      <c r="BF436" s="212" t="s">
        <v>1789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1790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>
      <c r="A437" s="117"/>
      <c r="B437" s="209" t="s">
        <v>1967</v>
      </c>
      <c r="C437" s="209" t="s">
        <v>2188</v>
      </c>
      <c r="D437" s="209" t="s">
        <v>1296</v>
      </c>
      <c r="E437" s="209" t="s">
        <v>1793</v>
      </c>
      <c r="F437" s="209" t="s">
        <v>1667</v>
      </c>
      <c r="G437" s="209" t="s">
        <v>1649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4</v>
      </c>
      <c r="U437" s="203">
        <f t="shared" ca="1" si="877"/>
        <v>0</v>
      </c>
      <c r="V437" s="203">
        <f t="shared" ca="1" si="878"/>
        <v>2</v>
      </c>
      <c r="W437" s="212"/>
      <c r="X437" s="212"/>
      <c r="Y437" s="212"/>
      <c r="Z437" s="212"/>
      <c r="AA437" s="212"/>
      <c r="AB437" s="212"/>
      <c r="AC437" s="214" t="s">
        <v>1923</v>
      </c>
      <c r="AD437" s="215" t="s">
        <v>1924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2</v>
      </c>
      <c r="AT437" s="203">
        <f t="shared" ca="1" si="890"/>
        <v>0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1925</v>
      </c>
      <c r="BB437" s="213" t="s">
        <v>1926</v>
      </c>
      <c r="BC437" s="213" t="s">
        <v>1927</v>
      </c>
      <c r="BD437" s="213" t="s">
        <v>140</v>
      </c>
      <c r="BE437" s="148"/>
      <c r="BF437" s="212" t="s">
        <v>1789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1790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>
      <c r="A438" s="117"/>
      <c r="B438" s="209" t="s">
        <v>1967</v>
      </c>
      <c r="C438" s="209" t="s">
        <v>2188</v>
      </c>
      <c r="D438" s="209" t="s">
        <v>1296</v>
      </c>
      <c r="E438" s="209" t="s">
        <v>1794</v>
      </c>
      <c r="F438" s="209" t="s">
        <v>1668</v>
      </c>
      <c r="G438" s="209" t="s">
        <v>1157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1923</v>
      </c>
      <c r="AD438" s="215" t="s">
        <v>1924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1925</v>
      </c>
      <c r="BB438" s="213" t="s">
        <v>1926</v>
      </c>
      <c r="BC438" s="213" t="s">
        <v>1927</v>
      </c>
      <c r="BD438" s="213" t="s">
        <v>140</v>
      </c>
      <c r="BE438" s="148"/>
      <c r="BF438" s="212" t="s">
        <v>1789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1790</v>
      </c>
      <c r="BZ438" s="158" t="s">
        <v>2155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>
      <c r="A439" s="141"/>
      <c r="B439" s="199" t="s">
        <v>1967</v>
      </c>
      <c r="C439" s="199" t="s">
        <v>2188</v>
      </c>
      <c r="D439" s="199" t="s">
        <v>1296</v>
      </c>
      <c r="E439" s="199" t="s">
        <v>1795</v>
      </c>
      <c r="F439" s="199" t="s">
        <v>1669</v>
      </c>
      <c r="G439" s="199" t="s">
        <v>1670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2</v>
      </c>
      <c r="U439" s="203">
        <f t="shared" ca="1" si="877"/>
        <v>0</v>
      </c>
      <c r="V439" s="203">
        <f t="shared" ca="1" si="878"/>
        <v>2</v>
      </c>
      <c r="W439" s="203"/>
      <c r="X439" s="203"/>
      <c r="Y439" s="203"/>
      <c r="Z439" s="203"/>
      <c r="AA439" s="203"/>
      <c r="AB439" s="203"/>
      <c r="AC439" s="205" t="s">
        <v>1923</v>
      </c>
      <c r="AD439" s="206" t="s">
        <v>1924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1</v>
      </c>
      <c r="AO439" s="203">
        <f t="shared" ca="1" si="886"/>
        <v>0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1</v>
      </c>
      <c r="AT439" s="203">
        <f t="shared" ca="1" si="890"/>
        <v>0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1925</v>
      </c>
      <c r="BB439" s="204" t="s">
        <v>1926</v>
      </c>
      <c r="BC439" s="204" t="s">
        <v>1927</v>
      </c>
      <c r="BD439" s="204" t="s">
        <v>140</v>
      </c>
      <c r="BE439" s="166"/>
      <c r="BF439" s="203" t="s">
        <v>1789</v>
      </c>
      <c r="BG439" s="141"/>
      <c r="BH439" s="152"/>
      <c r="BI439" s="207"/>
      <c r="BJ439" s="207"/>
      <c r="BK439" s="207"/>
      <c r="BL439" s="153" t="s">
        <v>1932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1790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>
      <c r="A440" s="117"/>
      <c r="B440" s="209" t="s">
        <v>1967</v>
      </c>
      <c r="C440" s="209" t="s">
        <v>2188</v>
      </c>
      <c r="D440" s="209" t="s">
        <v>1296</v>
      </c>
      <c r="E440" s="209" t="s">
        <v>1796</v>
      </c>
      <c r="F440" s="209" t="s">
        <v>1671</v>
      </c>
      <c r="G440" s="209" t="s">
        <v>1622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1923</v>
      </c>
      <c r="AD440" s="215" t="s">
        <v>1924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1925</v>
      </c>
      <c r="BB440" s="213" t="s">
        <v>1926</v>
      </c>
      <c r="BC440" s="213" t="s">
        <v>1927</v>
      </c>
      <c r="BD440" s="213" t="s">
        <v>140</v>
      </c>
      <c r="BE440" s="148"/>
      <c r="BF440" s="212" t="s">
        <v>1789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1790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>
      <c r="A441" s="117"/>
      <c r="B441" s="209" t="s">
        <v>1967</v>
      </c>
      <c r="C441" s="209" t="s">
        <v>2188</v>
      </c>
      <c r="D441" s="209" t="s">
        <v>1296</v>
      </c>
      <c r="E441" s="209" t="s">
        <v>1797</v>
      </c>
      <c r="F441" s="209" t="s">
        <v>1672</v>
      </c>
      <c r="G441" s="209" t="s">
        <v>1624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03">
        <f t="shared" ca="1" si="877"/>
        <v>1</v>
      </c>
      <c r="V441" s="203">
        <f t="shared" ca="1" si="878"/>
        <v>1</v>
      </c>
      <c r="W441" s="212"/>
      <c r="X441" s="212"/>
      <c r="Y441" s="212"/>
      <c r="Z441" s="212"/>
      <c r="AA441" s="212"/>
      <c r="AB441" s="212"/>
      <c r="AC441" s="214" t="s">
        <v>1923</v>
      </c>
      <c r="AD441" s="215" t="s">
        <v>1924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1</v>
      </c>
      <c r="AO441" s="203">
        <f t="shared" ca="1" si="886"/>
        <v>0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1925</v>
      </c>
      <c r="BB441" s="213" t="s">
        <v>1926</v>
      </c>
      <c r="BC441" s="213" t="s">
        <v>1927</v>
      </c>
      <c r="BD441" s="213" t="s">
        <v>140</v>
      </c>
      <c r="BE441" s="148"/>
      <c r="BF441" s="212" t="s">
        <v>1789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1790</v>
      </c>
      <c r="BZ441" s="158" t="s">
        <v>2156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>
      <c r="A442" s="117"/>
      <c r="B442" s="209" t="s">
        <v>1967</v>
      </c>
      <c r="C442" s="209" t="s">
        <v>2188</v>
      </c>
      <c r="D442" s="209" t="s">
        <v>1296</v>
      </c>
      <c r="E442" s="209" t="s">
        <v>1798</v>
      </c>
      <c r="F442" s="209" t="s">
        <v>1673</v>
      </c>
      <c r="G442" s="209" t="s">
        <v>1626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1923</v>
      </c>
      <c r="AD442" s="215" t="s">
        <v>1924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1925</v>
      </c>
      <c r="BB442" s="213" t="s">
        <v>1926</v>
      </c>
      <c r="BC442" s="213" t="s">
        <v>1927</v>
      </c>
      <c r="BD442" s="213" t="s">
        <v>140</v>
      </c>
      <c r="BE442" s="148"/>
      <c r="BF442" s="212" t="s">
        <v>1789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1790</v>
      </c>
      <c r="BZ442" s="158" t="s">
        <v>2157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>
      <c r="A443" s="117"/>
      <c r="B443" s="209" t="s">
        <v>1967</v>
      </c>
      <c r="C443" s="209" t="s">
        <v>2188</v>
      </c>
      <c r="D443" s="209" t="s">
        <v>1296</v>
      </c>
      <c r="E443" s="209" t="s">
        <v>1799</v>
      </c>
      <c r="F443" s="209" t="s">
        <v>1656</v>
      </c>
      <c r="G443" s="209" t="s">
        <v>1628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2</v>
      </c>
      <c r="U443" s="203">
        <f t="shared" ca="1" si="877"/>
        <v>0</v>
      </c>
      <c r="V443" s="203">
        <f t="shared" ca="1" si="878"/>
        <v>2</v>
      </c>
      <c r="W443" s="212"/>
      <c r="X443" s="212"/>
      <c r="Y443" s="212"/>
      <c r="Z443" s="212"/>
      <c r="AA443" s="212"/>
      <c r="AB443" s="212"/>
      <c r="AC443" s="214" t="s">
        <v>1923</v>
      </c>
      <c r="AD443" s="215" t="s">
        <v>1924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1</v>
      </c>
      <c r="AT443" s="203">
        <f t="shared" ca="1" si="890"/>
        <v>0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1925</v>
      </c>
      <c r="BB443" s="213" t="s">
        <v>1926</v>
      </c>
      <c r="BC443" s="213" t="s">
        <v>1927</v>
      </c>
      <c r="BD443" s="213" t="s">
        <v>140</v>
      </c>
      <c r="BE443" s="148"/>
      <c r="BF443" s="212" t="s">
        <v>1789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1790</v>
      </c>
      <c r="BZ443" s="158" t="s">
        <v>2156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>
      <c r="A444" s="117"/>
      <c r="B444" s="209" t="s">
        <v>1967</v>
      </c>
      <c r="C444" s="209" t="s">
        <v>2188</v>
      </c>
      <c r="D444" s="209" t="s">
        <v>1296</v>
      </c>
      <c r="E444" s="209" t="s">
        <v>1800</v>
      </c>
      <c r="F444" s="209" t="s">
        <v>1657</v>
      </c>
      <c r="G444" s="209" t="s">
        <v>1630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1923</v>
      </c>
      <c r="AD444" s="215" t="s">
        <v>1924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1925</v>
      </c>
      <c r="BB444" s="213" t="s">
        <v>1926</v>
      </c>
      <c r="BC444" s="213" t="s">
        <v>1927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1790</v>
      </c>
      <c r="BZ444" s="158" t="s">
        <v>2189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>
      <c r="A445" s="117"/>
      <c r="B445" s="209" t="s">
        <v>1967</v>
      </c>
      <c r="C445" s="209" t="s">
        <v>2188</v>
      </c>
      <c r="D445" s="209" t="s">
        <v>1296</v>
      </c>
      <c r="E445" s="209" t="s">
        <v>1801</v>
      </c>
      <c r="F445" s="209" t="s">
        <v>1658</v>
      </c>
      <c r="G445" s="209" t="s">
        <v>1651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1923</v>
      </c>
      <c r="AD445" s="215" t="s">
        <v>1924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1925</v>
      </c>
      <c r="BB445" s="213" t="s">
        <v>1926</v>
      </c>
      <c r="BC445" s="213" t="s">
        <v>1927</v>
      </c>
      <c r="BD445" s="213" t="s">
        <v>140</v>
      </c>
      <c r="BE445" s="148"/>
      <c r="BF445" s="212" t="s">
        <v>1789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1790</v>
      </c>
      <c r="BZ445" s="158" t="s">
        <v>2156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>
      <c r="A446" s="117"/>
      <c r="B446" s="209" t="s">
        <v>1967</v>
      </c>
      <c r="C446" s="209" t="s">
        <v>2188</v>
      </c>
      <c r="D446" s="209" t="s">
        <v>1296</v>
      </c>
      <c r="E446" s="209" t="s">
        <v>1815</v>
      </c>
      <c r="F446" s="209" t="s">
        <v>1659</v>
      </c>
      <c r="G446" s="209" t="s">
        <v>1641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1923</v>
      </c>
      <c r="AD446" s="215" t="s">
        <v>1924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1925</v>
      </c>
      <c r="BB446" s="213" t="s">
        <v>1926</v>
      </c>
      <c r="BC446" s="213" t="s">
        <v>1927</v>
      </c>
      <c r="BD446" s="213" t="s">
        <v>140</v>
      </c>
      <c r="BE446" s="148"/>
      <c r="BF446" s="212" t="s">
        <v>1789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1790</v>
      </c>
      <c r="BZ446" s="158" t="s">
        <v>2160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>
      <c r="A447" s="117"/>
      <c r="B447" s="209" t="s">
        <v>1967</v>
      </c>
      <c r="C447" s="209" t="s">
        <v>2188</v>
      </c>
      <c r="D447" s="209" t="s">
        <v>1296</v>
      </c>
      <c r="E447" s="209" t="s">
        <v>1805</v>
      </c>
      <c r="F447" s="209" t="s">
        <v>1660</v>
      </c>
      <c r="G447" s="209" t="s">
        <v>1157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1923</v>
      </c>
      <c r="AD447" s="215" t="s">
        <v>1924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1925</v>
      </c>
      <c r="BB447" s="213" t="s">
        <v>1926</v>
      </c>
      <c r="BC447" s="213" t="s">
        <v>1927</v>
      </c>
      <c r="BD447" s="213" t="s">
        <v>140</v>
      </c>
      <c r="BE447" s="148"/>
      <c r="BF447" s="212" t="s">
        <v>1789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1790</v>
      </c>
      <c r="BZ447" s="158" t="s">
        <v>2155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>
      <c r="A448" s="117"/>
      <c r="B448" s="209" t="s">
        <v>1967</v>
      </c>
      <c r="C448" s="209" t="s">
        <v>2188</v>
      </c>
      <c r="D448" s="209" t="s">
        <v>1296</v>
      </c>
      <c r="E448" s="209" t="s">
        <v>1816</v>
      </c>
      <c r="F448" s="209" t="s">
        <v>1661</v>
      </c>
      <c r="G448" s="209" t="s">
        <v>1641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1923</v>
      </c>
      <c r="AD448" s="215" t="s">
        <v>1924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1925</v>
      </c>
      <c r="BB448" s="213" t="s">
        <v>1926</v>
      </c>
      <c r="BC448" s="213" t="s">
        <v>1927</v>
      </c>
      <c r="BD448" s="213" t="s">
        <v>140</v>
      </c>
      <c r="BE448" s="148"/>
      <c r="BF448" s="212" t="s">
        <v>1789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1790</v>
      </c>
      <c r="BZ448" s="158" t="s">
        <v>2160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>
      <c r="A449" s="117"/>
      <c r="B449" s="209" t="s">
        <v>1967</v>
      </c>
      <c r="C449" s="209" t="s">
        <v>2188</v>
      </c>
      <c r="D449" s="209" t="s">
        <v>1296</v>
      </c>
      <c r="E449" s="209" t="s">
        <v>1806</v>
      </c>
      <c r="F449" s="209" t="s">
        <v>1663</v>
      </c>
      <c r="G449" s="209" t="s">
        <v>1125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1923</v>
      </c>
      <c r="AD449" s="215" t="s">
        <v>1924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1925</v>
      </c>
      <c r="BB449" s="213" t="s">
        <v>1926</v>
      </c>
      <c r="BC449" s="213" t="s">
        <v>1927</v>
      </c>
      <c r="BD449" s="213" t="s">
        <v>140</v>
      </c>
      <c r="BE449" s="148"/>
      <c r="BF449" s="212" t="s">
        <v>1789</v>
      </c>
      <c r="BG449" s="117" t="s">
        <v>1971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1790</v>
      </c>
      <c r="BZ449" s="158" t="s">
        <v>2155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>
      <c r="A450" s="117"/>
      <c r="B450" s="209" t="s">
        <v>1967</v>
      </c>
      <c r="C450" s="209" t="s">
        <v>2188</v>
      </c>
      <c r="D450" s="209" t="s">
        <v>1296</v>
      </c>
      <c r="E450" s="209" t="s">
        <v>1817</v>
      </c>
      <c r="F450" s="209" t="s">
        <v>1662</v>
      </c>
      <c r="G450" s="209" t="s">
        <v>1123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1923</v>
      </c>
      <c r="AD450" s="215" t="s">
        <v>1924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1925</v>
      </c>
      <c r="BB450" s="213" t="s">
        <v>1926</v>
      </c>
      <c r="BC450" s="213" t="s">
        <v>1927</v>
      </c>
      <c r="BD450" s="213" t="s">
        <v>140</v>
      </c>
      <c r="BE450" s="148"/>
      <c r="BF450" s="212" t="s">
        <v>1789</v>
      </c>
      <c r="BG450" s="117" t="s">
        <v>1972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1790</v>
      </c>
      <c r="BZ450" s="158" t="s">
        <v>2157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>
      <c r="A451" s="117"/>
      <c r="B451" s="209" t="s">
        <v>1967</v>
      </c>
      <c r="C451" s="209" t="s">
        <v>2188</v>
      </c>
      <c r="D451" s="209" t="s">
        <v>1076</v>
      </c>
      <c r="E451" s="209" t="s">
        <v>1802</v>
      </c>
      <c r="F451" s="209" t="s">
        <v>1654</v>
      </c>
      <c r="G451" s="209" t="s">
        <v>1075</v>
      </c>
      <c r="H451" s="210">
        <v>812</v>
      </c>
      <c r="I451" s="211" t="s">
        <v>1077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1923</v>
      </c>
      <c r="AD451" s="215" t="s">
        <v>1924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1925</v>
      </c>
      <c r="BB451" s="213" t="s">
        <v>1926</v>
      </c>
      <c r="BC451" s="213" t="s">
        <v>1927</v>
      </c>
      <c r="BD451" s="213" t="s">
        <v>140</v>
      </c>
      <c r="BE451" s="148"/>
      <c r="BF451" s="212" t="s">
        <v>1789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1790</v>
      </c>
      <c r="BZ451" s="158" t="s">
        <v>2161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>
      <c r="A452" s="162">
        <v>143</v>
      </c>
      <c r="B452" s="177" t="s">
        <v>1973</v>
      </c>
      <c r="C452" s="177" t="s">
        <v>2190</v>
      </c>
      <c r="D452" s="177" t="s">
        <v>1974</v>
      </c>
      <c r="E452" s="177"/>
      <c r="F452" s="177"/>
      <c r="G452" s="177" t="s">
        <v>1975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0.5</v>
      </c>
      <c r="Y452" s="181"/>
      <c r="Z452" s="181"/>
      <c r="AA452" s="181"/>
      <c r="AB452" s="181"/>
      <c r="AC452" s="228" t="s">
        <v>1923</v>
      </c>
      <c r="AD452" s="184" t="s">
        <v>1924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1970</v>
      </c>
      <c r="AL452" s="181">
        <v>1</v>
      </c>
      <c r="AM452" s="181"/>
      <c r="AN452" s="181"/>
      <c r="AO452" s="181"/>
      <c r="AP452" s="181" t="s">
        <v>1922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1925</v>
      </c>
      <c r="BB452" s="182" t="s">
        <v>1926</v>
      </c>
      <c r="BC452" s="182" t="s">
        <v>1927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>
      <c r="A453" s="141"/>
      <c r="B453" s="199" t="s">
        <v>1973</v>
      </c>
      <c r="C453" s="199" t="s">
        <v>2190</v>
      </c>
      <c r="D453" s="199" t="s">
        <v>1084</v>
      </c>
      <c r="E453" s="199" t="s">
        <v>1788</v>
      </c>
      <c r="F453" s="199" t="s">
        <v>1701</v>
      </c>
      <c r="G453" s="199" t="s">
        <v>1676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1923</v>
      </c>
      <c r="AD453" s="206" t="s">
        <v>1924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1925</v>
      </c>
      <c r="BB453" s="204" t="s">
        <v>1926</v>
      </c>
      <c r="BC453" s="204" t="s">
        <v>1927</v>
      </c>
      <c r="BD453" s="204" t="s">
        <v>140</v>
      </c>
      <c r="BE453" s="166"/>
      <c r="BF453" s="203" t="s">
        <v>1789</v>
      </c>
      <c r="BG453" s="141"/>
      <c r="BH453" s="152"/>
      <c r="BI453" s="207"/>
      <c r="BJ453" s="207"/>
      <c r="BK453" s="207"/>
      <c r="BL453" s="153" t="s">
        <v>1932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1790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>
      <c r="A454" s="141"/>
      <c r="B454" s="199" t="s">
        <v>1973</v>
      </c>
      <c r="C454" s="199" t="s">
        <v>2190</v>
      </c>
      <c r="D454" s="199" t="s">
        <v>1084</v>
      </c>
      <c r="E454" s="199" t="s">
        <v>1791</v>
      </c>
      <c r="F454" s="199" t="s">
        <v>1707</v>
      </c>
      <c r="G454" s="199" t="s">
        <v>1708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1923</v>
      </c>
      <c r="AD454" s="206" t="s">
        <v>1924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1925</v>
      </c>
      <c r="BB454" s="204" t="s">
        <v>1926</v>
      </c>
      <c r="BC454" s="204" t="s">
        <v>1927</v>
      </c>
      <c r="BD454" s="204" t="s">
        <v>140</v>
      </c>
      <c r="BE454" s="166"/>
      <c r="BF454" s="203" t="s">
        <v>1789</v>
      </c>
      <c r="BG454" s="141"/>
      <c r="BH454" s="152"/>
      <c r="BI454" s="207"/>
      <c r="BJ454" s="207"/>
      <c r="BK454" s="207"/>
      <c r="BL454" s="153" t="s">
        <v>1932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1790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>
      <c r="A455" s="117"/>
      <c r="B455" s="209" t="s">
        <v>1973</v>
      </c>
      <c r="C455" s="209" t="s">
        <v>2190</v>
      </c>
      <c r="D455" s="209" t="s">
        <v>1084</v>
      </c>
      <c r="E455" s="209" t="s">
        <v>1792</v>
      </c>
      <c r="F455" s="209" t="s">
        <v>1709</v>
      </c>
      <c r="G455" s="209" t="s">
        <v>1690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1923</v>
      </c>
      <c r="AD455" s="215" t="s">
        <v>1924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1925</v>
      </c>
      <c r="BB455" s="213" t="s">
        <v>1926</v>
      </c>
      <c r="BC455" s="213" t="s">
        <v>1927</v>
      </c>
      <c r="BD455" s="213" t="s">
        <v>140</v>
      </c>
      <c r="BE455" s="148"/>
      <c r="BF455" s="212" t="s">
        <v>1789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1790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>
      <c r="A456" s="117"/>
      <c r="B456" s="209" t="s">
        <v>1973</v>
      </c>
      <c r="C456" s="209" t="s">
        <v>2190</v>
      </c>
      <c r="D456" s="209" t="s">
        <v>1296</v>
      </c>
      <c r="E456" s="209" t="s">
        <v>1793</v>
      </c>
      <c r="F456" s="209" t="s">
        <v>1710</v>
      </c>
      <c r="G456" s="209" t="s">
        <v>1157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1923</v>
      </c>
      <c r="AD456" s="215" t="s">
        <v>1924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1925</v>
      </c>
      <c r="BB456" s="213" t="s">
        <v>1926</v>
      </c>
      <c r="BC456" s="213" t="s">
        <v>1927</v>
      </c>
      <c r="BD456" s="213" t="s">
        <v>140</v>
      </c>
      <c r="BE456" s="148"/>
      <c r="BF456" s="212" t="s">
        <v>1789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1790</v>
      </c>
      <c r="BZ456" s="158" t="s">
        <v>2155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>
      <c r="A457" s="117"/>
      <c r="B457" s="209" t="s">
        <v>1973</v>
      </c>
      <c r="C457" s="209" t="s">
        <v>2190</v>
      </c>
      <c r="D457" s="209" t="s">
        <v>1296</v>
      </c>
      <c r="E457" s="209" t="s">
        <v>1794</v>
      </c>
      <c r="F457" s="209" t="s">
        <v>1711</v>
      </c>
      <c r="G457" s="209" t="s">
        <v>1712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1923</v>
      </c>
      <c r="AD457" s="215" t="s">
        <v>1924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1925</v>
      </c>
      <c r="BB457" s="213" t="s">
        <v>1926</v>
      </c>
      <c r="BC457" s="213" t="s">
        <v>1927</v>
      </c>
      <c r="BD457" s="213" t="s">
        <v>140</v>
      </c>
      <c r="BE457" s="148"/>
      <c r="BF457" s="212" t="s">
        <v>1789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1790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>
      <c r="A458" s="117"/>
      <c r="B458" s="209" t="s">
        <v>1973</v>
      </c>
      <c r="C458" s="209" t="s">
        <v>2190</v>
      </c>
      <c r="D458" s="209" t="s">
        <v>1296</v>
      </c>
      <c r="E458" s="209" t="s">
        <v>1795</v>
      </c>
      <c r="F458" s="209" t="s">
        <v>1713</v>
      </c>
      <c r="G458" s="209" t="s">
        <v>1712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1923</v>
      </c>
      <c r="AD458" s="215" t="s">
        <v>1924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1925</v>
      </c>
      <c r="BB458" s="213" t="s">
        <v>1926</v>
      </c>
      <c r="BC458" s="213" t="s">
        <v>1927</v>
      </c>
      <c r="BD458" s="213" t="s">
        <v>140</v>
      </c>
      <c r="BE458" s="148"/>
      <c r="BF458" s="212" t="s">
        <v>1789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1790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>
      <c r="A459" s="117"/>
      <c r="B459" s="209" t="s">
        <v>1973</v>
      </c>
      <c r="C459" s="209" t="s">
        <v>2190</v>
      </c>
      <c r="D459" s="209" t="s">
        <v>1296</v>
      </c>
      <c r="E459" s="209" t="s">
        <v>1796</v>
      </c>
      <c r="F459" s="209" t="s">
        <v>1714</v>
      </c>
      <c r="G459" s="209" t="s">
        <v>1649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2</v>
      </c>
      <c r="U459" s="203">
        <f t="shared" ca="1" si="903"/>
        <v>0</v>
      </c>
      <c r="V459" s="203">
        <f t="shared" ca="1" si="904"/>
        <v>2</v>
      </c>
      <c r="W459" s="212"/>
      <c r="X459" s="212"/>
      <c r="Y459" s="212"/>
      <c r="Z459" s="212"/>
      <c r="AA459" s="212"/>
      <c r="AB459" s="212"/>
      <c r="AC459" s="214" t="s">
        <v>1923</v>
      </c>
      <c r="AD459" s="215" t="s">
        <v>1924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1</v>
      </c>
      <c r="AT459" s="203">
        <f t="shared" ca="1" si="916"/>
        <v>0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1925</v>
      </c>
      <c r="BB459" s="213" t="s">
        <v>1926</v>
      </c>
      <c r="BC459" s="213" t="s">
        <v>1927</v>
      </c>
      <c r="BD459" s="213" t="s">
        <v>140</v>
      </c>
      <c r="BE459" s="148"/>
      <c r="BF459" s="212" t="s">
        <v>1789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1790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>
      <c r="A460" s="117"/>
      <c r="B460" s="209" t="s">
        <v>1973</v>
      </c>
      <c r="C460" s="209" t="s">
        <v>2190</v>
      </c>
      <c r="D460" s="209" t="s">
        <v>1296</v>
      </c>
      <c r="E460" s="209" t="s">
        <v>1797</v>
      </c>
      <c r="F460" s="209" t="s">
        <v>1715</v>
      </c>
      <c r="G460" s="209" t="s">
        <v>1649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03">
        <f t="shared" ca="1" si="903"/>
        <v>0</v>
      </c>
      <c r="V460" s="203">
        <f t="shared" ca="1" si="904"/>
        <v>2</v>
      </c>
      <c r="W460" s="212"/>
      <c r="X460" s="212"/>
      <c r="Y460" s="212"/>
      <c r="Z460" s="212"/>
      <c r="AA460" s="212"/>
      <c r="AB460" s="212"/>
      <c r="AC460" s="214" t="s">
        <v>1923</v>
      </c>
      <c r="AD460" s="215" t="s">
        <v>1924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1925</v>
      </c>
      <c r="BB460" s="213" t="s">
        <v>1926</v>
      </c>
      <c r="BC460" s="213" t="s">
        <v>1927</v>
      </c>
      <c r="BD460" s="213" t="s">
        <v>140</v>
      </c>
      <c r="BE460" s="148"/>
      <c r="BF460" s="212" t="s">
        <v>1789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1790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>
      <c r="A461" s="117"/>
      <c r="B461" s="209" t="s">
        <v>1973</v>
      </c>
      <c r="C461" s="209" t="s">
        <v>2190</v>
      </c>
      <c r="D461" s="209" t="s">
        <v>1296</v>
      </c>
      <c r="E461" s="209" t="s">
        <v>1798</v>
      </c>
      <c r="F461" s="209" t="s">
        <v>1716</v>
      </c>
      <c r="G461" s="209" t="s">
        <v>1641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1923</v>
      </c>
      <c r="AD461" s="215" t="s">
        <v>1924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1925</v>
      </c>
      <c r="BB461" s="213" t="s">
        <v>1926</v>
      </c>
      <c r="BC461" s="213" t="s">
        <v>1927</v>
      </c>
      <c r="BD461" s="213" t="s">
        <v>140</v>
      </c>
      <c r="BE461" s="148"/>
      <c r="BF461" s="212" t="s">
        <v>1789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1790</v>
      </c>
      <c r="BZ461" s="158" t="s">
        <v>2160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>
      <c r="A462" s="117"/>
      <c r="B462" s="209" t="s">
        <v>1973</v>
      </c>
      <c r="C462" s="209" t="s">
        <v>2190</v>
      </c>
      <c r="D462" s="209" t="s">
        <v>1296</v>
      </c>
      <c r="E462" s="209" t="s">
        <v>1799</v>
      </c>
      <c r="F462" s="209" t="s">
        <v>1702</v>
      </c>
      <c r="G462" s="209" t="s">
        <v>1703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1923</v>
      </c>
      <c r="AD462" s="215" t="s">
        <v>1924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1925</v>
      </c>
      <c r="BB462" s="213" t="s">
        <v>1926</v>
      </c>
      <c r="BC462" s="213" t="s">
        <v>1927</v>
      </c>
      <c r="BD462" s="213" t="s">
        <v>140</v>
      </c>
      <c r="BE462" s="148"/>
      <c r="BF462" s="212" t="s">
        <v>1789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1790</v>
      </c>
      <c r="BZ462" s="158" t="s">
        <v>2160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>
      <c r="A463" s="117"/>
      <c r="B463" s="209" t="s">
        <v>1973</v>
      </c>
      <c r="C463" s="209" t="s">
        <v>2190</v>
      </c>
      <c r="D463" s="209" t="s">
        <v>1296</v>
      </c>
      <c r="E463" s="209" t="s">
        <v>1800</v>
      </c>
      <c r="F463" s="209" t="s">
        <v>1704</v>
      </c>
      <c r="G463" s="209" t="s">
        <v>1125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1923</v>
      </c>
      <c r="AD463" s="215" t="s">
        <v>1924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1925</v>
      </c>
      <c r="BB463" s="213" t="s">
        <v>1926</v>
      </c>
      <c r="BC463" s="213" t="s">
        <v>1927</v>
      </c>
      <c r="BD463" s="213" t="s">
        <v>140</v>
      </c>
      <c r="BE463" s="148"/>
      <c r="BF463" s="212" t="s">
        <v>1789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1790</v>
      </c>
      <c r="BZ463" s="158" t="s">
        <v>2155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>
      <c r="A464" s="117"/>
      <c r="B464" s="209" t="s">
        <v>1973</v>
      </c>
      <c r="C464" s="209" t="s">
        <v>2190</v>
      </c>
      <c r="D464" s="209" t="s">
        <v>1296</v>
      </c>
      <c r="E464" s="209" t="s">
        <v>1801</v>
      </c>
      <c r="F464" s="209" t="s">
        <v>1705</v>
      </c>
      <c r="G464" s="209" t="s">
        <v>1123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1923</v>
      </c>
      <c r="AD464" s="215" t="s">
        <v>1924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1925</v>
      </c>
      <c r="BB464" s="213" t="s">
        <v>1926</v>
      </c>
      <c r="BC464" s="213" t="s">
        <v>1927</v>
      </c>
      <c r="BD464" s="213" t="s">
        <v>140</v>
      </c>
      <c r="BE464" s="148"/>
      <c r="BF464" s="212" t="s">
        <v>1789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1790</v>
      </c>
      <c r="BZ464" s="158" t="s">
        <v>2157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>
      <c r="A465" s="117"/>
      <c r="B465" s="209" t="s">
        <v>1973</v>
      </c>
      <c r="C465" s="209" t="s">
        <v>2190</v>
      </c>
      <c r="D465" s="209" t="s">
        <v>1296</v>
      </c>
      <c r="E465" s="209" t="s">
        <v>1815</v>
      </c>
      <c r="F465" s="209" t="s">
        <v>1706</v>
      </c>
      <c r="G465" s="209" t="s">
        <v>1703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1923</v>
      </c>
      <c r="AD465" s="215" t="s">
        <v>1924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1925</v>
      </c>
      <c r="BB465" s="213" t="s">
        <v>1926</v>
      </c>
      <c r="BC465" s="213" t="s">
        <v>1927</v>
      </c>
      <c r="BD465" s="213" t="s">
        <v>140</v>
      </c>
      <c r="BE465" s="148"/>
      <c r="BF465" s="212" t="s">
        <v>1789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1790</v>
      </c>
      <c r="BZ465" s="158" t="s">
        <v>2160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>
      <c r="A466" s="117"/>
      <c r="B466" s="209" t="s">
        <v>1973</v>
      </c>
      <c r="C466" s="209" t="s">
        <v>2190</v>
      </c>
      <c r="D466" s="209" t="s">
        <v>1076</v>
      </c>
      <c r="E466" s="209" t="s">
        <v>1802</v>
      </c>
      <c r="F466" s="209" t="s">
        <v>1700</v>
      </c>
      <c r="G466" s="209" t="s">
        <v>1075</v>
      </c>
      <c r="H466" s="210">
        <v>812</v>
      </c>
      <c r="I466" s="211" t="s">
        <v>1077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1923</v>
      </c>
      <c r="AD466" s="215" t="s">
        <v>1924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1925</v>
      </c>
      <c r="BB466" s="213" t="s">
        <v>1926</v>
      </c>
      <c r="BC466" s="213" t="s">
        <v>1927</v>
      </c>
      <c r="BD466" s="213" t="s">
        <v>140</v>
      </c>
      <c r="BE466" s="148"/>
      <c r="BF466" s="212" t="s">
        <v>1789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1790</v>
      </c>
      <c r="BZ466" s="158" t="s">
        <v>2161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>
      <c r="A467" s="162">
        <v>144</v>
      </c>
      <c r="B467" s="177" t="s">
        <v>1976</v>
      </c>
      <c r="C467" s="177" t="s">
        <v>2192</v>
      </c>
      <c r="D467" s="177" t="s">
        <v>1977</v>
      </c>
      <c r="E467" s="177"/>
      <c r="F467" s="177"/>
      <c r="G467" s="177" t="s">
        <v>1978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1923</v>
      </c>
      <c r="AD467" s="184" t="s">
        <v>1924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1970</v>
      </c>
      <c r="AL467" s="181">
        <v>1</v>
      </c>
      <c r="AM467" s="181"/>
      <c r="AN467" s="181"/>
      <c r="AO467" s="181"/>
      <c r="AP467" s="181" t="s">
        <v>1922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1925</v>
      </c>
      <c r="BB467" s="182" t="s">
        <v>1926</v>
      </c>
      <c r="BC467" s="182" t="s">
        <v>1927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>
      <c r="A468" s="117"/>
      <c r="B468" s="209" t="s">
        <v>1976</v>
      </c>
      <c r="C468" s="209" t="s">
        <v>2192</v>
      </c>
      <c r="D468" s="209" t="s">
        <v>1084</v>
      </c>
      <c r="E468" s="209" t="s">
        <v>1788</v>
      </c>
      <c r="F468" s="209" t="s">
        <v>1741</v>
      </c>
      <c r="G468" s="209" t="s">
        <v>1676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1923</v>
      </c>
      <c r="AD468" s="215" t="s">
        <v>1924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1925</v>
      </c>
      <c r="BB468" s="213" t="s">
        <v>1926</v>
      </c>
      <c r="BC468" s="213" t="s">
        <v>1927</v>
      </c>
      <c r="BD468" s="213" t="s">
        <v>140</v>
      </c>
      <c r="BE468" s="148"/>
      <c r="BF468" s="212" t="s">
        <v>1789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1790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>
      <c r="A469" s="117"/>
      <c r="B469" s="209" t="s">
        <v>1976</v>
      </c>
      <c r="C469" s="209" t="s">
        <v>2192</v>
      </c>
      <c r="D469" s="209" t="s">
        <v>1296</v>
      </c>
      <c r="E469" s="209" t="s">
        <v>1791</v>
      </c>
      <c r="F469" s="209" t="s">
        <v>1746</v>
      </c>
      <c r="G469" s="209" t="s">
        <v>1157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1923</v>
      </c>
      <c r="AD469" s="215" t="s">
        <v>1924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1925</v>
      </c>
      <c r="BB469" s="213" t="s">
        <v>1926</v>
      </c>
      <c r="BC469" s="213" t="s">
        <v>1927</v>
      </c>
      <c r="BD469" s="213" t="s">
        <v>140</v>
      </c>
      <c r="BE469" s="148"/>
      <c r="BF469" s="212" t="s">
        <v>1789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1790</v>
      </c>
      <c r="BZ469" s="158" t="s">
        <v>2155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>
      <c r="A470" s="117"/>
      <c r="B470" s="209" t="s">
        <v>1976</v>
      </c>
      <c r="C470" s="209" t="s">
        <v>2192</v>
      </c>
      <c r="D470" s="209" t="s">
        <v>1296</v>
      </c>
      <c r="E470" s="209" t="s">
        <v>1792</v>
      </c>
      <c r="F470" s="209" t="s">
        <v>1747</v>
      </c>
      <c r="G470" s="209" t="s">
        <v>1277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1923</v>
      </c>
      <c r="AD470" s="215" t="s">
        <v>1924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1925</v>
      </c>
      <c r="BB470" s="213" t="s">
        <v>1926</v>
      </c>
      <c r="BC470" s="213" t="s">
        <v>1927</v>
      </c>
      <c r="BD470" s="213" t="s">
        <v>140</v>
      </c>
      <c r="BE470" s="148"/>
      <c r="BF470" s="212" t="s">
        <v>1789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1790</v>
      </c>
      <c r="BZ470" s="158" t="s">
        <v>2157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>
      <c r="A471" s="117"/>
      <c r="B471" s="209" t="s">
        <v>1976</v>
      </c>
      <c r="C471" s="209" t="s">
        <v>2192</v>
      </c>
      <c r="D471" s="209" t="s">
        <v>1296</v>
      </c>
      <c r="E471" s="209" t="s">
        <v>1793</v>
      </c>
      <c r="F471" s="209" t="s">
        <v>1748</v>
      </c>
      <c r="G471" s="209" t="s">
        <v>1282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1923</v>
      </c>
      <c r="AD471" s="215" t="s">
        <v>1924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1925</v>
      </c>
      <c r="BB471" s="213" t="s">
        <v>1926</v>
      </c>
      <c r="BC471" s="213" t="s">
        <v>1927</v>
      </c>
      <c r="BD471" s="213" t="s">
        <v>140</v>
      </c>
      <c r="BE471" s="148"/>
      <c r="BF471" s="212" t="s">
        <v>1789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1790</v>
      </c>
      <c r="BZ471" s="158" t="s">
        <v>2160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>
      <c r="A472" s="117"/>
      <c r="B472" s="209" t="s">
        <v>1976</v>
      </c>
      <c r="C472" s="209" t="s">
        <v>2192</v>
      </c>
      <c r="D472" s="209" t="s">
        <v>1296</v>
      </c>
      <c r="E472" s="209" t="s">
        <v>1794</v>
      </c>
      <c r="F472" s="209" t="s">
        <v>1749</v>
      </c>
      <c r="G472" s="209" t="s">
        <v>1280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1923</v>
      </c>
      <c r="AD472" s="215" t="s">
        <v>1924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1925</v>
      </c>
      <c r="BB472" s="213" t="s">
        <v>1926</v>
      </c>
      <c r="BC472" s="213" t="s">
        <v>1927</v>
      </c>
      <c r="BD472" s="213" t="s">
        <v>140</v>
      </c>
      <c r="BE472" s="148"/>
      <c r="BF472" s="212" t="s">
        <v>1789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1790</v>
      </c>
      <c r="BZ472" s="158" t="s">
        <v>2157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>
      <c r="A473" s="117"/>
      <c r="B473" s="209" t="s">
        <v>1976</v>
      </c>
      <c r="C473" s="209" t="s">
        <v>2192</v>
      </c>
      <c r="D473" s="209" t="s">
        <v>1296</v>
      </c>
      <c r="E473" s="209" t="s">
        <v>1795</v>
      </c>
      <c r="F473" s="209" t="s">
        <v>1750</v>
      </c>
      <c r="G473" s="209" t="s">
        <v>1273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1923</v>
      </c>
      <c r="AD473" s="215" t="s">
        <v>1924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1925</v>
      </c>
      <c r="BB473" s="213" t="s">
        <v>1926</v>
      </c>
      <c r="BC473" s="213" t="s">
        <v>1927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1790</v>
      </c>
      <c r="BZ473" s="158" t="s">
        <v>2158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>
      <c r="A474" s="117"/>
      <c r="B474" s="209" t="s">
        <v>1976</v>
      </c>
      <c r="C474" s="209" t="s">
        <v>2192</v>
      </c>
      <c r="D474" s="209" t="s">
        <v>1296</v>
      </c>
      <c r="E474" s="209" t="s">
        <v>1796</v>
      </c>
      <c r="F474" s="209" t="s">
        <v>1751</v>
      </c>
      <c r="G474" s="209" t="s">
        <v>1284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1923</v>
      </c>
      <c r="AD474" s="215" t="s">
        <v>1924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1925</v>
      </c>
      <c r="BB474" s="213" t="s">
        <v>1926</v>
      </c>
      <c r="BC474" s="213" t="s">
        <v>1927</v>
      </c>
      <c r="BD474" s="213" t="s">
        <v>140</v>
      </c>
      <c r="BE474" s="148"/>
      <c r="BF474" s="212" t="s">
        <v>1789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1790</v>
      </c>
      <c r="BZ474" s="158" t="s">
        <v>2160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>
      <c r="A475" s="117"/>
      <c r="B475" s="209" t="s">
        <v>1976</v>
      </c>
      <c r="C475" s="209" t="s">
        <v>2192</v>
      </c>
      <c r="D475" s="209" t="s">
        <v>1296</v>
      </c>
      <c r="E475" s="209" t="s">
        <v>1979</v>
      </c>
      <c r="F475" s="209" t="s">
        <v>1752</v>
      </c>
      <c r="G475" s="209" t="s">
        <v>1284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1923</v>
      </c>
      <c r="AD475" s="215" t="s">
        <v>1924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1925</v>
      </c>
      <c r="BB475" s="213" t="s">
        <v>1926</v>
      </c>
      <c r="BC475" s="213" t="s">
        <v>1927</v>
      </c>
      <c r="BD475" s="213" t="s">
        <v>140</v>
      </c>
      <c r="BE475" s="148"/>
      <c r="BF475" s="212" t="s">
        <v>1789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1790</v>
      </c>
      <c r="BZ475" s="158" t="s">
        <v>2160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>
      <c r="A476" s="117"/>
      <c r="B476" s="209" t="s">
        <v>1976</v>
      </c>
      <c r="C476" s="209" t="s">
        <v>2192</v>
      </c>
      <c r="D476" s="209" t="s">
        <v>1296</v>
      </c>
      <c r="E476" s="209" t="s">
        <v>1797</v>
      </c>
      <c r="F476" s="209" t="s">
        <v>1753</v>
      </c>
      <c r="G476" s="209" t="s">
        <v>1284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1923</v>
      </c>
      <c r="AD476" s="215" t="s">
        <v>1924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1925</v>
      </c>
      <c r="BB476" s="213" t="s">
        <v>1926</v>
      </c>
      <c r="BC476" s="213" t="s">
        <v>1927</v>
      </c>
      <c r="BD476" s="213" t="s">
        <v>140</v>
      </c>
      <c r="BE476" s="148"/>
      <c r="BF476" s="212" t="s">
        <v>1789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1790</v>
      </c>
      <c r="BZ476" s="158" t="s">
        <v>2160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>
      <c r="A477" s="141"/>
      <c r="B477" s="199" t="s">
        <v>1976</v>
      </c>
      <c r="C477" s="199" t="s">
        <v>2192</v>
      </c>
      <c r="D477" s="199" t="s">
        <v>1296</v>
      </c>
      <c r="E477" s="199" t="s">
        <v>1798</v>
      </c>
      <c r="F477" s="199" t="s">
        <v>1754</v>
      </c>
      <c r="G477" s="199" t="s">
        <v>1739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1923</v>
      </c>
      <c r="AD477" s="206" t="s">
        <v>1924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1925</v>
      </c>
      <c r="BB477" s="204" t="s">
        <v>1926</v>
      </c>
      <c r="BC477" s="204" t="s">
        <v>1927</v>
      </c>
      <c r="BD477" s="204" t="s">
        <v>140</v>
      </c>
      <c r="BE477" s="166"/>
      <c r="BF477" s="203" t="s">
        <v>1789</v>
      </c>
      <c r="BG477" s="141"/>
      <c r="BH477" s="152"/>
      <c r="BI477" s="207"/>
      <c r="BJ477" s="207"/>
      <c r="BK477" s="207"/>
      <c r="BL477" s="153" t="s">
        <v>1932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1790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>
      <c r="A478" s="117"/>
      <c r="B478" s="209" t="s">
        <v>1976</v>
      </c>
      <c r="C478" s="209" t="s">
        <v>2192</v>
      </c>
      <c r="D478" s="209" t="s">
        <v>1296</v>
      </c>
      <c r="E478" s="209" t="s">
        <v>1799</v>
      </c>
      <c r="F478" s="209" t="s">
        <v>1742</v>
      </c>
      <c r="G478" s="209" t="s">
        <v>1720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1923</v>
      </c>
      <c r="AD478" s="215" t="s">
        <v>1924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1925</v>
      </c>
      <c r="BB478" s="213" t="s">
        <v>1926</v>
      </c>
      <c r="BC478" s="213" t="s">
        <v>1927</v>
      </c>
      <c r="BD478" s="213" t="s">
        <v>140</v>
      </c>
      <c r="BE478" s="148"/>
      <c r="BF478" s="212" t="s">
        <v>1789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1790</v>
      </c>
      <c r="BZ478" s="158" t="s">
        <v>2155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>
      <c r="A479" s="117"/>
      <c r="B479" s="209" t="s">
        <v>1976</v>
      </c>
      <c r="C479" s="209" t="s">
        <v>2192</v>
      </c>
      <c r="D479" s="209" t="s">
        <v>1296</v>
      </c>
      <c r="E479" s="209" t="s">
        <v>1800</v>
      </c>
      <c r="F479" s="209" t="s">
        <v>1743</v>
      </c>
      <c r="G479" s="209" t="s">
        <v>1703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1923</v>
      </c>
      <c r="AD479" s="215" t="s">
        <v>1924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1925</v>
      </c>
      <c r="BB479" s="213" t="s">
        <v>1926</v>
      </c>
      <c r="BC479" s="213" t="s">
        <v>1927</v>
      </c>
      <c r="BD479" s="213" t="s">
        <v>140</v>
      </c>
      <c r="BE479" s="148"/>
      <c r="BF479" s="212" t="s">
        <v>1789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1790</v>
      </c>
      <c r="BZ479" s="158" t="s">
        <v>2160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>
      <c r="A480" s="117"/>
      <c r="B480" s="209" t="s">
        <v>1976</v>
      </c>
      <c r="C480" s="209" t="s">
        <v>2192</v>
      </c>
      <c r="D480" s="209" t="s">
        <v>1076</v>
      </c>
      <c r="E480" s="209" t="s">
        <v>1802</v>
      </c>
      <c r="F480" s="209" t="s">
        <v>1740</v>
      </c>
      <c r="G480" s="209" t="s">
        <v>1075</v>
      </c>
      <c r="H480" s="210">
        <v>812</v>
      </c>
      <c r="I480" s="211" t="s">
        <v>1077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1923</v>
      </c>
      <c r="AD480" s="215" t="s">
        <v>1924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1925</v>
      </c>
      <c r="BB480" s="213" t="s">
        <v>1926</v>
      </c>
      <c r="BC480" s="213" t="s">
        <v>1927</v>
      </c>
      <c r="BD480" s="213" t="s">
        <v>140</v>
      </c>
      <c r="BE480" s="148"/>
      <c r="BF480" s="212" t="s">
        <v>1789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1790</v>
      </c>
      <c r="BZ480" s="158" t="s">
        <v>2161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>
      <c r="A481" s="117"/>
      <c r="B481" s="209" t="s">
        <v>1976</v>
      </c>
      <c r="C481" s="209" t="s">
        <v>2192</v>
      </c>
      <c r="D481" s="209" t="s">
        <v>1296</v>
      </c>
      <c r="E481" s="209" t="s">
        <v>1801</v>
      </c>
      <c r="F481" s="209" t="s">
        <v>1744</v>
      </c>
      <c r="G481" s="209" t="s">
        <v>1125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1923</v>
      </c>
      <c r="AD481" s="215" t="s">
        <v>1924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1925</v>
      </c>
      <c r="BB481" s="213" t="s">
        <v>1926</v>
      </c>
      <c r="BC481" s="213" t="s">
        <v>1927</v>
      </c>
      <c r="BD481" s="213" t="s">
        <v>140</v>
      </c>
      <c r="BE481" s="148"/>
      <c r="BF481" s="212" t="s">
        <v>1789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1790</v>
      </c>
      <c r="BZ481" s="158" t="s">
        <v>2155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>
      <c r="A482" s="117"/>
      <c r="B482" s="209" t="s">
        <v>1976</v>
      </c>
      <c r="C482" s="209" t="s">
        <v>2192</v>
      </c>
      <c r="D482" s="209" t="s">
        <v>1296</v>
      </c>
      <c r="E482" s="209" t="s">
        <v>1815</v>
      </c>
      <c r="F482" s="209" t="s">
        <v>1745</v>
      </c>
      <c r="G482" s="209" t="s">
        <v>1123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1923</v>
      </c>
      <c r="AD482" s="215" t="s">
        <v>1924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1925</v>
      </c>
      <c r="BB482" s="213" t="s">
        <v>1926</v>
      </c>
      <c r="BC482" s="213" t="s">
        <v>1927</v>
      </c>
      <c r="BD482" s="213" t="s">
        <v>140</v>
      </c>
      <c r="BE482" s="148"/>
      <c r="BF482" s="212" t="s">
        <v>1789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1790</v>
      </c>
      <c r="BZ482" s="158" t="s">
        <v>2157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>
      <c r="A483" s="162">
        <v>145</v>
      </c>
      <c r="B483" s="177" t="s">
        <v>1846</v>
      </c>
      <c r="C483" s="177" t="s">
        <v>2125</v>
      </c>
      <c r="D483" s="177" t="s">
        <v>1847</v>
      </c>
      <c r="E483" s="177"/>
      <c r="F483" s="177"/>
      <c r="G483" s="177" t="s">
        <v>1848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1980</v>
      </c>
      <c r="AD483" s="184" t="s">
        <v>1924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1783</v>
      </c>
      <c r="AL483" s="181">
        <v>4</v>
      </c>
      <c r="AM483" s="181"/>
      <c r="AN483" s="181"/>
      <c r="AO483" s="181"/>
      <c r="AP483" s="181" t="s">
        <v>1922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1981</v>
      </c>
      <c r="BB483" s="182" t="s">
        <v>1982</v>
      </c>
      <c r="BC483" s="182" t="s">
        <v>1983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>
      <c r="A484" s="117"/>
      <c r="B484" s="209" t="s">
        <v>1846</v>
      </c>
      <c r="C484" s="209" t="s">
        <v>2125</v>
      </c>
      <c r="D484" s="209" t="s">
        <v>954</v>
      </c>
      <c r="E484" s="209" t="s">
        <v>1788</v>
      </c>
      <c r="F484" s="209" t="s">
        <v>952</v>
      </c>
      <c r="G484" s="209" t="s">
        <v>953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1980</v>
      </c>
      <c r="AD484" s="226" t="s">
        <v>1924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1981</v>
      </c>
      <c r="BB484" s="213" t="s">
        <v>1982</v>
      </c>
      <c r="BC484" s="213" t="s">
        <v>1983</v>
      </c>
      <c r="BD484" s="213" t="s">
        <v>140</v>
      </c>
      <c r="BE484" s="148"/>
      <c r="BF484" s="212" t="s">
        <v>1789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1790</v>
      </c>
      <c r="BZ484" s="158" t="s">
        <v>2193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>
      <c r="A485" s="117"/>
      <c r="B485" s="209" t="s">
        <v>1846</v>
      </c>
      <c r="C485" s="209" t="s">
        <v>2125</v>
      </c>
      <c r="D485" s="209" t="s">
        <v>954</v>
      </c>
      <c r="E485" s="209" t="s">
        <v>1791</v>
      </c>
      <c r="F485" s="209" t="s">
        <v>958</v>
      </c>
      <c r="G485" s="209" t="s">
        <v>959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1980</v>
      </c>
      <c r="AD485" s="226" t="s">
        <v>1924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1981</v>
      </c>
      <c r="BB485" s="213" t="s">
        <v>1982</v>
      </c>
      <c r="BC485" s="213" t="s">
        <v>1983</v>
      </c>
      <c r="BD485" s="213" t="s">
        <v>140</v>
      </c>
      <c r="BE485" s="148"/>
      <c r="BF485" s="212" t="s">
        <v>1789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1790</v>
      </c>
      <c r="BZ485" s="158" t="s">
        <v>2194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>
      <c r="A486" s="117"/>
      <c r="B486" s="209" t="s">
        <v>1846</v>
      </c>
      <c r="C486" s="209" t="s">
        <v>2125</v>
      </c>
      <c r="D486" s="209" t="s">
        <v>954</v>
      </c>
      <c r="E486" s="209" t="s">
        <v>1792</v>
      </c>
      <c r="F486" s="209" t="s">
        <v>963</v>
      </c>
      <c r="G486" s="209" t="s">
        <v>964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1980</v>
      </c>
      <c r="AD486" s="226" t="s">
        <v>1924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1981</v>
      </c>
      <c r="BB486" s="213" t="s">
        <v>1982</v>
      </c>
      <c r="BC486" s="213" t="s">
        <v>1983</v>
      </c>
      <c r="BD486" s="213" t="s">
        <v>140</v>
      </c>
      <c r="BE486" s="148"/>
      <c r="BF486" s="212" t="s">
        <v>1789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1790</v>
      </c>
      <c r="BZ486" s="158" t="s">
        <v>2195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>
      <c r="A487" s="117"/>
      <c r="B487" s="209" t="s">
        <v>1846</v>
      </c>
      <c r="C487" s="209" t="s">
        <v>2125</v>
      </c>
      <c r="D487" s="209" t="s">
        <v>954</v>
      </c>
      <c r="E487" s="209" t="s">
        <v>1793</v>
      </c>
      <c r="F487" s="209" t="s">
        <v>968</v>
      </c>
      <c r="G487" s="209" t="s">
        <v>969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1980</v>
      </c>
      <c r="AD487" s="226" t="s">
        <v>1924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1981</v>
      </c>
      <c r="BB487" s="213" t="s">
        <v>1982</v>
      </c>
      <c r="BC487" s="213" t="s">
        <v>1983</v>
      </c>
      <c r="BD487" s="213" t="s">
        <v>140</v>
      </c>
      <c r="BE487" s="148"/>
      <c r="BF487" s="212" t="s">
        <v>1789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1790</v>
      </c>
      <c r="BZ487" s="158" t="s">
        <v>2196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>
      <c r="A488" s="162">
        <v>146</v>
      </c>
      <c r="B488" s="177" t="s">
        <v>1846</v>
      </c>
      <c r="C488" s="177" t="s">
        <v>2130</v>
      </c>
      <c r="D488" s="177" t="s">
        <v>1849</v>
      </c>
      <c r="E488" s="177"/>
      <c r="F488" s="177"/>
      <c r="G488" s="177" t="s">
        <v>1850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0.125</v>
      </c>
      <c r="Y488" s="181"/>
      <c r="Z488" s="181"/>
      <c r="AA488" s="181"/>
      <c r="AB488" s="181"/>
      <c r="AC488" s="228" t="s">
        <v>1980</v>
      </c>
      <c r="AD488" s="184" t="s">
        <v>1924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1783</v>
      </c>
      <c r="AL488" s="181">
        <v>4</v>
      </c>
      <c r="AM488" s="181"/>
      <c r="AN488" s="181"/>
      <c r="AO488" s="181"/>
      <c r="AP488" s="181" t="s">
        <v>1922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1981</v>
      </c>
      <c r="BB488" s="182" t="s">
        <v>1982</v>
      </c>
      <c r="BC488" s="182" t="s">
        <v>1983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>
      <c r="A489" s="141"/>
      <c r="B489" s="199" t="s">
        <v>1846</v>
      </c>
      <c r="C489" s="199" t="s">
        <v>2130</v>
      </c>
      <c r="D489" s="199" t="s">
        <v>979</v>
      </c>
      <c r="E489" s="199" t="s">
        <v>1851</v>
      </c>
      <c r="F489" s="199" t="s">
        <v>977</v>
      </c>
      <c r="G489" s="199" t="s">
        <v>978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1980</v>
      </c>
      <c r="AD489" s="225" t="s">
        <v>1984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1981</v>
      </c>
      <c r="BB489" s="204" t="s">
        <v>1982</v>
      </c>
      <c r="BC489" s="204" t="s">
        <v>1983</v>
      </c>
      <c r="BD489" s="204" t="s">
        <v>140</v>
      </c>
      <c r="BE489" s="166"/>
      <c r="BF489" s="212" t="s">
        <v>1789</v>
      </c>
      <c r="BG489" s="141"/>
      <c r="BH489" s="141"/>
      <c r="BI489" s="153"/>
      <c r="BJ489" s="153"/>
      <c r="BK489" s="153" t="s">
        <v>1853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1790</v>
      </c>
      <c r="BZ489" s="167" t="s">
        <v>2197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>
      <c r="A490" s="117"/>
      <c r="B490" s="209" t="s">
        <v>1846</v>
      </c>
      <c r="C490" s="209" t="s">
        <v>2130</v>
      </c>
      <c r="D490" s="209" t="s">
        <v>975</v>
      </c>
      <c r="E490" s="209" t="s">
        <v>1854</v>
      </c>
      <c r="F490" s="209" t="s">
        <v>973</v>
      </c>
      <c r="G490" s="209" t="s">
        <v>974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976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1980</v>
      </c>
      <c r="AD490" s="226" t="s">
        <v>1924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1981</v>
      </c>
      <c r="BB490" s="213" t="s">
        <v>1982</v>
      </c>
      <c r="BC490" s="213" t="s">
        <v>1983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>
      <c r="A491" s="117"/>
      <c r="B491" s="209" t="s">
        <v>1846</v>
      </c>
      <c r="C491" s="209" t="s">
        <v>2130</v>
      </c>
      <c r="D491" s="209" t="s">
        <v>13</v>
      </c>
      <c r="E491" s="209" t="s">
        <v>1788</v>
      </c>
      <c r="F491" s="209" t="s">
        <v>985</v>
      </c>
      <c r="G491" s="209" t="s">
        <v>986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1980</v>
      </c>
      <c r="AD491" s="226" t="s">
        <v>1924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1981</v>
      </c>
      <c r="BB491" s="213" t="s">
        <v>1982</v>
      </c>
      <c r="BC491" s="213" t="s">
        <v>1983</v>
      </c>
      <c r="BD491" s="213" t="s">
        <v>140</v>
      </c>
      <c r="BE491" s="148"/>
      <c r="BF491" s="212" t="s">
        <v>1789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1790</v>
      </c>
      <c r="BZ491" s="158" t="s">
        <v>2160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>
      <c r="A492" s="117"/>
      <c r="B492" s="209" t="s">
        <v>1846</v>
      </c>
      <c r="C492" s="209" t="s">
        <v>2130</v>
      </c>
      <c r="D492" s="209" t="s">
        <v>983</v>
      </c>
      <c r="E492" s="209" t="s">
        <v>1823</v>
      </c>
      <c r="F492" s="209" t="s">
        <v>981</v>
      </c>
      <c r="G492" s="209" t="s">
        <v>982</v>
      </c>
      <c r="H492" s="210"/>
      <c r="I492" s="211" t="s">
        <v>984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976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1980</v>
      </c>
      <c r="AD492" s="226" t="s">
        <v>1924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1981</v>
      </c>
      <c r="BB492" s="213" t="s">
        <v>1982</v>
      </c>
      <c r="BC492" s="213" t="s">
        <v>1983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>
      <c r="A493" s="162">
        <v>147</v>
      </c>
      <c r="B493" s="177" t="s">
        <v>1846</v>
      </c>
      <c r="C493" s="177" t="s">
        <v>2132</v>
      </c>
      <c r="D493" s="177" t="s">
        <v>1855</v>
      </c>
      <c r="E493" s="177"/>
      <c r="F493" s="177"/>
      <c r="G493" s="177" t="s">
        <v>1856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0.3125</v>
      </c>
      <c r="Y493" s="181"/>
      <c r="Z493" s="181"/>
      <c r="AA493" s="181"/>
      <c r="AB493" s="181"/>
      <c r="AC493" s="228" t="s">
        <v>1980</v>
      </c>
      <c r="AD493" s="184" t="s">
        <v>1924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1783</v>
      </c>
      <c r="AL493" s="181">
        <v>4</v>
      </c>
      <c r="AM493" s="181"/>
      <c r="AN493" s="181"/>
      <c r="AO493" s="181"/>
      <c r="AP493" s="181" t="s">
        <v>1922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1981</v>
      </c>
      <c r="BB493" s="182" t="s">
        <v>1982</v>
      </c>
      <c r="BC493" s="182" t="s">
        <v>1983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>
      <c r="A494" s="117"/>
      <c r="B494" s="209" t="s">
        <v>1846</v>
      </c>
      <c r="C494" s="209" t="s">
        <v>2132</v>
      </c>
      <c r="D494" s="209" t="s">
        <v>13</v>
      </c>
      <c r="E494" s="209" t="s">
        <v>1788</v>
      </c>
      <c r="F494" s="209" t="s">
        <v>990</v>
      </c>
      <c r="G494" s="209" t="s">
        <v>991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203">
        <f t="shared" ref="U494:U495" ca="1" si="1013">+L494-T494</f>
        <v>7</v>
      </c>
      <c r="V494" s="203">
        <f t="shared" ref="V494:V495" ca="1" si="1014">ROUNDDOWN(T494/J494,0)</f>
        <v>1</v>
      </c>
      <c r="W494" s="212"/>
      <c r="X494" s="212"/>
      <c r="Y494" s="212"/>
      <c r="Z494" s="212"/>
      <c r="AA494" s="212"/>
      <c r="AB494" s="212"/>
      <c r="AC494" s="214" t="s">
        <v>1980</v>
      </c>
      <c r="AD494" s="226" t="s">
        <v>1924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1</v>
      </c>
      <c r="AO494" s="203">
        <f t="shared" ref="AO494:AO495" ca="1" si="1022">+AM494-AN494</f>
        <v>3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1981</v>
      </c>
      <c r="BB494" s="213" t="s">
        <v>1982</v>
      </c>
      <c r="BC494" s="213" t="s">
        <v>1983</v>
      </c>
      <c r="BD494" s="213" t="s">
        <v>140</v>
      </c>
      <c r="BE494" s="148"/>
      <c r="BF494" s="212" t="s">
        <v>1789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1790</v>
      </c>
      <c r="BZ494" s="158" t="s">
        <v>2198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>
      <c r="A495" s="117"/>
      <c r="B495" s="209" t="s">
        <v>1846</v>
      </c>
      <c r="C495" s="209" t="s">
        <v>2132</v>
      </c>
      <c r="D495" s="209" t="s">
        <v>13</v>
      </c>
      <c r="E495" s="209" t="s">
        <v>1791</v>
      </c>
      <c r="F495" s="209" t="s">
        <v>995</v>
      </c>
      <c r="G495" s="209" t="s">
        <v>996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203">
        <f t="shared" ca="1" si="1013"/>
        <v>7</v>
      </c>
      <c r="V495" s="203">
        <f t="shared" ca="1" si="1014"/>
        <v>1</v>
      </c>
      <c r="W495" s="212"/>
      <c r="X495" s="212"/>
      <c r="Y495" s="212"/>
      <c r="Z495" s="212"/>
      <c r="AA495" s="212"/>
      <c r="AB495" s="212"/>
      <c r="AC495" s="214" t="s">
        <v>1980</v>
      </c>
      <c r="AD495" s="226" t="s">
        <v>1924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1</v>
      </c>
      <c r="AO495" s="203">
        <f t="shared" ca="1" si="1022"/>
        <v>3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1981</v>
      </c>
      <c r="BB495" s="213" t="s">
        <v>1982</v>
      </c>
      <c r="BC495" s="213" t="s">
        <v>1983</v>
      </c>
      <c r="BD495" s="213" t="s">
        <v>140</v>
      </c>
      <c r="BE495" s="148"/>
      <c r="BF495" s="212" t="s">
        <v>1789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1790</v>
      </c>
      <c r="BZ495" s="158" t="s">
        <v>2198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>
      <c r="A496" s="162">
        <v>148</v>
      </c>
      <c r="B496" s="177" t="s">
        <v>1985</v>
      </c>
      <c r="C496" s="177" t="s">
        <v>2134</v>
      </c>
      <c r="D496" s="177" t="s">
        <v>1858</v>
      </c>
      <c r="E496" s="177"/>
      <c r="F496" s="177"/>
      <c r="G496" s="177" t="s">
        <v>1859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1986</v>
      </c>
      <c r="AD496" s="184" t="s">
        <v>1924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1783</v>
      </c>
      <c r="AL496" s="181">
        <v>2</v>
      </c>
      <c r="AM496" s="181"/>
      <c r="AN496" s="181">
        <v>2</v>
      </c>
      <c r="AO496" s="181"/>
      <c r="AP496" s="181" t="s">
        <v>1922</v>
      </c>
      <c r="AQ496" s="181">
        <v>2</v>
      </c>
      <c r="AR496" s="181"/>
      <c r="AS496" s="181">
        <v>2</v>
      </c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1987</v>
      </c>
      <c r="BB496" s="182" t="s">
        <v>1988</v>
      </c>
      <c r="BC496" s="182" t="s">
        <v>1989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>
      <c r="A497" s="162">
        <v>149</v>
      </c>
      <c r="B497" s="177" t="s">
        <v>1985</v>
      </c>
      <c r="C497" s="177" t="s">
        <v>2135</v>
      </c>
      <c r="D497" s="177" t="s">
        <v>1858</v>
      </c>
      <c r="E497" s="177"/>
      <c r="F497" s="177"/>
      <c r="G497" s="177" t="s">
        <v>1860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1990</v>
      </c>
      <c r="AD497" s="184" t="s">
        <v>1924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1783</v>
      </c>
      <c r="AL497" s="181">
        <v>1</v>
      </c>
      <c r="AM497" s="181"/>
      <c r="AN497" s="181"/>
      <c r="AO497" s="181"/>
      <c r="AP497" s="181" t="s">
        <v>1922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1991</v>
      </c>
      <c r="BB497" s="182" t="s">
        <v>1992</v>
      </c>
      <c r="BC497" s="182" t="s">
        <v>1993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>
      <c r="A498" s="162">
        <v>150</v>
      </c>
      <c r="B498" s="177" t="s">
        <v>1846</v>
      </c>
      <c r="C498" s="177" t="s">
        <v>2136</v>
      </c>
      <c r="D498" s="177" t="s">
        <v>1861</v>
      </c>
      <c r="E498" s="177"/>
      <c r="F498" s="177"/>
      <c r="G498" s="177" t="s">
        <v>1862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1990</v>
      </c>
      <c r="AD498" s="184" t="s">
        <v>1924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1783</v>
      </c>
      <c r="AL498" s="181">
        <v>1</v>
      </c>
      <c r="AM498" s="181"/>
      <c r="AN498" s="181"/>
      <c r="AO498" s="181"/>
      <c r="AP498" s="181" t="s">
        <v>1922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1991</v>
      </c>
      <c r="BB498" s="182" t="s">
        <v>1992</v>
      </c>
      <c r="BC498" s="182" t="s">
        <v>1993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>
      <c r="A499" s="117"/>
      <c r="B499" s="209" t="s">
        <v>1846</v>
      </c>
      <c r="C499" s="209" t="s">
        <v>2136</v>
      </c>
      <c r="D499" s="209" t="s">
        <v>954</v>
      </c>
      <c r="E499" s="209" t="s">
        <v>1788</v>
      </c>
      <c r="F499" s="209" t="s">
        <v>997</v>
      </c>
      <c r="G499" s="209" t="s">
        <v>998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1990</v>
      </c>
      <c r="AD499" s="226" t="s">
        <v>1924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1991</v>
      </c>
      <c r="BB499" s="213" t="s">
        <v>1992</v>
      </c>
      <c r="BC499" s="213" t="s">
        <v>1993</v>
      </c>
      <c r="BD499" s="213" t="s">
        <v>140</v>
      </c>
      <c r="BE499" s="148"/>
      <c r="BF499" s="212" t="s">
        <v>1789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1790</v>
      </c>
      <c r="BZ499" s="158" t="s">
        <v>2199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>
      <c r="A500" s="162">
        <v>151</v>
      </c>
      <c r="B500" s="177" t="s">
        <v>1846</v>
      </c>
      <c r="C500" s="177" t="s">
        <v>2200</v>
      </c>
      <c r="D500" s="177" t="s">
        <v>1994</v>
      </c>
      <c r="E500" s="177"/>
      <c r="F500" s="177"/>
      <c r="G500" s="177" t="s">
        <v>1995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1996</v>
      </c>
      <c r="AD500" s="184" t="s">
        <v>1924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1783</v>
      </c>
      <c r="AL500" s="181">
        <v>2</v>
      </c>
      <c r="AM500" s="181"/>
      <c r="AN500" s="181"/>
      <c r="AO500" s="181"/>
      <c r="AP500" s="181" t="s">
        <v>1922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1997</v>
      </c>
      <c r="BB500" s="182" t="s">
        <v>1998</v>
      </c>
      <c r="BC500" s="182" t="s">
        <v>1999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>
      <c r="A501" s="162">
        <v>152</v>
      </c>
      <c r="B501" s="177" t="s">
        <v>1846</v>
      </c>
      <c r="C501" s="177" t="s">
        <v>2201</v>
      </c>
      <c r="D501" s="177" t="s">
        <v>2000</v>
      </c>
      <c r="E501" s="177"/>
      <c r="F501" s="177"/>
      <c r="G501" s="177" t="s">
        <v>2001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1923</v>
      </c>
      <c r="AD501" s="184" t="s">
        <v>1924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1783</v>
      </c>
      <c r="AL501" s="181">
        <v>1</v>
      </c>
      <c r="AM501" s="181"/>
      <c r="AN501" s="181"/>
      <c r="AO501" s="181"/>
      <c r="AP501" s="181" t="s">
        <v>1922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1925</v>
      </c>
      <c r="BB501" s="182" t="s">
        <v>1926</v>
      </c>
      <c r="BC501" s="182" t="s">
        <v>1927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>
      <c r="A502" s="117"/>
      <c r="B502" s="209" t="s">
        <v>1846</v>
      </c>
      <c r="C502" s="209" t="s">
        <v>2201</v>
      </c>
      <c r="D502" s="209" t="s">
        <v>13</v>
      </c>
      <c r="E502" s="209" t="s">
        <v>1788</v>
      </c>
      <c r="F502" s="209" t="s">
        <v>1002</v>
      </c>
      <c r="G502" s="209" t="s">
        <v>1628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1923</v>
      </c>
      <c r="AD502" s="226" t="s">
        <v>1924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1925</v>
      </c>
      <c r="BB502" s="213" t="s">
        <v>1926</v>
      </c>
      <c r="BC502" s="213" t="s">
        <v>1927</v>
      </c>
      <c r="BD502" s="213" t="s">
        <v>140</v>
      </c>
      <c r="BE502" s="148"/>
      <c r="BF502" s="212" t="s">
        <v>1789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1790</v>
      </c>
      <c r="BZ502" s="158" t="s">
        <v>2156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>
      <c r="A503" s="117"/>
      <c r="B503" s="209" t="s">
        <v>1846</v>
      </c>
      <c r="C503" s="209" t="s">
        <v>2201</v>
      </c>
      <c r="D503" s="209" t="s">
        <v>983</v>
      </c>
      <c r="E503" s="209" t="s">
        <v>1823</v>
      </c>
      <c r="F503" s="209" t="s">
        <v>1000</v>
      </c>
      <c r="G503" s="209" t="s">
        <v>1001</v>
      </c>
      <c r="H503" s="210"/>
      <c r="I503" s="211" t="s">
        <v>984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976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1923</v>
      </c>
      <c r="AD503" s="226" t="s">
        <v>1924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1925</v>
      </c>
      <c r="BB503" s="213" t="s">
        <v>1926</v>
      </c>
      <c r="BC503" s="213" t="s">
        <v>1927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>
      <c r="A504" s="162">
        <v>153</v>
      </c>
      <c r="B504" s="177" t="s">
        <v>1846</v>
      </c>
      <c r="C504" s="177" t="s">
        <v>2202</v>
      </c>
      <c r="D504" s="177" t="s">
        <v>2002</v>
      </c>
      <c r="E504" s="177"/>
      <c r="F504" s="177"/>
      <c r="G504" s="177" t="s">
        <v>2003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2</v>
      </c>
      <c r="X504" s="181">
        <f ca="1">SUMIFS(T:T,C:C,C504,AE:AE,"")/SUMIFS(L:L,C:C,C504,AE:AE,"",AB:AB,"")</f>
        <v>0.5</v>
      </c>
      <c r="Y504" s="181"/>
      <c r="Z504" s="181"/>
      <c r="AA504" s="181"/>
      <c r="AB504" s="181"/>
      <c r="AC504" s="228" t="s">
        <v>1980</v>
      </c>
      <c r="AD504" s="184" t="s">
        <v>1924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1783</v>
      </c>
      <c r="AL504" s="181">
        <v>4</v>
      </c>
      <c r="AM504" s="181"/>
      <c r="AN504" s="181"/>
      <c r="AO504" s="181"/>
      <c r="AP504" s="181" t="s">
        <v>1922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1981</v>
      </c>
      <c r="BB504" s="182" t="s">
        <v>1982</v>
      </c>
      <c r="BC504" s="182" t="s">
        <v>1983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>
      <c r="A505" s="141"/>
      <c r="B505" s="199" t="s">
        <v>1846</v>
      </c>
      <c r="C505" s="199" t="s">
        <v>2202</v>
      </c>
      <c r="D505" s="199" t="s">
        <v>1007</v>
      </c>
      <c r="E505" s="199" t="s">
        <v>1868</v>
      </c>
      <c r="F505" s="199" t="s">
        <v>1006</v>
      </c>
      <c r="G505" s="199" t="s">
        <v>1003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03">
        <f t="shared" ref="U505" ca="1" si="1068">+L505-T505</f>
        <v>6</v>
      </c>
      <c r="V505" s="203">
        <f t="shared" ref="V505" ca="1" si="1069">ROUNDDOWN(T505/J505,0)</f>
        <v>2</v>
      </c>
      <c r="W505" s="203"/>
      <c r="X505" s="203"/>
      <c r="Y505" s="203"/>
      <c r="Z505" s="203"/>
      <c r="AA505" s="203"/>
      <c r="AB505" s="203"/>
      <c r="AC505" s="231" t="s">
        <v>1980</v>
      </c>
      <c r="AD505" s="225" t="s">
        <v>1924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2</v>
      </c>
      <c r="AO505" s="203">
        <f ca="1">+AM505-AN505</f>
        <v>2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1981</v>
      </c>
      <c r="BB505" s="204" t="s">
        <v>1982</v>
      </c>
      <c r="BC505" s="204" t="s">
        <v>1983</v>
      </c>
      <c r="BD505" s="204" t="s">
        <v>140</v>
      </c>
      <c r="BE505" s="166"/>
      <c r="BF505" s="203" t="s">
        <v>1789</v>
      </c>
      <c r="BG505" s="141"/>
      <c r="BH505" s="141"/>
      <c r="BI505" s="153"/>
      <c r="BJ505" s="153"/>
      <c r="BK505" s="153"/>
      <c r="BL505" s="153" t="s">
        <v>1932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1790</v>
      </c>
      <c r="BZ505" s="167" t="s">
        <v>2195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>
      <c r="A506" s="162">
        <v>154</v>
      </c>
      <c r="B506" s="177" t="s">
        <v>1863</v>
      </c>
      <c r="C506" s="177" t="s">
        <v>2137</v>
      </c>
      <c r="D506" s="177" t="s">
        <v>1864</v>
      </c>
      <c r="E506" s="177"/>
      <c r="F506" s="177"/>
      <c r="G506" s="177" t="s">
        <v>1865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0.25</v>
      </c>
      <c r="Y506" s="181"/>
      <c r="Z506" s="181"/>
      <c r="AA506" s="181"/>
      <c r="AB506" s="181"/>
      <c r="AC506" s="228" t="s">
        <v>1923</v>
      </c>
      <c r="AD506" s="184" t="s">
        <v>1924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1783</v>
      </c>
      <c r="AL506" s="181">
        <v>1</v>
      </c>
      <c r="AM506" s="181"/>
      <c r="AN506" s="181"/>
      <c r="AO506" s="181"/>
      <c r="AP506" s="181" t="s">
        <v>1922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1925</v>
      </c>
      <c r="BB506" s="182" t="s">
        <v>1926</v>
      </c>
      <c r="BC506" s="182" t="s">
        <v>1927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>
      <c r="A507" s="117"/>
      <c r="B507" s="209" t="s">
        <v>1863</v>
      </c>
      <c r="C507" s="209" t="s">
        <v>2137</v>
      </c>
      <c r="D507" s="209" t="s">
        <v>1016</v>
      </c>
      <c r="E507" s="209" t="s">
        <v>1823</v>
      </c>
      <c r="F507" s="209" t="s">
        <v>1014</v>
      </c>
      <c r="G507" s="209" t="s">
        <v>1015</v>
      </c>
      <c r="H507" s="210"/>
      <c r="I507" s="211" t="s">
        <v>1017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976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1923</v>
      </c>
      <c r="AD507" s="226" t="s">
        <v>1924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1925</v>
      </c>
      <c r="BB507" s="213" t="s">
        <v>1926</v>
      </c>
      <c r="BC507" s="213" t="s">
        <v>1927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>
      <c r="A508" s="141"/>
      <c r="B508" s="199" t="s">
        <v>1863</v>
      </c>
      <c r="C508" s="199" t="s">
        <v>2137</v>
      </c>
      <c r="D508" s="199" t="s">
        <v>1010</v>
      </c>
      <c r="E508" s="199" t="s">
        <v>1802</v>
      </c>
      <c r="F508" s="199" t="s">
        <v>1008</v>
      </c>
      <c r="G508" s="199" t="s">
        <v>1009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1923</v>
      </c>
      <c r="AD508" s="225" t="s">
        <v>1924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1925</v>
      </c>
      <c r="BB508" s="204" t="s">
        <v>1926</v>
      </c>
      <c r="BC508" s="204" t="s">
        <v>1927</v>
      </c>
      <c r="BD508" s="204" t="s">
        <v>140</v>
      </c>
      <c r="BE508" s="166"/>
      <c r="BF508" s="203" t="s">
        <v>1789</v>
      </c>
      <c r="BG508" s="141"/>
      <c r="BH508" s="141"/>
      <c r="BI508" s="153"/>
      <c r="BJ508" s="153"/>
      <c r="BK508" s="153"/>
      <c r="BL508" s="153" t="s">
        <v>1932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1790</v>
      </c>
      <c r="BZ508" s="167" t="s">
        <v>2191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>
      <c r="A509" s="117"/>
      <c r="B509" s="209" t="s">
        <v>1863</v>
      </c>
      <c r="C509" s="209" t="s">
        <v>2137</v>
      </c>
      <c r="D509" s="209" t="s">
        <v>13</v>
      </c>
      <c r="E509" s="209" t="s">
        <v>1788</v>
      </c>
      <c r="F509" s="209" t="s">
        <v>1018</v>
      </c>
      <c r="G509" s="209" t="s">
        <v>1019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1923</v>
      </c>
      <c r="AD509" s="226" t="s">
        <v>1924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1925</v>
      </c>
      <c r="BB509" s="213" t="s">
        <v>1926</v>
      </c>
      <c r="BC509" s="213" t="s">
        <v>1927</v>
      </c>
      <c r="BD509" s="213" t="s">
        <v>140</v>
      </c>
      <c r="BE509" s="148"/>
      <c r="BF509" s="212" t="s">
        <v>1789</v>
      </c>
      <c r="BG509" s="117"/>
      <c r="BH509" s="117"/>
      <c r="BI509" s="149"/>
      <c r="BJ509" s="149" t="s">
        <v>2004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1790</v>
      </c>
      <c r="BZ509" s="158" t="s">
        <v>2159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>
      <c r="A510" s="162">
        <v>155</v>
      </c>
      <c r="B510" s="177" t="s">
        <v>1863</v>
      </c>
      <c r="C510" s="177" t="s">
        <v>2138</v>
      </c>
      <c r="D510" s="177" t="s">
        <v>1866</v>
      </c>
      <c r="E510" s="177"/>
      <c r="F510" s="177"/>
      <c r="G510" s="177" t="s">
        <v>1867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1923</v>
      </c>
      <c r="AD510" s="184" t="s">
        <v>1924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1783</v>
      </c>
      <c r="AL510" s="181">
        <v>1</v>
      </c>
      <c r="AM510" s="181"/>
      <c r="AN510" s="181"/>
      <c r="AO510" s="181"/>
      <c r="AP510" s="181" t="s">
        <v>1922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1925</v>
      </c>
      <c r="BB510" s="182" t="s">
        <v>1926</v>
      </c>
      <c r="BC510" s="182" t="s">
        <v>1927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>
      <c r="A511" s="117"/>
      <c r="B511" s="209" t="s">
        <v>1863</v>
      </c>
      <c r="C511" s="209" t="s">
        <v>2138</v>
      </c>
      <c r="D511" s="209" t="s">
        <v>1007</v>
      </c>
      <c r="E511" s="209" t="s">
        <v>1868</v>
      </c>
      <c r="F511" s="209" t="s">
        <v>1031</v>
      </c>
      <c r="G511" s="209" t="s">
        <v>1032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1923</v>
      </c>
      <c r="AD511" s="226" t="s">
        <v>1924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1925</v>
      </c>
      <c r="BB511" s="213" t="s">
        <v>1926</v>
      </c>
      <c r="BC511" s="213" t="s">
        <v>1927</v>
      </c>
      <c r="BD511" s="213" t="s">
        <v>140</v>
      </c>
      <c r="BE511" s="148"/>
      <c r="BF511" s="212" t="s">
        <v>1789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1790</v>
      </c>
      <c r="BZ511" s="158" t="s">
        <v>2203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>
      <c r="A512" s="117"/>
      <c r="B512" s="209" t="s">
        <v>1863</v>
      </c>
      <c r="C512" s="209" t="s">
        <v>2138</v>
      </c>
      <c r="D512" s="209" t="s">
        <v>1025</v>
      </c>
      <c r="E512" s="209" t="s">
        <v>1869</v>
      </c>
      <c r="F512" s="209" t="s">
        <v>1023</v>
      </c>
      <c r="G512" s="209" t="s">
        <v>1024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1923</v>
      </c>
      <c r="AD512" s="226" t="s">
        <v>2005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1925</v>
      </c>
      <c r="BB512" s="213" t="s">
        <v>1926</v>
      </c>
      <c r="BC512" s="213" t="s">
        <v>1927</v>
      </c>
      <c r="BD512" s="213" t="s">
        <v>140</v>
      </c>
      <c r="BE512" s="148"/>
      <c r="BF512" s="212" t="s">
        <v>1789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1790</v>
      </c>
      <c r="BZ512" s="158" t="s">
        <v>2204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>
      <c r="A513" s="117"/>
      <c r="B513" s="209" t="s">
        <v>1863</v>
      </c>
      <c r="C513" s="209" t="s">
        <v>2138</v>
      </c>
      <c r="D513" s="209" t="s">
        <v>13</v>
      </c>
      <c r="E513" s="209" t="s">
        <v>1788</v>
      </c>
      <c r="F513" s="209" t="s">
        <v>1029</v>
      </c>
      <c r="G513" s="209" t="s">
        <v>1030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1923</v>
      </c>
      <c r="AD513" s="226" t="s">
        <v>1924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1925</v>
      </c>
      <c r="BB513" s="213" t="s">
        <v>1926</v>
      </c>
      <c r="BC513" s="213" t="s">
        <v>1927</v>
      </c>
      <c r="BD513" s="213" t="s">
        <v>140</v>
      </c>
      <c r="BE513" s="148"/>
      <c r="BF513" s="212" t="s">
        <v>1789</v>
      </c>
      <c r="BG513" s="117"/>
      <c r="BH513" s="117"/>
      <c r="BI513" s="149"/>
      <c r="BJ513" s="149" t="s">
        <v>2004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1790</v>
      </c>
      <c r="BZ513" s="158" t="s">
        <v>2159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>
      <c r="A514" s="162">
        <v>156</v>
      </c>
      <c r="B514" s="177" t="s">
        <v>1863</v>
      </c>
      <c r="C514" s="177" t="s">
        <v>2141</v>
      </c>
      <c r="D514" s="177" t="s">
        <v>1871</v>
      </c>
      <c r="E514" s="177"/>
      <c r="F514" s="177"/>
      <c r="G514" s="177" t="s">
        <v>1872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0.3</v>
      </c>
      <c r="Y514" s="181"/>
      <c r="Z514" s="181"/>
      <c r="AA514" s="181"/>
      <c r="AB514" s="181"/>
      <c r="AC514" s="228" t="s">
        <v>1923</v>
      </c>
      <c r="AD514" s="184" t="s">
        <v>1924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1783</v>
      </c>
      <c r="AL514" s="181">
        <v>1</v>
      </c>
      <c r="AM514" s="181"/>
      <c r="AN514" s="181"/>
      <c r="AO514" s="181"/>
      <c r="AP514" s="181" t="s">
        <v>1922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1925</v>
      </c>
      <c r="BB514" s="182" t="s">
        <v>1926</v>
      </c>
      <c r="BC514" s="182" t="s">
        <v>1927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>
      <c r="A515" s="117"/>
      <c r="B515" s="209" t="s">
        <v>1863</v>
      </c>
      <c r="C515" s="209" t="s">
        <v>2141</v>
      </c>
      <c r="D515" s="209" t="s">
        <v>1873</v>
      </c>
      <c r="E515" s="209" t="s">
        <v>1823</v>
      </c>
      <c r="F515" s="209" t="s">
        <v>1035</v>
      </c>
      <c r="G515" s="209" t="s">
        <v>1874</v>
      </c>
      <c r="H515" s="210"/>
      <c r="I515" s="211" t="s">
        <v>1017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976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1923</v>
      </c>
      <c r="AD515" s="226" t="s">
        <v>1924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1925</v>
      </c>
      <c r="BB515" s="213" t="s">
        <v>1926</v>
      </c>
      <c r="BC515" s="213" t="s">
        <v>1927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>
      <c r="A516" s="117"/>
      <c r="B516" s="209" t="s">
        <v>1863</v>
      </c>
      <c r="C516" s="209" t="s">
        <v>2141</v>
      </c>
      <c r="D516" s="209" t="s">
        <v>1007</v>
      </c>
      <c r="E516" s="209" t="s">
        <v>1868</v>
      </c>
      <c r="F516" s="209" t="s">
        <v>1039</v>
      </c>
      <c r="G516" s="209" t="s">
        <v>1040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2</v>
      </c>
      <c r="U516" s="203">
        <f t="shared" ca="1" si="1135"/>
        <v>2</v>
      </c>
      <c r="V516" s="203">
        <f t="shared" ca="1" si="1136"/>
        <v>1</v>
      </c>
      <c r="W516" s="212"/>
      <c r="X516" s="212"/>
      <c r="Y516" s="212"/>
      <c r="Z516" s="212"/>
      <c r="AA516" s="212"/>
      <c r="AB516" s="212"/>
      <c r="AC516" s="214" t="s">
        <v>1923</v>
      </c>
      <c r="AD516" s="226" t="s">
        <v>1924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1</v>
      </c>
      <c r="AO516" s="203">
        <f t="shared" ca="1" si="1144"/>
        <v>1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1</v>
      </c>
      <c r="AT516" s="203">
        <f t="shared" ca="1" si="1148"/>
        <v>1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1925</v>
      </c>
      <c r="BB516" s="213" t="s">
        <v>1926</v>
      </c>
      <c r="BC516" s="213" t="s">
        <v>1927</v>
      </c>
      <c r="BD516" s="213" t="s">
        <v>140</v>
      </c>
      <c r="BE516" s="148"/>
      <c r="BF516" s="212" t="s">
        <v>1789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1790</v>
      </c>
      <c r="BZ516" s="158" t="s">
        <v>2205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>
      <c r="A517" s="117"/>
      <c r="B517" s="209" t="s">
        <v>1863</v>
      </c>
      <c r="C517" s="209" t="s">
        <v>2141</v>
      </c>
      <c r="D517" s="209" t="s">
        <v>1007</v>
      </c>
      <c r="E517" s="209" t="s">
        <v>1875</v>
      </c>
      <c r="F517" s="209" t="s">
        <v>1043</v>
      </c>
      <c r="G517" s="209" t="s">
        <v>1044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1</v>
      </c>
      <c r="U517" s="203">
        <f t="shared" ca="1" si="1135"/>
        <v>1</v>
      </c>
      <c r="V517" s="203">
        <f t="shared" ca="1" si="1136"/>
        <v>1</v>
      </c>
      <c r="W517" s="212"/>
      <c r="X517" s="212"/>
      <c r="Y517" s="212"/>
      <c r="Z517" s="212"/>
      <c r="AA517" s="212"/>
      <c r="AB517" s="212"/>
      <c r="AC517" s="214" t="s">
        <v>1923</v>
      </c>
      <c r="AD517" s="226" t="s">
        <v>1924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1</v>
      </c>
      <c r="AO517" s="203">
        <f t="shared" ca="1" si="1144"/>
        <v>0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1925</v>
      </c>
      <c r="BB517" s="213" t="s">
        <v>1926</v>
      </c>
      <c r="BC517" s="213" t="s">
        <v>1927</v>
      </c>
      <c r="BD517" s="213" t="s">
        <v>140</v>
      </c>
      <c r="BE517" s="148"/>
      <c r="BF517" s="212" t="s">
        <v>1789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1790</v>
      </c>
      <c r="BZ517" s="158" t="s">
        <v>2206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>
      <c r="A518" s="117"/>
      <c r="B518" s="209" t="s">
        <v>1863</v>
      </c>
      <c r="C518" s="209" t="s">
        <v>2141</v>
      </c>
      <c r="D518" s="209" t="s">
        <v>1037</v>
      </c>
      <c r="E518" s="209" t="s">
        <v>1823</v>
      </c>
      <c r="F518" s="209" t="s">
        <v>1035</v>
      </c>
      <c r="G518" s="209" t="s">
        <v>1036</v>
      </c>
      <c r="H518" s="210" t="s">
        <v>1038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976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1923</v>
      </c>
      <c r="AD518" s="226" t="s">
        <v>1924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1925</v>
      </c>
      <c r="BB518" s="213" t="s">
        <v>1926</v>
      </c>
      <c r="BC518" s="213" t="s">
        <v>1927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>
      <c r="A519" s="162">
        <v>157</v>
      </c>
      <c r="B519" s="177" t="s">
        <v>1863</v>
      </c>
      <c r="C519" s="177" t="s">
        <v>2144</v>
      </c>
      <c r="D519" s="177" t="s">
        <v>1876</v>
      </c>
      <c r="E519" s="177"/>
      <c r="F519" s="177"/>
      <c r="G519" s="177" t="s">
        <v>1877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0.2857142857142857</v>
      </c>
      <c r="Y519" s="181"/>
      <c r="Z519" s="181"/>
      <c r="AA519" s="181"/>
      <c r="AB519" s="181"/>
      <c r="AC519" s="228" t="s">
        <v>1923</v>
      </c>
      <c r="AD519" s="184" t="s">
        <v>1924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1783</v>
      </c>
      <c r="AL519" s="181">
        <v>1</v>
      </c>
      <c r="AM519" s="181"/>
      <c r="AN519" s="181"/>
      <c r="AO519" s="181"/>
      <c r="AP519" s="181" t="s">
        <v>1922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1925</v>
      </c>
      <c r="BB519" s="182" t="s">
        <v>1926</v>
      </c>
      <c r="BC519" s="182" t="s">
        <v>1927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>
      <c r="A520" s="117"/>
      <c r="B520" s="209" t="s">
        <v>1863</v>
      </c>
      <c r="C520" s="209" t="s">
        <v>2144</v>
      </c>
      <c r="D520" s="209" t="s">
        <v>1016</v>
      </c>
      <c r="E520" s="209" t="s">
        <v>1823</v>
      </c>
      <c r="F520" s="209" t="s">
        <v>1052</v>
      </c>
      <c r="G520" s="209" t="s">
        <v>1053</v>
      </c>
      <c r="H520" s="210"/>
      <c r="I520" s="211" t="s">
        <v>1017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976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1923</v>
      </c>
      <c r="AD520" s="226" t="s">
        <v>1924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1925</v>
      </c>
      <c r="BB520" s="213" t="s">
        <v>1926</v>
      </c>
      <c r="BC520" s="213" t="s">
        <v>1927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>
      <c r="A521" s="117"/>
      <c r="B521" s="209" t="s">
        <v>1863</v>
      </c>
      <c r="C521" s="209" t="s">
        <v>2144</v>
      </c>
      <c r="D521" s="209" t="s">
        <v>1010</v>
      </c>
      <c r="E521" s="209" t="s">
        <v>1802</v>
      </c>
      <c r="F521" s="209" t="s">
        <v>1047</v>
      </c>
      <c r="G521" s="209" t="s">
        <v>1048</v>
      </c>
      <c r="H521" s="210">
        <v>761</v>
      </c>
      <c r="I521" s="211" t="s">
        <v>1049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1923</v>
      </c>
      <c r="AD521" s="226" t="s">
        <v>1924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1925</v>
      </c>
      <c r="BB521" s="213" t="s">
        <v>1926</v>
      </c>
      <c r="BC521" s="213" t="s">
        <v>1927</v>
      </c>
      <c r="BD521" s="213" t="s">
        <v>140</v>
      </c>
      <c r="BE521" s="148"/>
      <c r="BF521" s="212" t="s">
        <v>1789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1790</v>
      </c>
      <c r="BZ521" s="158" t="s">
        <v>2207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>
      <c r="A522" s="117"/>
      <c r="B522" s="209" t="s">
        <v>1863</v>
      </c>
      <c r="C522" s="209" t="s">
        <v>2144</v>
      </c>
      <c r="D522" s="209" t="s">
        <v>13</v>
      </c>
      <c r="E522" s="209" t="s">
        <v>1788</v>
      </c>
      <c r="F522" s="209" t="s">
        <v>1056</v>
      </c>
      <c r="G522" s="209" t="s">
        <v>1057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1923</v>
      </c>
      <c r="AD522" s="226" t="s">
        <v>1924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1925</v>
      </c>
      <c r="BB522" s="213" t="s">
        <v>1926</v>
      </c>
      <c r="BC522" s="213" t="s">
        <v>1927</v>
      </c>
      <c r="BD522" s="213" t="s">
        <v>140</v>
      </c>
      <c r="BE522" s="148"/>
      <c r="BF522" s="212" t="s">
        <v>1789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1790</v>
      </c>
      <c r="BZ522" s="158" t="s">
        <v>2179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>
      <c r="A523" s="117"/>
      <c r="B523" s="209" t="s">
        <v>1863</v>
      </c>
      <c r="C523" s="209" t="s">
        <v>2144</v>
      </c>
      <c r="D523" s="209" t="s">
        <v>13</v>
      </c>
      <c r="E523" s="209" t="s">
        <v>1791</v>
      </c>
      <c r="F523" s="209" t="s">
        <v>1061</v>
      </c>
      <c r="G523" s="209" t="s">
        <v>1062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1923</v>
      </c>
      <c r="AD523" s="226" t="s">
        <v>1924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1925</v>
      </c>
      <c r="BB523" s="213" t="s">
        <v>1926</v>
      </c>
      <c r="BC523" s="213" t="s">
        <v>1927</v>
      </c>
      <c r="BD523" s="213" t="s">
        <v>140</v>
      </c>
      <c r="BE523" s="148"/>
      <c r="BF523" s="212" t="s">
        <v>1789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1790</v>
      </c>
      <c r="BZ523" s="158" t="s">
        <v>2156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>
      <c r="A524" s="117"/>
      <c r="B524" s="209" t="s">
        <v>1863</v>
      </c>
      <c r="C524" s="209" t="s">
        <v>2144</v>
      </c>
      <c r="D524" s="209" t="s">
        <v>13</v>
      </c>
      <c r="E524" s="209" t="s">
        <v>1792</v>
      </c>
      <c r="F524" s="209" t="s">
        <v>1064</v>
      </c>
      <c r="G524" s="209" t="s">
        <v>1065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1923</v>
      </c>
      <c r="AD524" s="226" t="s">
        <v>1924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1925</v>
      </c>
      <c r="BB524" s="213" t="s">
        <v>1926</v>
      </c>
      <c r="BC524" s="213" t="s">
        <v>1927</v>
      </c>
      <c r="BD524" s="213" t="s">
        <v>140</v>
      </c>
      <c r="BE524" s="148"/>
      <c r="BF524" s="212" t="s">
        <v>1789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1790</v>
      </c>
      <c r="BZ524" s="158" t="s">
        <v>2156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>
      <c r="A525" s="117"/>
      <c r="B525" s="209" t="s">
        <v>1863</v>
      </c>
      <c r="C525" s="209" t="s">
        <v>2144</v>
      </c>
      <c r="D525" s="209" t="s">
        <v>1055</v>
      </c>
      <c r="E525" s="209" t="s">
        <v>1878</v>
      </c>
      <c r="F525" s="209" t="s">
        <v>1054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976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1923</v>
      </c>
      <c r="AD525" s="226" t="s">
        <v>1924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1925</v>
      </c>
      <c r="BB525" s="213" t="s">
        <v>1926</v>
      </c>
      <c r="BC525" s="213" t="s">
        <v>1927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>
      <c r="A526" s="162">
        <v>158</v>
      </c>
      <c r="B526" s="177" t="s">
        <v>1863</v>
      </c>
      <c r="C526" s="177" t="s">
        <v>2146</v>
      </c>
      <c r="D526" s="177" t="s">
        <v>1879</v>
      </c>
      <c r="E526" s="177"/>
      <c r="F526" s="177"/>
      <c r="G526" s="177" t="s">
        <v>1880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1923</v>
      </c>
      <c r="AD526" s="184" t="s">
        <v>1924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1783</v>
      </c>
      <c r="AL526" s="181">
        <v>1</v>
      </c>
      <c r="AM526" s="181"/>
      <c r="AN526" s="181"/>
      <c r="AO526" s="181"/>
      <c r="AP526" s="181" t="s">
        <v>1922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1925</v>
      </c>
      <c r="BB526" s="182" t="s">
        <v>1926</v>
      </c>
      <c r="BC526" s="182" t="s">
        <v>1927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>
      <c r="A527" s="117"/>
      <c r="B527" s="209" t="s">
        <v>1863</v>
      </c>
      <c r="C527" s="209" t="s">
        <v>2146</v>
      </c>
      <c r="D527" s="209" t="s">
        <v>1016</v>
      </c>
      <c r="E527" s="209" t="s">
        <v>1823</v>
      </c>
      <c r="F527" s="209" t="s">
        <v>1067</v>
      </c>
      <c r="G527" s="209" t="s">
        <v>1053</v>
      </c>
      <c r="H527" s="210"/>
      <c r="I527" s="211" t="s">
        <v>1017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976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1923</v>
      </c>
      <c r="AD527" s="226" t="s">
        <v>1924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1925</v>
      </c>
      <c r="BB527" s="213" t="s">
        <v>1926</v>
      </c>
      <c r="BC527" s="213" t="s">
        <v>1927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>
      <c r="A528" s="117"/>
      <c r="B528" s="209" t="s">
        <v>1863</v>
      </c>
      <c r="C528" s="209" t="s">
        <v>2146</v>
      </c>
      <c r="D528" s="209" t="s">
        <v>1010</v>
      </c>
      <c r="E528" s="209" t="s">
        <v>1802</v>
      </c>
      <c r="F528" s="209" t="s">
        <v>1066</v>
      </c>
      <c r="G528" s="209" t="s">
        <v>1048</v>
      </c>
      <c r="H528" s="210">
        <v>604</v>
      </c>
      <c r="I528" s="211" t="s">
        <v>1049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1923</v>
      </c>
      <c r="AD528" s="226" t="s">
        <v>1924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1925</v>
      </c>
      <c r="BB528" s="213" t="s">
        <v>1926</v>
      </c>
      <c r="BC528" s="213" t="s">
        <v>1927</v>
      </c>
      <c r="BD528" s="213" t="s">
        <v>140</v>
      </c>
      <c r="BE528" s="148"/>
      <c r="BF528" s="212" t="s">
        <v>1789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1790</v>
      </c>
      <c r="BZ528" s="158" t="s">
        <v>2207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>
      <c r="A529" s="117"/>
      <c r="B529" s="209" t="s">
        <v>1863</v>
      </c>
      <c r="C529" s="209" t="s">
        <v>2146</v>
      </c>
      <c r="D529" s="209" t="s">
        <v>13</v>
      </c>
      <c r="E529" s="209" t="s">
        <v>1788</v>
      </c>
      <c r="F529" s="209" t="s">
        <v>1069</v>
      </c>
      <c r="G529" s="209" t="s">
        <v>1070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1923</v>
      </c>
      <c r="AD529" s="226" t="s">
        <v>1924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1925</v>
      </c>
      <c r="BB529" s="213" t="s">
        <v>1926</v>
      </c>
      <c r="BC529" s="213" t="s">
        <v>1927</v>
      </c>
      <c r="BD529" s="213" t="s">
        <v>140</v>
      </c>
      <c r="BE529" s="148"/>
      <c r="BF529" s="212" t="s">
        <v>1789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1790</v>
      </c>
      <c r="BZ529" s="167" t="s">
        <v>2191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>
      <c r="A530" s="117"/>
      <c r="B530" s="209" t="s">
        <v>1863</v>
      </c>
      <c r="C530" s="209" t="s">
        <v>2146</v>
      </c>
      <c r="D530" s="209" t="s">
        <v>1055</v>
      </c>
      <c r="E530" s="209" t="s">
        <v>1878</v>
      </c>
      <c r="F530" s="209" t="s">
        <v>1068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976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1923</v>
      </c>
      <c r="AD530" s="226" t="s">
        <v>1924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1925</v>
      </c>
      <c r="BB530" s="213" t="s">
        <v>1926</v>
      </c>
      <c r="BC530" s="213" t="s">
        <v>1927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>
      <c r="A531" s="162">
        <v>159</v>
      </c>
      <c r="B531" s="177" t="s">
        <v>1863</v>
      </c>
      <c r="C531" s="177" t="s">
        <v>2147</v>
      </c>
      <c r="D531" s="177" t="s">
        <v>1881</v>
      </c>
      <c r="E531" s="177"/>
      <c r="F531" s="177"/>
      <c r="G531" s="177" t="s">
        <v>1882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1923</v>
      </c>
      <c r="AD531" s="184" t="s">
        <v>1924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1783</v>
      </c>
      <c r="AL531" s="181">
        <v>1</v>
      </c>
      <c r="AM531" s="181"/>
      <c r="AN531" s="181"/>
      <c r="AO531" s="181"/>
      <c r="AP531" s="181" t="s">
        <v>1922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1925</v>
      </c>
      <c r="BB531" s="182" t="s">
        <v>1926</v>
      </c>
      <c r="BC531" s="182" t="s">
        <v>1927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>
      <c r="A532" s="117"/>
      <c r="B532" s="209" t="s">
        <v>1863</v>
      </c>
      <c r="C532" s="209" t="s">
        <v>2147</v>
      </c>
      <c r="D532" s="209" t="s">
        <v>1073</v>
      </c>
      <c r="E532" s="209" t="s">
        <v>1883</v>
      </c>
      <c r="F532" s="209" t="s">
        <v>1071</v>
      </c>
      <c r="G532" s="209" t="s">
        <v>1072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1923</v>
      </c>
      <c r="AD532" s="226" t="s">
        <v>1924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1925</v>
      </c>
      <c r="BB532" s="213" t="s">
        <v>1926</v>
      </c>
      <c r="BC532" s="213" t="s">
        <v>1927</v>
      </c>
      <c r="BD532" s="213" t="s">
        <v>140</v>
      </c>
      <c r="BE532" s="148"/>
      <c r="BF532" s="212" t="s">
        <v>1789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1790</v>
      </c>
      <c r="BZ532" s="158" t="s">
        <v>2193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>
      <c r="A533" s="162">
        <v>160</v>
      </c>
      <c r="B533" s="177" t="s">
        <v>1985</v>
      </c>
      <c r="C533" s="177" t="s">
        <v>2148</v>
      </c>
      <c r="D533" s="177" t="s">
        <v>1884</v>
      </c>
      <c r="E533" s="177"/>
      <c r="F533" s="177"/>
      <c r="G533" s="177" t="s">
        <v>1885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2006</v>
      </c>
      <c r="AD533" s="184" t="s">
        <v>1924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1783</v>
      </c>
      <c r="AL533" s="181">
        <v>21</v>
      </c>
      <c r="AM533" s="181"/>
      <c r="AN533" s="181">
        <v>21</v>
      </c>
      <c r="AO533" s="181"/>
      <c r="AP533" s="181" t="s">
        <v>1922</v>
      </c>
      <c r="AQ533" s="181">
        <v>21</v>
      </c>
      <c r="AR533" s="181"/>
      <c r="AS533" s="181">
        <v>21</v>
      </c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2007</v>
      </c>
      <c r="BB533" s="182" t="s">
        <v>2008</v>
      </c>
      <c r="BC533" s="182" t="s">
        <v>2009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>
      <c r="A534" s="162">
        <v>161</v>
      </c>
      <c r="B534" s="177" t="s">
        <v>1985</v>
      </c>
      <c r="C534" s="177" t="s">
        <v>2208</v>
      </c>
      <c r="D534" s="177" t="s">
        <v>1884</v>
      </c>
      <c r="E534" s="177"/>
      <c r="F534" s="177"/>
      <c r="G534" s="177" t="s">
        <v>1885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1923</v>
      </c>
      <c r="AD534" s="184" t="s">
        <v>1924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1783</v>
      </c>
      <c r="AL534" s="181">
        <v>1</v>
      </c>
      <c r="AM534" s="181"/>
      <c r="AN534" s="181">
        <v>1</v>
      </c>
      <c r="AO534" s="181"/>
      <c r="AP534" s="181" t="s">
        <v>1922</v>
      </c>
      <c r="AQ534" s="181">
        <v>1</v>
      </c>
      <c r="AR534" s="181"/>
      <c r="AS534" s="181">
        <v>1</v>
      </c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1925</v>
      </c>
      <c r="BB534" s="182" t="s">
        <v>1926</v>
      </c>
      <c r="BC534" s="182" t="s">
        <v>1927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>
      <c r="A535" s="162">
        <v>162</v>
      </c>
      <c r="B535" s="177" t="s">
        <v>1985</v>
      </c>
      <c r="C535" s="177" t="s">
        <v>2209</v>
      </c>
      <c r="D535" s="177" t="s">
        <v>1884</v>
      </c>
      <c r="E535" s="177"/>
      <c r="F535" s="177"/>
      <c r="G535" s="177" t="s">
        <v>1885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1923</v>
      </c>
      <c r="AD535" s="184" t="s">
        <v>1924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1783</v>
      </c>
      <c r="AL535" s="181">
        <v>1</v>
      </c>
      <c r="AM535" s="181"/>
      <c r="AN535" s="181">
        <v>1</v>
      </c>
      <c r="AO535" s="181"/>
      <c r="AP535" s="181" t="s">
        <v>1922</v>
      </c>
      <c r="AQ535" s="181">
        <v>1</v>
      </c>
      <c r="AR535" s="181"/>
      <c r="AS535" s="181">
        <v>1</v>
      </c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1925</v>
      </c>
      <c r="BB535" s="182" t="s">
        <v>1926</v>
      </c>
      <c r="BC535" s="182" t="s">
        <v>1927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>
      <c r="A536" s="162">
        <v>163</v>
      </c>
      <c r="B536" s="177" t="s">
        <v>1985</v>
      </c>
      <c r="C536" s="177" t="s">
        <v>2210</v>
      </c>
      <c r="D536" s="177" t="s">
        <v>1884</v>
      </c>
      <c r="E536" s="177"/>
      <c r="F536" s="177"/>
      <c r="G536" s="177" t="s">
        <v>1885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1923</v>
      </c>
      <c r="AD536" s="184" t="s">
        <v>1924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1783</v>
      </c>
      <c r="AL536" s="181">
        <v>1</v>
      </c>
      <c r="AM536" s="181"/>
      <c r="AN536" s="181">
        <v>1</v>
      </c>
      <c r="AO536" s="181"/>
      <c r="AP536" s="181" t="s">
        <v>1922</v>
      </c>
      <c r="AQ536" s="181">
        <v>1</v>
      </c>
      <c r="AR536" s="181"/>
      <c r="AS536" s="181">
        <v>1</v>
      </c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1925</v>
      </c>
      <c r="BB536" s="182" t="s">
        <v>1926</v>
      </c>
      <c r="BC536" s="182" t="s">
        <v>1927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>
      <c r="A537" s="162">
        <v>164</v>
      </c>
      <c r="B537" s="177" t="s">
        <v>1985</v>
      </c>
      <c r="C537" s="177" t="s">
        <v>2151</v>
      </c>
      <c r="D537" s="177" t="s">
        <v>1886</v>
      </c>
      <c r="E537" s="177"/>
      <c r="F537" s="177"/>
      <c r="G537" s="177" t="s">
        <v>1887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1923</v>
      </c>
      <c r="AD537" s="184" t="s">
        <v>1924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1783</v>
      </c>
      <c r="AL537" s="181">
        <v>1</v>
      </c>
      <c r="AM537" s="181"/>
      <c r="AN537" s="181"/>
      <c r="AO537" s="181"/>
      <c r="AP537" s="181" t="s">
        <v>1922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1925</v>
      </c>
      <c r="BB537" s="182" t="s">
        <v>1926</v>
      </c>
      <c r="BC537" s="182" t="s">
        <v>1927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>
      <c r="A538" s="162">
        <v>165</v>
      </c>
      <c r="B538" s="177" t="s">
        <v>1985</v>
      </c>
      <c r="C538" s="177" t="s">
        <v>1892</v>
      </c>
      <c r="D538" s="177" t="s">
        <v>1893</v>
      </c>
      <c r="E538" s="177"/>
      <c r="F538" s="177"/>
      <c r="G538" s="177" t="s">
        <v>1894</v>
      </c>
      <c r="H538" s="178"/>
      <c r="I538" s="179" t="s">
        <v>1895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1923</v>
      </c>
      <c r="AD538" s="184" t="s">
        <v>1924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1783</v>
      </c>
      <c r="AL538" s="181">
        <v>1</v>
      </c>
      <c r="AM538" s="181"/>
      <c r="AN538" s="181"/>
      <c r="AO538" s="181"/>
      <c r="AP538" s="181" t="s">
        <v>1922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1925</v>
      </c>
      <c r="BB538" s="182" t="s">
        <v>1926</v>
      </c>
      <c r="BC538" s="182" t="s">
        <v>1927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>
      <c r="A539" s="162">
        <v>166</v>
      </c>
      <c r="B539" s="177" t="s">
        <v>1985</v>
      </c>
      <c r="C539" s="177" t="s">
        <v>1896</v>
      </c>
      <c r="D539" s="177" t="s">
        <v>1897</v>
      </c>
      <c r="E539" s="177"/>
      <c r="F539" s="177"/>
      <c r="G539" s="177" t="s">
        <v>1898</v>
      </c>
      <c r="H539" s="178"/>
      <c r="I539" s="179" t="s">
        <v>1899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1923</v>
      </c>
      <c r="AD539" s="184" t="s">
        <v>1924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1783</v>
      </c>
      <c r="AL539" s="181">
        <v>1</v>
      </c>
      <c r="AM539" s="181"/>
      <c r="AN539" s="181"/>
      <c r="AO539" s="181"/>
      <c r="AP539" s="181" t="s">
        <v>1922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1925</v>
      </c>
      <c r="BB539" s="182" t="s">
        <v>1926</v>
      </c>
      <c r="BC539" s="182" t="s">
        <v>1927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>
      <c r="A540" s="162">
        <v>167</v>
      </c>
      <c r="B540" s="177" t="s">
        <v>1985</v>
      </c>
      <c r="C540" s="177" t="s">
        <v>2010</v>
      </c>
      <c r="D540" s="177" t="s">
        <v>2011</v>
      </c>
      <c r="E540" s="177"/>
      <c r="F540" s="177"/>
      <c r="G540" s="177" t="s">
        <v>1890</v>
      </c>
      <c r="H540" s="178"/>
      <c r="I540" s="179" t="s">
        <v>1903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1990</v>
      </c>
      <c r="AD540" s="184" t="s">
        <v>1924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1783</v>
      </c>
      <c r="AL540" s="181">
        <v>1</v>
      </c>
      <c r="AM540" s="181"/>
      <c r="AN540" s="181"/>
      <c r="AO540" s="181"/>
      <c r="AP540" s="181" t="s">
        <v>1922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1991</v>
      </c>
      <c r="BB540" s="182" t="s">
        <v>1992</v>
      </c>
      <c r="BC540" s="182" t="s">
        <v>1993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>
      <c r="A541" s="162">
        <v>168</v>
      </c>
      <c r="B541" s="177" t="s">
        <v>1985</v>
      </c>
      <c r="C541" s="177" t="s">
        <v>1900</v>
      </c>
      <c r="D541" s="177" t="s">
        <v>1901</v>
      </c>
      <c r="E541" s="177"/>
      <c r="F541" s="177"/>
      <c r="G541" s="177" t="s">
        <v>1902</v>
      </c>
      <c r="H541" s="178"/>
      <c r="I541" s="179" t="s">
        <v>1903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1996</v>
      </c>
      <c r="AD541" s="184" t="s">
        <v>1924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1783</v>
      </c>
      <c r="AL541" s="181">
        <v>2</v>
      </c>
      <c r="AM541" s="181"/>
      <c r="AN541" s="181"/>
      <c r="AO541" s="181"/>
      <c r="AP541" s="181" t="s">
        <v>1922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1997</v>
      </c>
      <c r="BB541" s="182" t="s">
        <v>1998</v>
      </c>
      <c r="BC541" s="182" t="s">
        <v>1999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>
      <c r="A542" s="162">
        <v>169</v>
      </c>
      <c r="B542" s="177" t="s">
        <v>1985</v>
      </c>
      <c r="C542" s="177" t="s">
        <v>1904</v>
      </c>
      <c r="D542" s="177" t="s">
        <v>1901</v>
      </c>
      <c r="E542" s="177"/>
      <c r="F542" s="177"/>
      <c r="G542" s="177" t="s">
        <v>1905</v>
      </c>
      <c r="H542" s="178"/>
      <c r="I542" s="179" t="s">
        <v>1903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2012</v>
      </c>
      <c r="AD542" s="184" t="s">
        <v>1924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1783</v>
      </c>
      <c r="AL542" s="181">
        <v>28</v>
      </c>
      <c r="AM542" s="181"/>
      <c r="AN542" s="181"/>
      <c r="AO542" s="181"/>
      <c r="AP542" s="181" t="s">
        <v>1922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2013</v>
      </c>
      <c r="BB542" s="182" t="s">
        <v>2014</v>
      </c>
      <c r="BC542" s="182" t="s">
        <v>2015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>
      <c r="A543" s="162">
        <v>170</v>
      </c>
      <c r="B543" s="177" t="s">
        <v>1985</v>
      </c>
      <c r="C543" s="177" t="s">
        <v>1906</v>
      </c>
      <c r="D543" s="177" t="s">
        <v>1907</v>
      </c>
      <c r="E543" s="177"/>
      <c r="F543" s="177"/>
      <c r="G543" s="177" t="s">
        <v>1908</v>
      </c>
      <c r="H543" s="178"/>
      <c r="I543" s="179" t="s">
        <v>1912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2016</v>
      </c>
      <c r="AD543" s="184" t="s">
        <v>1924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1783</v>
      </c>
      <c r="AL543" s="181">
        <v>26</v>
      </c>
      <c r="AM543" s="181"/>
      <c r="AN543" s="181"/>
      <c r="AO543" s="181"/>
      <c r="AP543" s="181" t="s">
        <v>1922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2017</v>
      </c>
      <c r="BB543" s="182" t="s">
        <v>2018</v>
      </c>
      <c r="BC543" s="182" t="s">
        <v>2019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>
      <c r="A544" s="162">
        <v>171</v>
      </c>
      <c r="B544" s="177" t="s">
        <v>1985</v>
      </c>
      <c r="C544" s="177" t="s">
        <v>1910</v>
      </c>
      <c r="D544" s="177" t="s">
        <v>1907</v>
      </c>
      <c r="E544" s="177"/>
      <c r="F544" s="177"/>
      <c r="G544" s="177" t="s">
        <v>1911</v>
      </c>
      <c r="H544" s="178"/>
      <c r="I544" s="179" t="s">
        <v>1912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2020</v>
      </c>
      <c r="AD544" s="184" t="s">
        <v>1924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1783</v>
      </c>
      <c r="AL544" s="181">
        <v>52</v>
      </c>
      <c r="AM544" s="181"/>
      <c r="AN544" s="181"/>
      <c r="AO544" s="181"/>
      <c r="AP544" s="181" t="s">
        <v>1922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2021</v>
      </c>
      <c r="BB544" s="182" t="s">
        <v>2022</v>
      </c>
      <c r="BC544" s="182" t="s">
        <v>2023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>
      <c r="A545" s="162">
        <v>172</v>
      </c>
      <c r="B545" s="177" t="s">
        <v>1985</v>
      </c>
      <c r="C545" s="177" t="s">
        <v>1913</v>
      </c>
      <c r="D545" s="177" t="s">
        <v>1907</v>
      </c>
      <c r="E545" s="177"/>
      <c r="F545" s="177"/>
      <c r="G545" s="177" t="s">
        <v>1914</v>
      </c>
      <c r="H545" s="178"/>
      <c r="I545" s="179" t="s">
        <v>1912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2024</v>
      </c>
      <c r="AD545" s="184" t="s">
        <v>1924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1783</v>
      </c>
      <c r="AL545" s="181">
        <v>3</v>
      </c>
      <c r="AM545" s="181"/>
      <c r="AN545" s="181"/>
      <c r="AO545" s="181"/>
      <c r="AP545" s="181" t="s">
        <v>1922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2025</v>
      </c>
      <c r="BB545" s="182" t="s">
        <v>2026</v>
      </c>
      <c r="BC545" s="182" t="s">
        <v>2027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>
      <c r="A546" s="162">
        <v>173</v>
      </c>
      <c r="B546" s="177" t="s">
        <v>1985</v>
      </c>
      <c r="C546" s="177" t="s">
        <v>1915</v>
      </c>
      <c r="D546" s="177" t="s">
        <v>1073</v>
      </c>
      <c r="E546" s="177"/>
      <c r="F546" s="177"/>
      <c r="G546" s="177" t="s">
        <v>1914</v>
      </c>
      <c r="H546" s="178"/>
      <c r="I546" s="179" t="s">
        <v>1916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1986</v>
      </c>
      <c r="AD546" s="184" t="s">
        <v>1924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1783</v>
      </c>
      <c r="AL546" s="181">
        <v>2</v>
      </c>
      <c r="AM546" s="181"/>
      <c r="AN546" s="181"/>
      <c r="AO546" s="181"/>
      <c r="AP546" s="181" t="s">
        <v>1922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1987</v>
      </c>
      <c r="BB546" s="182" t="s">
        <v>1988</v>
      </c>
      <c r="BC546" s="182" t="s">
        <v>1989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>
      <c r="A547" s="162">
        <v>174</v>
      </c>
      <c r="B547" s="177" t="s">
        <v>1985</v>
      </c>
      <c r="C547" s="177" t="s">
        <v>1917</v>
      </c>
      <c r="D547" s="177" t="s">
        <v>1073</v>
      </c>
      <c r="E547" s="177"/>
      <c r="F547" s="177"/>
      <c r="G547" s="177" t="s">
        <v>1908</v>
      </c>
      <c r="H547" s="178"/>
      <c r="I547" s="179" t="s">
        <v>1916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2028</v>
      </c>
      <c r="AD547" s="184" t="s">
        <v>1924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1783</v>
      </c>
      <c r="AL547" s="181">
        <v>36</v>
      </c>
      <c r="AM547" s="181"/>
      <c r="AN547" s="181"/>
      <c r="AO547" s="181"/>
      <c r="AP547" s="181" t="s">
        <v>1922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2029</v>
      </c>
      <c r="BB547" s="182" t="s">
        <v>2030</v>
      </c>
      <c r="BC547" s="182" t="s">
        <v>2031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>
      <c r="A548" s="162">
        <v>175</v>
      </c>
      <c r="B548" s="177" t="s">
        <v>1985</v>
      </c>
      <c r="C548" s="177" t="s">
        <v>1918</v>
      </c>
      <c r="D548" s="177" t="s">
        <v>1073</v>
      </c>
      <c r="E548" s="177"/>
      <c r="F548" s="177"/>
      <c r="G548" s="177" t="s">
        <v>1911</v>
      </c>
      <c r="H548" s="178"/>
      <c r="I548" s="179" t="s">
        <v>1916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2032</v>
      </c>
      <c r="AD548" s="184" t="s">
        <v>1924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1783</v>
      </c>
      <c r="AL548" s="181">
        <v>96</v>
      </c>
      <c r="AM548" s="181"/>
      <c r="AN548" s="181"/>
      <c r="AO548" s="181"/>
      <c r="AP548" s="181" t="s">
        <v>1922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2033</v>
      </c>
      <c r="BB548" s="182" t="s">
        <v>2034</v>
      </c>
      <c r="BC548" s="182" t="s">
        <v>2035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>
      <c r="A549" s="162">
        <v>31</v>
      </c>
      <c r="B549" s="177" t="s">
        <v>1780</v>
      </c>
      <c r="C549" s="177" t="s">
        <v>2097</v>
      </c>
      <c r="D549" s="177" t="s">
        <v>1781</v>
      </c>
      <c r="E549" s="177"/>
      <c r="F549" s="177"/>
      <c r="G549" s="177" t="s">
        <v>1782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1784</v>
      </c>
      <c r="AD549" s="184" t="s">
        <v>1785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1783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>
      <c r="A550" s="186"/>
      <c r="B550" s="187" t="s">
        <v>1780</v>
      </c>
      <c r="C550" s="187" t="s">
        <v>2098</v>
      </c>
      <c r="D550" s="187"/>
      <c r="E550" s="187"/>
      <c r="F550" s="187"/>
      <c r="G550" s="187" t="s">
        <v>1786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0.22727272727272727</v>
      </c>
      <c r="Y550" s="192"/>
      <c r="Z550" s="192"/>
      <c r="AA550" s="192"/>
      <c r="AB550" s="192"/>
      <c r="AC550" s="194" t="s">
        <v>1784</v>
      </c>
      <c r="AD550" s="195" t="s">
        <v>1785</v>
      </c>
      <c r="AE550" s="196" t="s">
        <v>1787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>
      <c r="A551" s="141"/>
      <c r="B551" s="209" t="s">
        <v>1780</v>
      </c>
      <c r="C551" s="199" t="s">
        <v>2098</v>
      </c>
      <c r="D551" s="199" t="s">
        <v>1084</v>
      </c>
      <c r="E551" s="199" t="s">
        <v>1788</v>
      </c>
      <c r="F551" s="199" t="s">
        <v>1082</v>
      </c>
      <c r="G551" s="199" t="s">
        <v>1083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1784</v>
      </c>
      <c r="AD551" s="206" t="s">
        <v>1785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1789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1790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>
      <c r="A552" s="141"/>
      <c r="B552" s="199" t="s">
        <v>1780</v>
      </c>
      <c r="C552" s="199" t="s">
        <v>2098</v>
      </c>
      <c r="D552" s="199" t="s">
        <v>13</v>
      </c>
      <c r="E552" s="199" t="s">
        <v>1791</v>
      </c>
      <c r="F552" s="199" t="s">
        <v>1091</v>
      </c>
      <c r="G552" s="199" t="s">
        <v>1092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1784</v>
      </c>
      <c r="AD552" s="206" t="s">
        <v>1785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1789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1790</v>
      </c>
      <c r="BZ552" s="141" t="s">
        <v>2100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>
      <c r="A553" s="141"/>
      <c r="B553" s="199" t="s">
        <v>1780</v>
      </c>
      <c r="C553" s="199" t="s">
        <v>2098</v>
      </c>
      <c r="D553" s="199" t="s">
        <v>13</v>
      </c>
      <c r="E553" s="199" t="s">
        <v>1792</v>
      </c>
      <c r="F553" s="199" t="s">
        <v>1095</v>
      </c>
      <c r="G553" s="199" t="s">
        <v>1096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1784</v>
      </c>
      <c r="AD553" s="206" t="s">
        <v>1785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1789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1790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>
      <c r="A554" s="141"/>
      <c r="B554" s="199" t="s">
        <v>1780</v>
      </c>
      <c r="C554" s="199" t="s">
        <v>2098</v>
      </c>
      <c r="D554" s="199" t="s">
        <v>13</v>
      </c>
      <c r="E554" s="199" t="s">
        <v>1793</v>
      </c>
      <c r="F554" s="199" t="s">
        <v>1097</v>
      </c>
      <c r="G554" s="199" t="s">
        <v>1098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1784</v>
      </c>
      <c r="AD554" s="206" t="s">
        <v>1785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1789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1790</v>
      </c>
      <c r="BZ554" s="141" t="s">
        <v>2101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>
      <c r="A555" s="141"/>
      <c r="B555" s="199" t="s">
        <v>1780</v>
      </c>
      <c r="C555" s="199" t="s">
        <v>2098</v>
      </c>
      <c r="D555" s="199" t="s">
        <v>13</v>
      </c>
      <c r="E555" s="199" t="s">
        <v>1794</v>
      </c>
      <c r="F555" s="199" t="s">
        <v>1101</v>
      </c>
      <c r="G555" s="199" t="s">
        <v>1030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1784</v>
      </c>
      <c r="AD555" s="206" t="s">
        <v>1785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1789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1790</v>
      </c>
      <c r="BZ555" s="141" t="s">
        <v>2099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>
      <c r="A556" s="141"/>
      <c r="B556" s="199" t="s">
        <v>1780</v>
      </c>
      <c r="C556" s="199" t="s">
        <v>2098</v>
      </c>
      <c r="D556" s="199" t="s">
        <v>13</v>
      </c>
      <c r="E556" s="199" t="s">
        <v>1795</v>
      </c>
      <c r="F556" s="199" t="s">
        <v>1102</v>
      </c>
      <c r="G556" s="199" t="s">
        <v>1030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1784</v>
      </c>
      <c r="AD556" s="206" t="s">
        <v>1785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1789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1790</v>
      </c>
      <c r="BZ556" s="141" t="s">
        <v>2099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>
      <c r="A557" s="141"/>
      <c r="B557" s="199" t="s">
        <v>1780</v>
      </c>
      <c r="C557" s="199" t="s">
        <v>2098</v>
      </c>
      <c r="D557" s="199" t="s">
        <v>13</v>
      </c>
      <c r="E557" s="199" t="s">
        <v>1796</v>
      </c>
      <c r="F557" s="199" t="s">
        <v>1103</v>
      </c>
      <c r="G557" s="199" t="s">
        <v>1104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1784</v>
      </c>
      <c r="AD557" s="206" t="s">
        <v>1785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1789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1790</v>
      </c>
      <c r="BZ557" s="141" t="s">
        <v>2101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>
      <c r="A558" s="141"/>
      <c r="B558" s="199" t="s">
        <v>1780</v>
      </c>
      <c r="C558" s="199" t="s">
        <v>2098</v>
      </c>
      <c r="D558" s="199" t="s">
        <v>13</v>
      </c>
      <c r="E558" s="199" t="s">
        <v>1797</v>
      </c>
      <c r="F558" s="199" t="s">
        <v>1105</v>
      </c>
      <c r="G558" s="199" t="s">
        <v>1106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1784</v>
      </c>
      <c r="AD558" s="206" t="s">
        <v>1785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1790</v>
      </c>
      <c r="BZ558" s="141" t="s">
        <v>2102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>
      <c r="A559" s="141"/>
      <c r="B559" s="199" t="s">
        <v>1780</v>
      </c>
      <c r="C559" s="199" t="s">
        <v>2098</v>
      </c>
      <c r="D559" s="199" t="s">
        <v>13</v>
      </c>
      <c r="E559" s="199" t="s">
        <v>1798</v>
      </c>
      <c r="F559" s="199" t="s">
        <v>1108</v>
      </c>
      <c r="G559" s="199" t="s">
        <v>1109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1784</v>
      </c>
      <c r="AD559" s="206" t="s">
        <v>1785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1789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1790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>
      <c r="A560" s="141"/>
      <c r="B560" s="199" t="s">
        <v>1780</v>
      </c>
      <c r="C560" s="199" t="s">
        <v>2098</v>
      </c>
      <c r="D560" s="199" t="s">
        <v>13</v>
      </c>
      <c r="E560" s="199" t="s">
        <v>1799</v>
      </c>
      <c r="F560" s="199" t="s">
        <v>1085</v>
      </c>
      <c r="G560" s="199" t="s">
        <v>1086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1784</v>
      </c>
      <c r="AD560" s="206" t="s">
        <v>1785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1789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1790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>
      <c r="A561" s="141"/>
      <c r="B561" s="199" t="s">
        <v>1780</v>
      </c>
      <c r="C561" s="199" t="s">
        <v>2098</v>
      </c>
      <c r="D561" s="199" t="s">
        <v>13</v>
      </c>
      <c r="E561" s="199" t="s">
        <v>1800</v>
      </c>
      <c r="F561" s="199" t="s">
        <v>1087</v>
      </c>
      <c r="G561" s="199" t="s">
        <v>1088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1784</v>
      </c>
      <c r="AD561" s="206" t="s">
        <v>1785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1789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1790</v>
      </c>
      <c r="BZ561" s="141" t="s">
        <v>2099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>
      <c r="A562" s="141"/>
      <c r="B562" s="199" t="s">
        <v>1780</v>
      </c>
      <c r="C562" s="199" t="s">
        <v>2098</v>
      </c>
      <c r="D562" s="199" t="s">
        <v>13</v>
      </c>
      <c r="E562" s="199" t="s">
        <v>1801</v>
      </c>
      <c r="F562" s="199" t="s">
        <v>1089</v>
      </c>
      <c r="G562" s="199" t="s">
        <v>1090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10</v>
      </c>
      <c r="U562" s="203">
        <f t="shared" ca="1" si="1253"/>
        <v>0</v>
      </c>
      <c r="V562" s="203">
        <f t="shared" ca="1" si="1254"/>
        <v>1</v>
      </c>
      <c r="W562" s="203"/>
      <c r="X562" s="203"/>
      <c r="Y562" s="203"/>
      <c r="Z562" s="203"/>
      <c r="AA562" s="203"/>
      <c r="AB562" s="203"/>
      <c r="AC562" s="205" t="s">
        <v>1784</v>
      </c>
      <c r="AD562" s="206" t="s">
        <v>1785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10</v>
      </c>
      <c r="AY562" s="203">
        <f t="shared" ca="1" si="1269"/>
        <v>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1789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1790</v>
      </c>
      <c r="BZ562" s="141" t="s">
        <v>2103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>
      <c r="A563" s="141"/>
      <c r="B563" s="199" t="s">
        <v>1780</v>
      </c>
      <c r="C563" s="199" t="s">
        <v>2098</v>
      </c>
      <c r="D563" s="199" t="s">
        <v>1076</v>
      </c>
      <c r="E563" s="199" t="s">
        <v>1802</v>
      </c>
      <c r="F563" s="199" t="s">
        <v>1074</v>
      </c>
      <c r="G563" s="199" t="s">
        <v>1075</v>
      </c>
      <c r="H563" s="200">
        <v>812</v>
      </c>
      <c r="I563" s="201" t="s">
        <v>1077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1784</v>
      </c>
      <c r="AD563" s="206" t="s">
        <v>1785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1789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1790</v>
      </c>
      <c r="BZ563" s="141" t="s">
        <v>2104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>
      <c r="A564" s="141"/>
      <c r="B564" s="199" t="s">
        <v>1780</v>
      </c>
      <c r="C564" s="199" t="s">
        <v>2098</v>
      </c>
      <c r="D564" s="199" t="s">
        <v>1076</v>
      </c>
      <c r="E564" s="199" t="s">
        <v>1803</v>
      </c>
      <c r="F564" s="199" t="s">
        <v>1079</v>
      </c>
      <c r="G564" s="199" t="s">
        <v>1080</v>
      </c>
      <c r="H564" s="200">
        <v>737</v>
      </c>
      <c r="I564" s="201" t="s">
        <v>1077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1784</v>
      </c>
      <c r="AD564" s="206" t="s">
        <v>1785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1789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1790</v>
      </c>
      <c r="BZ564" s="141" t="s">
        <v>2105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>
      <c r="A565" s="186"/>
      <c r="B565" s="187" t="s">
        <v>1780</v>
      </c>
      <c r="C565" s="187" t="s">
        <v>2106</v>
      </c>
      <c r="D565" s="187"/>
      <c r="E565" s="187"/>
      <c r="F565" s="187"/>
      <c r="G565" s="187" t="s">
        <v>1804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1784</v>
      </c>
      <c r="AD565" s="195" t="s">
        <v>1785</v>
      </c>
      <c r="AE565" s="196" t="s">
        <v>1787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>
      <c r="A566" s="141"/>
      <c r="B566" s="199" t="s">
        <v>1780</v>
      </c>
      <c r="C566" s="199" t="s">
        <v>2106</v>
      </c>
      <c r="D566" s="199" t="s">
        <v>1084</v>
      </c>
      <c r="E566" s="199" t="s">
        <v>1805</v>
      </c>
      <c r="F566" s="199" t="s">
        <v>1110</v>
      </c>
      <c r="G566" s="199" t="s">
        <v>1083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1784</v>
      </c>
      <c r="AD566" s="206" t="s">
        <v>1785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1789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1790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>
      <c r="A567" s="141"/>
      <c r="B567" s="199" t="s">
        <v>1780</v>
      </c>
      <c r="C567" s="199" t="s">
        <v>2106</v>
      </c>
      <c r="D567" s="199" t="s">
        <v>13</v>
      </c>
      <c r="E567" s="199" t="s">
        <v>1806</v>
      </c>
      <c r="F567" s="199" t="s">
        <v>1111</v>
      </c>
      <c r="G567" s="199" t="s">
        <v>1096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1784</v>
      </c>
      <c r="AD567" s="206" t="s">
        <v>1785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1789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1790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>
      <c r="A568" s="141"/>
      <c r="B568" s="199" t="s">
        <v>1780</v>
      </c>
      <c r="C568" s="199" t="s">
        <v>2106</v>
      </c>
      <c r="D568" s="199" t="s">
        <v>13</v>
      </c>
      <c r="E568" s="199" t="s">
        <v>1807</v>
      </c>
      <c r="F568" s="199" t="s">
        <v>1112</v>
      </c>
      <c r="G568" s="199" t="s">
        <v>1113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1784</v>
      </c>
      <c r="AD568" s="206" t="s">
        <v>1785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1789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1790</v>
      </c>
      <c r="BZ568" s="141" t="s">
        <v>2101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>
      <c r="A569" s="141"/>
      <c r="B569" s="199" t="s">
        <v>1780</v>
      </c>
      <c r="C569" s="199" t="s">
        <v>2106</v>
      </c>
      <c r="D569" s="199" t="s">
        <v>13</v>
      </c>
      <c r="E569" s="199" t="s">
        <v>1808</v>
      </c>
      <c r="F569" s="199" t="s">
        <v>1114</v>
      </c>
      <c r="G569" s="199" t="s">
        <v>1115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1784</v>
      </c>
      <c r="AD569" s="206" t="s">
        <v>1785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1789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1790</v>
      </c>
      <c r="BZ569" s="141" t="s">
        <v>2099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>
      <c r="A570" s="141"/>
      <c r="B570" s="199" t="s">
        <v>1780</v>
      </c>
      <c r="C570" s="199" t="s">
        <v>2106</v>
      </c>
      <c r="D570" s="199" t="s">
        <v>1076</v>
      </c>
      <c r="E570" s="199" t="s">
        <v>1809</v>
      </c>
      <c r="F570" s="199" t="s">
        <v>1116</v>
      </c>
      <c r="G570" s="199" t="s">
        <v>1117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1784</v>
      </c>
      <c r="AD570" s="206" t="s">
        <v>1785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1789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1790</v>
      </c>
      <c r="BZ570" s="141" t="s">
        <v>2100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>
      <c r="A571" s="186"/>
      <c r="B571" s="187" t="s">
        <v>1780</v>
      </c>
      <c r="C571" s="187" t="s">
        <v>2107</v>
      </c>
      <c r="D571" s="187"/>
      <c r="E571" s="187"/>
      <c r="F571" s="187"/>
      <c r="G571" s="187" t="s">
        <v>1810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1784</v>
      </c>
      <c r="AD571" s="195" t="s">
        <v>1785</v>
      </c>
      <c r="AE571" s="196" t="s">
        <v>1787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>
      <c r="A572" s="117"/>
      <c r="B572" s="209" t="s">
        <v>1780</v>
      </c>
      <c r="C572" s="209" t="s">
        <v>2107</v>
      </c>
      <c r="D572" s="209" t="s">
        <v>1084</v>
      </c>
      <c r="E572" s="209" t="s">
        <v>1805</v>
      </c>
      <c r="F572" s="209" t="s">
        <v>1118</v>
      </c>
      <c r="G572" s="209" t="s">
        <v>1083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1784</v>
      </c>
      <c r="AD572" s="215" t="s">
        <v>1785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1789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1790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>
      <c r="A573" s="141"/>
      <c r="B573" s="199" t="s">
        <v>1780</v>
      </c>
      <c r="C573" s="199" t="s">
        <v>2107</v>
      </c>
      <c r="D573" s="199" t="s">
        <v>13</v>
      </c>
      <c r="E573" s="199" t="s">
        <v>1808</v>
      </c>
      <c r="F573" s="199" t="s">
        <v>1119</v>
      </c>
      <c r="G573" s="199" t="s">
        <v>1115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1784</v>
      </c>
      <c r="AD573" s="206" t="s">
        <v>1785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1789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1790</v>
      </c>
      <c r="BZ573" s="141" t="s">
        <v>2099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>
      <c r="A574" s="141"/>
      <c r="B574" s="199" t="s">
        <v>1780</v>
      </c>
      <c r="C574" s="199" t="s">
        <v>2107</v>
      </c>
      <c r="D574" s="199" t="s">
        <v>13</v>
      </c>
      <c r="E574" s="199" t="s">
        <v>1811</v>
      </c>
      <c r="F574" s="199" t="s">
        <v>1120</v>
      </c>
      <c r="G574" s="199" t="s">
        <v>1121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1784</v>
      </c>
      <c r="AD574" s="206" t="s">
        <v>1785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1789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1790</v>
      </c>
      <c r="BZ574" s="141" t="s">
        <v>2101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>
      <c r="A575" s="141"/>
      <c r="B575" s="199" t="s">
        <v>1780</v>
      </c>
      <c r="C575" s="199" t="s">
        <v>2107</v>
      </c>
      <c r="D575" s="199" t="s">
        <v>13</v>
      </c>
      <c r="E575" s="199" t="s">
        <v>1812</v>
      </c>
      <c r="F575" s="199" t="s">
        <v>1122</v>
      </c>
      <c r="G575" s="199" t="s">
        <v>1123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1784</v>
      </c>
      <c r="AD575" s="206" t="s">
        <v>1785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1789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1790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>
      <c r="A576" s="117"/>
      <c r="B576" s="209" t="s">
        <v>1780</v>
      </c>
      <c r="C576" s="209" t="s">
        <v>2107</v>
      </c>
      <c r="D576" s="209" t="s">
        <v>13</v>
      </c>
      <c r="E576" s="209" t="s">
        <v>1813</v>
      </c>
      <c r="F576" s="209" t="s">
        <v>1124</v>
      </c>
      <c r="G576" s="209" t="s">
        <v>2108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1784</v>
      </c>
      <c r="AD576" s="215" t="s">
        <v>1785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1789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2109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1790</v>
      </c>
      <c r="BZ576" s="141" t="s">
        <v>2101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>
      <c r="A577" s="186"/>
      <c r="B577" s="187" t="s">
        <v>1780</v>
      </c>
      <c r="C577" s="187" t="s">
        <v>2110</v>
      </c>
      <c r="D577" s="187"/>
      <c r="E577" s="187"/>
      <c r="F577" s="187"/>
      <c r="G577" s="187" t="s">
        <v>1814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1784</v>
      </c>
      <c r="AD577" s="195" t="s">
        <v>1785</v>
      </c>
      <c r="AE577" s="196" t="s">
        <v>1787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>
      <c r="A578" s="141"/>
      <c r="B578" s="199" t="s">
        <v>1780</v>
      </c>
      <c r="C578" s="199" t="s">
        <v>2110</v>
      </c>
      <c r="D578" s="199" t="s">
        <v>1084</v>
      </c>
      <c r="E578" s="199" t="s">
        <v>1815</v>
      </c>
      <c r="F578" s="199" t="s">
        <v>1130</v>
      </c>
      <c r="G578" s="199" t="s">
        <v>1083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1784</v>
      </c>
      <c r="AD578" s="206" t="s">
        <v>1785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1789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1790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>
      <c r="A579" s="141"/>
      <c r="B579" s="199" t="s">
        <v>1780</v>
      </c>
      <c r="C579" s="199" t="s">
        <v>2110</v>
      </c>
      <c r="D579" s="199" t="s">
        <v>13</v>
      </c>
      <c r="E579" s="199" t="s">
        <v>1816</v>
      </c>
      <c r="F579" s="199" t="s">
        <v>1131</v>
      </c>
      <c r="G579" s="199" t="s">
        <v>1132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1784</v>
      </c>
      <c r="AD579" s="206" t="s">
        <v>1785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1789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1790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>
      <c r="A580" s="141"/>
      <c r="B580" s="199" t="s">
        <v>1780</v>
      </c>
      <c r="C580" s="199" t="s">
        <v>2110</v>
      </c>
      <c r="D580" s="199" t="s">
        <v>13</v>
      </c>
      <c r="E580" s="199" t="s">
        <v>1817</v>
      </c>
      <c r="F580" s="199" t="s">
        <v>1133</v>
      </c>
      <c r="G580" s="199" t="s">
        <v>1134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1784</v>
      </c>
      <c r="AD580" s="206" t="s">
        <v>1785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1789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1790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>
      <c r="A581" s="141"/>
      <c r="B581" s="199" t="s">
        <v>1780</v>
      </c>
      <c r="C581" s="199" t="s">
        <v>2110</v>
      </c>
      <c r="D581" s="199" t="s">
        <v>13</v>
      </c>
      <c r="E581" s="199" t="s">
        <v>1806</v>
      </c>
      <c r="F581" s="199" t="s">
        <v>1135</v>
      </c>
      <c r="G581" s="199" t="s">
        <v>1096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1784</v>
      </c>
      <c r="AD581" s="206" t="s">
        <v>1785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1789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1790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>
      <c r="A582" s="141"/>
      <c r="B582" s="199" t="s">
        <v>1780</v>
      </c>
      <c r="C582" s="199" t="s">
        <v>2110</v>
      </c>
      <c r="D582" s="199" t="s">
        <v>13</v>
      </c>
      <c r="E582" s="199" t="s">
        <v>1807</v>
      </c>
      <c r="F582" s="199" t="s">
        <v>1136</v>
      </c>
      <c r="G582" s="199" t="s">
        <v>1113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1784</v>
      </c>
      <c r="AD582" s="206" t="s">
        <v>1785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1789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1790</v>
      </c>
      <c r="BZ582" s="141" t="s">
        <v>2101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>
      <c r="A583" s="141"/>
      <c r="B583" s="199" t="s">
        <v>1780</v>
      </c>
      <c r="C583" s="199" t="s">
        <v>2110</v>
      </c>
      <c r="D583" s="199" t="s">
        <v>13</v>
      </c>
      <c r="E583" s="199" t="s">
        <v>1818</v>
      </c>
      <c r="F583" s="199" t="s">
        <v>1137</v>
      </c>
      <c r="G583" s="199" t="s">
        <v>1138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1784</v>
      </c>
      <c r="AD583" s="206" t="s">
        <v>1785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1789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2111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1790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>
      <c r="A584" s="117"/>
      <c r="B584" s="209" t="s">
        <v>1780</v>
      </c>
      <c r="C584" s="209" t="s">
        <v>2110</v>
      </c>
      <c r="D584" s="209" t="s">
        <v>13</v>
      </c>
      <c r="E584" s="209" t="s">
        <v>1819</v>
      </c>
      <c r="F584" s="209" t="s">
        <v>1139</v>
      </c>
      <c r="G584" s="209" t="s">
        <v>1140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1784</v>
      </c>
      <c r="AD584" s="215" t="s">
        <v>1785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1789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1790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>
      <c r="A585" s="117"/>
      <c r="B585" s="209" t="s">
        <v>1780</v>
      </c>
      <c r="C585" s="209" t="s">
        <v>2110</v>
      </c>
      <c r="D585" s="209" t="s">
        <v>13</v>
      </c>
      <c r="E585" s="209" t="s">
        <v>1820</v>
      </c>
      <c r="F585" s="209" t="s">
        <v>1141</v>
      </c>
      <c r="G585" s="209" t="s">
        <v>1142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1784</v>
      </c>
      <c r="AD585" s="215" t="s">
        <v>1785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1789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1790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>
      <c r="A586" s="141"/>
      <c r="B586" s="199" t="s">
        <v>1780</v>
      </c>
      <c r="C586" s="199" t="s">
        <v>2110</v>
      </c>
      <c r="D586" s="199" t="s">
        <v>13</v>
      </c>
      <c r="E586" s="199" t="s">
        <v>1808</v>
      </c>
      <c r="F586" s="199" t="s">
        <v>1143</v>
      </c>
      <c r="G586" s="199" t="s">
        <v>1115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1784</v>
      </c>
      <c r="AD586" s="206" t="s">
        <v>1785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1789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1790</v>
      </c>
      <c r="BZ586" s="141" t="s">
        <v>2099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>
      <c r="A587" s="141"/>
      <c r="B587" s="199" t="s">
        <v>1780</v>
      </c>
      <c r="C587" s="199" t="s">
        <v>2110</v>
      </c>
      <c r="D587" s="199" t="s">
        <v>13</v>
      </c>
      <c r="E587" s="199" t="s">
        <v>1821</v>
      </c>
      <c r="F587" s="199" t="s">
        <v>1144</v>
      </c>
      <c r="G587" s="199" t="s">
        <v>1145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1784</v>
      </c>
      <c r="AD587" s="206" t="s">
        <v>1785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1789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1790</v>
      </c>
      <c r="BZ587" s="141" t="s">
        <v>2100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>
      <c r="A588" s="141"/>
      <c r="B588" s="199" t="s">
        <v>1780</v>
      </c>
      <c r="C588" s="199" t="s">
        <v>2110</v>
      </c>
      <c r="D588" s="199" t="s">
        <v>1076</v>
      </c>
      <c r="E588" s="199" t="s">
        <v>1822</v>
      </c>
      <c r="F588" s="199" t="s">
        <v>1146</v>
      </c>
      <c r="G588" s="199" t="s">
        <v>1147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1784</v>
      </c>
      <c r="AD588" s="206" t="s">
        <v>1785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1789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1790</v>
      </c>
      <c r="BZ588" s="141" t="s">
        <v>2100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>
      <c r="A589" s="141"/>
      <c r="B589" s="199" t="s">
        <v>1780</v>
      </c>
      <c r="C589" s="199" t="s">
        <v>2110</v>
      </c>
      <c r="D589" s="199" t="s">
        <v>1076</v>
      </c>
      <c r="E589" s="199" t="s">
        <v>1803</v>
      </c>
      <c r="F589" s="199" t="s">
        <v>1126</v>
      </c>
      <c r="G589" s="199" t="s">
        <v>1080</v>
      </c>
      <c r="H589" s="200">
        <v>737</v>
      </c>
      <c r="I589" s="201" t="s">
        <v>1077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1784</v>
      </c>
      <c r="AD589" s="206" t="s">
        <v>1785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1789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1790</v>
      </c>
      <c r="BZ589" s="141" t="s">
        <v>2105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>
      <c r="A590" s="141"/>
      <c r="B590" s="199" t="s">
        <v>1780</v>
      </c>
      <c r="C590" s="199" t="s">
        <v>2110</v>
      </c>
      <c r="D590" s="199" t="s">
        <v>1129</v>
      </c>
      <c r="E590" s="199" t="s">
        <v>1823</v>
      </c>
      <c r="F590" s="199" t="s">
        <v>1127</v>
      </c>
      <c r="G590" s="199" t="s">
        <v>1128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1784</v>
      </c>
      <c r="AD590" s="206" t="s">
        <v>1785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1789</v>
      </c>
      <c r="BG590" s="141"/>
      <c r="BH590" s="152"/>
      <c r="BI590" s="207"/>
      <c r="BJ590" s="207"/>
      <c r="BK590" s="153" t="s">
        <v>1824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1790</v>
      </c>
      <c r="BZ590" s="141" t="s">
        <v>2112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>
      <c r="A591" s="162">
        <v>32</v>
      </c>
      <c r="B591" s="177" t="s">
        <v>1825</v>
      </c>
      <c r="C591" s="177" t="s">
        <v>2113</v>
      </c>
      <c r="D591" s="177" t="s">
        <v>1826</v>
      </c>
      <c r="E591" s="177"/>
      <c r="F591" s="177"/>
      <c r="G591" s="177" t="s">
        <v>1827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1784</v>
      </c>
      <c r="AD591" s="184" t="s">
        <v>1785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1783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>
      <c r="A592" s="186"/>
      <c r="B592" s="187" t="s">
        <v>1825</v>
      </c>
      <c r="C592" s="187" t="s">
        <v>2114</v>
      </c>
      <c r="D592" s="187"/>
      <c r="E592" s="187"/>
      <c r="F592" s="187"/>
      <c r="G592" s="187" t="s">
        <v>1828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0.27586206896551724</v>
      </c>
      <c r="Y592" s="192"/>
      <c r="Z592" s="192"/>
      <c r="AA592" s="192"/>
      <c r="AB592" s="192"/>
      <c r="AC592" s="194" t="s">
        <v>1784</v>
      </c>
      <c r="AD592" s="195" t="s">
        <v>1785</v>
      </c>
      <c r="AE592" s="196" t="s">
        <v>1829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>
      <c r="A593" s="141"/>
      <c r="B593" s="199" t="s">
        <v>1825</v>
      </c>
      <c r="C593" s="199" t="s">
        <v>2114</v>
      </c>
      <c r="D593" s="199" t="s">
        <v>1084</v>
      </c>
      <c r="E593" s="199" t="s">
        <v>1788</v>
      </c>
      <c r="F593" s="199" t="s">
        <v>1149</v>
      </c>
      <c r="G593" s="199" t="s">
        <v>1150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1784</v>
      </c>
      <c r="AD593" s="206" t="s">
        <v>1785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1789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1790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>
      <c r="A594" s="141"/>
      <c r="B594" s="199" t="s">
        <v>1825</v>
      </c>
      <c r="C594" s="199" t="s">
        <v>2114</v>
      </c>
      <c r="D594" s="199" t="s">
        <v>1084</v>
      </c>
      <c r="E594" s="199" t="s">
        <v>1791</v>
      </c>
      <c r="F594" s="199" t="s">
        <v>1151</v>
      </c>
      <c r="G594" s="199" t="s">
        <v>1152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1784</v>
      </c>
      <c r="AD594" s="206" t="s">
        <v>1785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1789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1790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>
      <c r="A595" s="141"/>
      <c r="B595" s="199" t="s">
        <v>1825</v>
      </c>
      <c r="C595" s="199" t="s">
        <v>2114</v>
      </c>
      <c r="D595" s="199" t="s">
        <v>1084</v>
      </c>
      <c r="E595" s="199" t="s">
        <v>1792</v>
      </c>
      <c r="F595" s="199" t="s">
        <v>1153</v>
      </c>
      <c r="G595" s="199" t="s">
        <v>1152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1784</v>
      </c>
      <c r="AD595" s="206" t="s">
        <v>1785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1789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1790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>
      <c r="A596" s="141"/>
      <c r="B596" s="199" t="s">
        <v>1825</v>
      </c>
      <c r="C596" s="199" t="s">
        <v>2114</v>
      </c>
      <c r="D596" s="199" t="s">
        <v>1084</v>
      </c>
      <c r="E596" s="199" t="s">
        <v>1793</v>
      </c>
      <c r="F596" s="199" t="s">
        <v>1154</v>
      </c>
      <c r="G596" s="199" t="s">
        <v>1155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1784</v>
      </c>
      <c r="AD596" s="206" t="s">
        <v>1785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1789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1790</v>
      </c>
      <c r="BZ596" s="141" t="s">
        <v>2099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>
      <c r="A597" s="141"/>
      <c r="B597" s="199" t="s">
        <v>1825</v>
      </c>
      <c r="C597" s="199" t="s">
        <v>2114</v>
      </c>
      <c r="D597" s="199" t="s">
        <v>13</v>
      </c>
      <c r="E597" s="199" t="s">
        <v>1794</v>
      </c>
      <c r="F597" s="199" t="s">
        <v>1156</v>
      </c>
      <c r="G597" s="199" t="s">
        <v>1157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1784</v>
      </c>
      <c r="AD597" s="206" t="s">
        <v>1785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1789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1790</v>
      </c>
      <c r="BZ597" s="141" t="s">
        <v>2100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>
      <c r="A598" s="141"/>
      <c r="B598" s="199" t="s">
        <v>1825</v>
      </c>
      <c r="C598" s="199" t="s">
        <v>2114</v>
      </c>
      <c r="D598" s="199" t="s">
        <v>13</v>
      </c>
      <c r="E598" s="199" t="s">
        <v>1795</v>
      </c>
      <c r="F598" s="199" t="s">
        <v>1158</v>
      </c>
      <c r="G598" s="199" t="s">
        <v>1159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1784</v>
      </c>
      <c r="AD598" s="206" t="s">
        <v>1785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1789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1790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>
      <c r="A599" s="141"/>
      <c r="B599" s="199" t="s">
        <v>1825</v>
      </c>
      <c r="C599" s="199" t="s">
        <v>2114</v>
      </c>
      <c r="D599" s="199" t="s">
        <v>13</v>
      </c>
      <c r="E599" s="199" t="s">
        <v>1796</v>
      </c>
      <c r="F599" s="199" t="s">
        <v>1160</v>
      </c>
      <c r="G599" s="199" t="s">
        <v>1161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1784</v>
      </c>
      <c r="AD599" s="206" t="s">
        <v>1785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1789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1790</v>
      </c>
      <c r="BZ599" s="141" t="s">
        <v>2099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>
      <c r="A600" s="141"/>
      <c r="B600" s="199" t="s">
        <v>1825</v>
      </c>
      <c r="C600" s="199" t="s">
        <v>2114</v>
      </c>
      <c r="D600" s="199" t="s">
        <v>13</v>
      </c>
      <c r="E600" s="199" t="s">
        <v>1797</v>
      </c>
      <c r="F600" s="199" t="s">
        <v>1162</v>
      </c>
      <c r="G600" s="199" t="s">
        <v>1163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6</v>
      </c>
      <c r="U600" s="203">
        <f t="shared" ca="1" si="1334"/>
        <v>0</v>
      </c>
      <c r="V600" s="203">
        <f t="shared" ca="1" si="1335"/>
        <v>1</v>
      </c>
      <c r="W600" s="203"/>
      <c r="X600" s="203"/>
      <c r="Y600" s="203"/>
      <c r="Z600" s="203"/>
      <c r="AA600" s="203"/>
      <c r="AB600" s="203"/>
      <c r="AC600" s="205" t="s">
        <v>1784</v>
      </c>
      <c r="AD600" s="206" t="s">
        <v>1785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6</v>
      </c>
      <c r="AY600" s="203">
        <f t="shared" ca="1" si="1347"/>
        <v>0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1789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1790</v>
      </c>
      <c r="BZ600" s="141" t="s">
        <v>2103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>
      <c r="A601" s="141"/>
      <c r="B601" s="199" t="s">
        <v>1825</v>
      </c>
      <c r="C601" s="199" t="s">
        <v>2114</v>
      </c>
      <c r="D601" s="199" t="s">
        <v>13</v>
      </c>
      <c r="E601" s="199" t="s">
        <v>1798</v>
      </c>
      <c r="F601" s="199" t="s">
        <v>1164</v>
      </c>
      <c r="G601" s="199" t="s">
        <v>1090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2</v>
      </c>
      <c r="U601" s="203">
        <f t="shared" ca="1" si="1334"/>
        <v>0</v>
      </c>
      <c r="V601" s="203">
        <f t="shared" ca="1" si="1335"/>
        <v>1</v>
      </c>
      <c r="W601" s="203"/>
      <c r="X601" s="203"/>
      <c r="Y601" s="203"/>
      <c r="Z601" s="203"/>
      <c r="AA601" s="203"/>
      <c r="AB601" s="203"/>
      <c r="AC601" s="205" t="s">
        <v>1784</v>
      </c>
      <c r="AD601" s="206" t="s">
        <v>1785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2</v>
      </c>
      <c r="AY601" s="203">
        <f t="shared" ca="1" si="1347"/>
        <v>0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1789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1790</v>
      </c>
      <c r="BZ601" s="141" t="s">
        <v>2103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>
      <c r="A602" s="141"/>
      <c r="B602" s="199" t="s">
        <v>1825</v>
      </c>
      <c r="C602" s="199" t="s">
        <v>2114</v>
      </c>
      <c r="D602" s="199" t="s">
        <v>1076</v>
      </c>
      <c r="E602" s="199" t="s">
        <v>1802</v>
      </c>
      <c r="F602" s="199" t="s">
        <v>1148</v>
      </c>
      <c r="G602" s="199" t="s">
        <v>1075</v>
      </c>
      <c r="H602" s="200">
        <v>812</v>
      </c>
      <c r="I602" s="201" t="s">
        <v>1077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1784</v>
      </c>
      <c r="AD602" s="206" t="s">
        <v>1785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1789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1790</v>
      </c>
      <c r="BZ602" s="141" t="s">
        <v>2104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>
      <c r="A603" s="186"/>
      <c r="B603" s="187" t="s">
        <v>1825</v>
      </c>
      <c r="C603" s="187" t="s">
        <v>2115</v>
      </c>
      <c r="D603" s="187"/>
      <c r="E603" s="187"/>
      <c r="F603" s="187"/>
      <c r="G603" s="187" t="s">
        <v>1830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1784</v>
      </c>
      <c r="AD603" s="195" t="s">
        <v>1785</v>
      </c>
      <c r="AE603" s="196" t="s">
        <v>1829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>
      <c r="A604" s="141"/>
      <c r="B604" s="199" t="s">
        <v>1825</v>
      </c>
      <c r="C604" s="199" t="s">
        <v>2115</v>
      </c>
      <c r="D604" s="199" t="s">
        <v>1084</v>
      </c>
      <c r="E604" s="199" t="s">
        <v>1799</v>
      </c>
      <c r="F604" s="199" t="s">
        <v>1165</v>
      </c>
      <c r="G604" s="199" t="s">
        <v>1166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1784</v>
      </c>
      <c r="AD604" s="206" t="s">
        <v>1785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1789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1790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>
      <c r="A605" s="141"/>
      <c r="B605" s="199" t="s">
        <v>1825</v>
      </c>
      <c r="C605" s="199" t="s">
        <v>2115</v>
      </c>
      <c r="D605" s="199" t="s">
        <v>1084</v>
      </c>
      <c r="E605" s="199" t="s">
        <v>1801</v>
      </c>
      <c r="F605" s="199" t="s">
        <v>1167</v>
      </c>
      <c r="G605" s="199" t="s">
        <v>1168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1784</v>
      </c>
      <c r="AD605" s="206" t="s">
        <v>1785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1789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1790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>
      <c r="A606" s="141"/>
      <c r="B606" s="199" t="s">
        <v>1825</v>
      </c>
      <c r="C606" s="199" t="s">
        <v>2115</v>
      </c>
      <c r="D606" s="199" t="s">
        <v>13</v>
      </c>
      <c r="E606" s="199" t="s">
        <v>1815</v>
      </c>
      <c r="F606" s="199" t="s">
        <v>1169</v>
      </c>
      <c r="G606" s="199" t="s">
        <v>1170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1784</v>
      </c>
      <c r="AD606" s="206" t="s">
        <v>1785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1789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1790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>
      <c r="A607" s="141"/>
      <c r="B607" s="199" t="s">
        <v>1825</v>
      </c>
      <c r="C607" s="199" t="s">
        <v>2115</v>
      </c>
      <c r="D607" s="199" t="s">
        <v>1084</v>
      </c>
      <c r="E607" s="199" t="s">
        <v>1805</v>
      </c>
      <c r="F607" s="199" t="s">
        <v>1171</v>
      </c>
      <c r="G607" s="199" t="s">
        <v>1172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1784</v>
      </c>
      <c r="AD607" s="206" t="s">
        <v>1785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1789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2111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1790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>
      <c r="A608" s="141"/>
      <c r="B608" s="199" t="s">
        <v>1825</v>
      </c>
      <c r="C608" s="199" t="s">
        <v>2115</v>
      </c>
      <c r="D608" s="199" t="s">
        <v>13</v>
      </c>
      <c r="E608" s="199" t="s">
        <v>1816</v>
      </c>
      <c r="F608" s="199" t="s">
        <v>1173</v>
      </c>
      <c r="G608" s="199" t="s">
        <v>1174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1784</v>
      </c>
      <c r="AD608" s="206" t="s">
        <v>1785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1789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1790</v>
      </c>
      <c r="BZ608" s="141" t="s">
        <v>2099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>
      <c r="A609" s="186"/>
      <c r="B609" s="187" t="s">
        <v>1825</v>
      </c>
      <c r="C609" s="187" t="s">
        <v>2116</v>
      </c>
      <c r="D609" s="187"/>
      <c r="E609" s="187"/>
      <c r="F609" s="187"/>
      <c r="G609" s="187" t="s">
        <v>1831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1784</v>
      </c>
      <c r="AD609" s="195" t="s">
        <v>1785</v>
      </c>
      <c r="AE609" s="196" t="s">
        <v>1829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>
      <c r="A610" s="141"/>
      <c r="B610" s="199" t="s">
        <v>1825</v>
      </c>
      <c r="C610" s="199" t="s">
        <v>2116</v>
      </c>
      <c r="D610" s="199" t="s">
        <v>1084</v>
      </c>
      <c r="E610" s="199" t="s">
        <v>1817</v>
      </c>
      <c r="F610" s="199" t="s">
        <v>1175</v>
      </c>
      <c r="G610" s="199" t="s">
        <v>1176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1784</v>
      </c>
      <c r="AD610" s="206" t="s">
        <v>1785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1789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1790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>
      <c r="A611" s="141"/>
      <c r="B611" s="199" t="s">
        <v>1825</v>
      </c>
      <c r="C611" s="199" t="s">
        <v>2116</v>
      </c>
      <c r="D611" s="199" t="s">
        <v>1084</v>
      </c>
      <c r="E611" s="199" t="s">
        <v>1806</v>
      </c>
      <c r="F611" s="199" t="s">
        <v>1177</v>
      </c>
      <c r="G611" s="199" t="s">
        <v>1178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1784</v>
      </c>
      <c r="AD611" s="206" t="s">
        <v>1785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1789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1790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>
      <c r="A612" s="141"/>
      <c r="B612" s="199" t="s">
        <v>1825</v>
      </c>
      <c r="C612" s="199" t="s">
        <v>2116</v>
      </c>
      <c r="D612" s="199" t="s">
        <v>1084</v>
      </c>
      <c r="E612" s="199" t="s">
        <v>1807</v>
      </c>
      <c r="F612" s="199" t="s">
        <v>1179</v>
      </c>
      <c r="G612" s="199" t="s">
        <v>1180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1784</v>
      </c>
      <c r="AD612" s="206" t="s">
        <v>1785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1789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1790</v>
      </c>
      <c r="BZ612" s="141" t="s">
        <v>2099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>
      <c r="A613" s="141"/>
      <c r="B613" s="199" t="s">
        <v>1825</v>
      </c>
      <c r="C613" s="199" t="s">
        <v>2116</v>
      </c>
      <c r="D613" s="199" t="s">
        <v>13</v>
      </c>
      <c r="E613" s="199" t="s">
        <v>1818</v>
      </c>
      <c r="F613" s="199" t="s">
        <v>1181</v>
      </c>
      <c r="G613" s="199" t="s">
        <v>1182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1784</v>
      </c>
      <c r="AD613" s="206" t="s">
        <v>1785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1789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1790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>
      <c r="A614" s="141"/>
      <c r="B614" s="199" t="s">
        <v>1825</v>
      </c>
      <c r="C614" s="199" t="s">
        <v>2116</v>
      </c>
      <c r="D614" s="199" t="s">
        <v>13</v>
      </c>
      <c r="E614" s="199" t="s">
        <v>1819</v>
      </c>
      <c r="F614" s="199" t="s">
        <v>1183</v>
      </c>
      <c r="G614" s="199" t="s">
        <v>1184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1784</v>
      </c>
      <c r="AD614" s="206" t="s">
        <v>1785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1789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1790</v>
      </c>
      <c r="BZ614" s="141" t="s">
        <v>2099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>
      <c r="A615" s="141"/>
      <c r="B615" s="199" t="s">
        <v>1825</v>
      </c>
      <c r="C615" s="199" t="s">
        <v>2116</v>
      </c>
      <c r="D615" s="199" t="s">
        <v>13</v>
      </c>
      <c r="E615" s="199" t="s">
        <v>1820</v>
      </c>
      <c r="F615" s="199" t="s">
        <v>1185</v>
      </c>
      <c r="G615" s="199" t="s">
        <v>1123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1784</v>
      </c>
      <c r="AD615" s="206" t="s">
        <v>1785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1789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1790</v>
      </c>
      <c r="BZ615" s="141" t="s">
        <v>2101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>
      <c r="A616" s="141"/>
      <c r="B616" s="199" t="s">
        <v>1825</v>
      </c>
      <c r="C616" s="199" t="s">
        <v>2116</v>
      </c>
      <c r="D616" s="199" t="s">
        <v>13</v>
      </c>
      <c r="E616" s="199" t="s">
        <v>1808</v>
      </c>
      <c r="F616" s="199" t="s">
        <v>1186</v>
      </c>
      <c r="G616" s="199" t="s">
        <v>1125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1784</v>
      </c>
      <c r="AD616" s="206" t="s">
        <v>1785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1789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1790</v>
      </c>
      <c r="BZ616" s="141" t="s">
        <v>2100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>
      <c r="A617" s="186"/>
      <c r="B617" s="187" t="s">
        <v>1825</v>
      </c>
      <c r="C617" s="187" t="s">
        <v>2117</v>
      </c>
      <c r="D617" s="187"/>
      <c r="E617" s="187"/>
      <c r="F617" s="187"/>
      <c r="G617" s="187" t="s">
        <v>1830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1784</v>
      </c>
      <c r="AD617" s="195" t="s">
        <v>1785</v>
      </c>
      <c r="AE617" s="196" t="s">
        <v>1829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>
      <c r="A618" s="141"/>
      <c r="B618" s="199" t="s">
        <v>1825</v>
      </c>
      <c r="C618" s="199" t="s">
        <v>2117</v>
      </c>
      <c r="D618" s="199" t="s">
        <v>1084</v>
      </c>
      <c r="E618" s="199" t="s">
        <v>1799</v>
      </c>
      <c r="F618" s="199" t="s">
        <v>1187</v>
      </c>
      <c r="G618" s="199" t="s">
        <v>1166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1784</v>
      </c>
      <c r="AD618" s="206" t="s">
        <v>1785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1789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1790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>
      <c r="A619" s="141"/>
      <c r="B619" s="199" t="s">
        <v>1825</v>
      </c>
      <c r="C619" s="199" t="s">
        <v>2117</v>
      </c>
      <c r="D619" s="199" t="s">
        <v>1084</v>
      </c>
      <c r="E619" s="199" t="s">
        <v>1800</v>
      </c>
      <c r="F619" s="199" t="s">
        <v>1188</v>
      </c>
      <c r="G619" s="199" t="s">
        <v>1170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1784</v>
      </c>
      <c r="AD619" s="206" t="s">
        <v>1785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1789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1790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>
      <c r="A620" s="141"/>
      <c r="B620" s="199" t="s">
        <v>1825</v>
      </c>
      <c r="C620" s="199" t="s">
        <v>2117</v>
      </c>
      <c r="D620" s="199" t="s">
        <v>1084</v>
      </c>
      <c r="E620" s="199" t="s">
        <v>1801</v>
      </c>
      <c r="F620" s="199" t="s">
        <v>1189</v>
      </c>
      <c r="G620" s="199" t="s">
        <v>1168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1784</v>
      </c>
      <c r="AD620" s="206" t="s">
        <v>1785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1789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1790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>
      <c r="A621" s="141"/>
      <c r="B621" s="199" t="s">
        <v>1825</v>
      </c>
      <c r="C621" s="199" t="s">
        <v>2117</v>
      </c>
      <c r="D621" s="199" t="s">
        <v>13</v>
      </c>
      <c r="E621" s="199" t="s">
        <v>1805</v>
      </c>
      <c r="F621" s="199" t="s">
        <v>1190</v>
      </c>
      <c r="G621" s="199" t="s">
        <v>1172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1784</v>
      </c>
      <c r="AD621" s="206" t="s">
        <v>1785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1789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2111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1790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>
      <c r="A622" s="141"/>
      <c r="B622" s="199" t="s">
        <v>1825</v>
      </c>
      <c r="C622" s="199" t="s">
        <v>2117</v>
      </c>
      <c r="D622" s="199" t="s">
        <v>13</v>
      </c>
      <c r="E622" s="199" t="s">
        <v>1816</v>
      </c>
      <c r="F622" s="199" t="s">
        <v>1191</v>
      </c>
      <c r="G622" s="199" t="s">
        <v>1174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1784</v>
      </c>
      <c r="AD622" s="206" t="s">
        <v>1785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1789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1790</v>
      </c>
      <c r="BZ622" s="141" t="s">
        <v>2099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>
      <c r="A623" s="162">
        <v>33</v>
      </c>
      <c r="B623" s="177" t="s">
        <v>1832</v>
      </c>
      <c r="C623" s="177" t="s">
        <v>2118</v>
      </c>
      <c r="D623" s="177" t="s">
        <v>1833</v>
      </c>
      <c r="E623" s="177"/>
      <c r="F623" s="177"/>
      <c r="G623" s="177" t="s">
        <v>1834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0.1875</v>
      </c>
      <c r="Y623" s="181"/>
      <c r="Z623" s="181"/>
      <c r="AA623" s="181"/>
      <c r="AB623" s="181"/>
      <c r="AC623" s="183" t="s">
        <v>1784</v>
      </c>
      <c r="AD623" s="184" t="s">
        <v>1785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1783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>
      <c r="A624" s="148"/>
      <c r="B624" s="209" t="s">
        <v>1832</v>
      </c>
      <c r="C624" s="209" t="s">
        <v>2118</v>
      </c>
      <c r="D624" s="209" t="s">
        <v>1195</v>
      </c>
      <c r="E624" s="209" t="s">
        <v>1788</v>
      </c>
      <c r="F624" s="209" t="s">
        <v>1193</v>
      </c>
      <c r="G624" s="209" t="s">
        <v>1194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1784</v>
      </c>
      <c r="AD624" s="226" t="s">
        <v>1785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1835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1790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>
      <c r="A625" s="148"/>
      <c r="B625" s="209" t="s">
        <v>1832</v>
      </c>
      <c r="C625" s="209" t="s">
        <v>2118</v>
      </c>
      <c r="D625" s="209" t="s">
        <v>1195</v>
      </c>
      <c r="E625" s="209" t="s">
        <v>1791</v>
      </c>
      <c r="F625" s="209" t="s">
        <v>1213</v>
      </c>
      <c r="G625" s="209" t="s">
        <v>1214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1784</v>
      </c>
      <c r="AD625" s="226" t="s">
        <v>1785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1835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1790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>
      <c r="A626" s="148"/>
      <c r="B626" s="209" t="s">
        <v>1832</v>
      </c>
      <c r="C626" s="209" t="s">
        <v>2118</v>
      </c>
      <c r="D626" s="209" t="s">
        <v>1204</v>
      </c>
      <c r="E626" s="209" t="s">
        <v>1792</v>
      </c>
      <c r="F626" s="209" t="s">
        <v>1215</v>
      </c>
      <c r="G626" s="209" t="s">
        <v>1216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1784</v>
      </c>
      <c r="AD626" s="226" t="s">
        <v>1785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1835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1790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>
      <c r="A627" s="148"/>
      <c r="B627" s="209" t="s">
        <v>1832</v>
      </c>
      <c r="C627" s="209" t="s">
        <v>2118</v>
      </c>
      <c r="D627" s="209" t="s">
        <v>1204</v>
      </c>
      <c r="E627" s="209" t="s">
        <v>1793</v>
      </c>
      <c r="F627" s="209" t="s">
        <v>1217</v>
      </c>
      <c r="G627" s="209" t="s">
        <v>1218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1784</v>
      </c>
      <c r="AD627" s="226" t="s">
        <v>1785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1835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1790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>
      <c r="A628" s="148"/>
      <c r="B628" s="209" t="s">
        <v>1832</v>
      </c>
      <c r="C628" s="209" t="s">
        <v>2118</v>
      </c>
      <c r="D628" s="209" t="s">
        <v>1204</v>
      </c>
      <c r="E628" s="209" t="s">
        <v>1794</v>
      </c>
      <c r="F628" s="209" t="s">
        <v>1219</v>
      </c>
      <c r="G628" s="209" t="s">
        <v>1220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1784</v>
      </c>
      <c r="AD628" s="226" t="s">
        <v>1785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1835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1790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>
      <c r="A629" s="148"/>
      <c r="B629" s="209" t="s">
        <v>1832</v>
      </c>
      <c r="C629" s="209" t="s">
        <v>2118</v>
      </c>
      <c r="D629" s="209" t="s">
        <v>13</v>
      </c>
      <c r="E629" s="209" t="s">
        <v>1795</v>
      </c>
      <c r="F629" s="209" t="s">
        <v>1221</v>
      </c>
      <c r="G629" s="209" t="s">
        <v>1222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1784</v>
      </c>
      <c r="AD629" s="226" t="s">
        <v>1785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1835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1790</v>
      </c>
      <c r="BZ629" s="141" t="s">
        <v>2100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>
      <c r="A630" s="148"/>
      <c r="B630" s="209" t="s">
        <v>1832</v>
      </c>
      <c r="C630" s="209" t="s">
        <v>2118</v>
      </c>
      <c r="D630" s="209" t="s">
        <v>1204</v>
      </c>
      <c r="E630" s="209" t="s">
        <v>1796</v>
      </c>
      <c r="F630" s="209" t="s">
        <v>1223</v>
      </c>
      <c r="G630" s="209" t="s">
        <v>1224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1784</v>
      </c>
      <c r="AD630" s="226" t="s">
        <v>1785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1835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1790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>
      <c r="A631" s="148"/>
      <c r="B631" s="209" t="s">
        <v>1832</v>
      </c>
      <c r="C631" s="209" t="s">
        <v>2118</v>
      </c>
      <c r="D631" s="209" t="s">
        <v>1204</v>
      </c>
      <c r="E631" s="209" t="s">
        <v>1797</v>
      </c>
      <c r="F631" s="209" t="s">
        <v>1225</v>
      </c>
      <c r="G631" s="209" t="s">
        <v>1226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1784</v>
      </c>
      <c r="AD631" s="226" t="s">
        <v>1785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1835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1790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>
      <c r="A632" s="148"/>
      <c r="B632" s="209" t="s">
        <v>1832</v>
      </c>
      <c r="C632" s="209" t="s">
        <v>2118</v>
      </c>
      <c r="D632" s="209" t="s">
        <v>13</v>
      </c>
      <c r="E632" s="209" t="s">
        <v>1798</v>
      </c>
      <c r="F632" s="209" t="s">
        <v>1227</v>
      </c>
      <c r="G632" s="209" t="s">
        <v>1228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1784</v>
      </c>
      <c r="AD632" s="226" t="s">
        <v>1785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1835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1790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>
      <c r="A633" s="148"/>
      <c r="B633" s="209" t="s">
        <v>1832</v>
      </c>
      <c r="C633" s="209" t="s">
        <v>2118</v>
      </c>
      <c r="D633" s="209" t="s">
        <v>13</v>
      </c>
      <c r="E633" s="209" t="s">
        <v>1799</v>
      </c>
      <c r="F633" s="209" t="s">
        <v>1196</v>
      </c>
      <c r="G633" s="209" t="s">
        <v>1104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1784</v>
      </c>
      <c r="AD633" s="226" t="s">
        <v>1785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1835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1790</v>
      </c>
      <c r="BZ633" s="141" t="s">
        <v>2101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>
      <c r="A634" s="148"/>
      <c r="B634" s="209" t="s">
        <v>1832</v>
      </c>
      <c r="C634" s="209" t="s">
        <v>2118</v>
      </c>
      <c r="D634" s="209" t="s">
        <v>1200</v>
      </c>
      <c r="E634" s="209" t="s">
        <v>1800</v>
      </c>
      <c r="F634" s="209" t="s">
        <v>1198</v>
      </c>
      <c r="G634" s="209" t="s">
        <v>1199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1784</v>
      </c>
      <c r="AD634" s="226" t="s">
        <v>1785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1835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1790</v>
      </c>
      <c r="BZ634" s="141" t="s">
        <v>2119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>
      <c r="A635" s="148"/>
      <c r="B635" s="209" t="s">
        <v>1832</v>
      </c>
      <c r="C635" s="209" t="s">
        <v>2118</v>
      </c>
      <c r="D635" s="209" t="s">
        <v>13</v>
      </c>
      <c r="E635" s="209" t="s">
        <v>1801</v>
      </c>
      <c r="F635" s="209" t="s">
        <v>1201</v>
      </c>
      <c r="G635" s="209" t="s">
        <v>1157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1784</v>
      </c>
      <c r="AD635" s="226" t="s">
        <v>1785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1835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1790</v>
      </c>
      <c r="BZ635" s="141" t="s">
        <v>2100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>
      <c r="A636" s="148"/>
      <c r="B636" s="209" t="s">
        <v>1832</v>
      </c>
      <c r="C636" s="209" t="s">
        <v>2118</v>
      </c>
      <c r="D636" s="209" t="s">
        <v>1204</v>
      </c>
      <c r="E636" s="209" t="s">
        <v>1815</v>
      </c>
      <c r="F636" s="209" t="s">
        <v>1202</v>
      </c>
      <c r="G636" s="209" t="s">
        <v>1203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1784</v>
      </c>
      <c r="AD636" s="226" t="s">
        <v>1785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1835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1790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>
      <c r="A637" s="148"/>
      <c r="B637" s="209" t="s">
        <v>1832</v>
      </c>
      <c r="C637" s="209" t="s">
        <v>2118</v>
      </c>
      <c r="D637" s="209" t="s">
        <v>13</v>
      </c>
      <c r="E637" s="209" t="s">
        <v>1805</v>
      </c>
      <c r="F637" s="209" t="s">
        <v>1205</v>
      </c>
      <c r="G637" s="209" t="s">
        <v>1206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4</v>
      </c>
      <c r="U637" s="203">
        <f t="shared" ca="1" si="1405"/>
        <v>0</v>
      </c>
      <c r="V637" s="203">
        <f t="shared" ca="1" si="1406"/>
        <v>1</v>
      </c>
      <c r="W637" s="212"/>
      <c r="X637" s="212"/>
      <c r="Y637" s="212"/>
      <c r="Z637" s="212"/>
      <c r="AA637" s="212"/>
      <c r="AB637" s="212"/>
      <c r="AC637" s="214" t="s">
        <v>1784</v>
      </c>
      <c r="AD637" s="226" t="s">
        <v>1785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4</v>
      </c>
      <c r="AY637" s="203">
        <f t="shared" ca="1" si="1422"/>
        <v>0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1835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1790</v>
      </c>
      <c r="BZ637" s="141" t="s">
        <v>2103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>
      <c r="A638" s="148"/>
      <c r="B638" s="209" t="s">
        <v>1832</v>
      </c>
      <c r="C638" s="209" t="s">
        <v>2118</v>
      </c>
      <c r="D638" s="209" t="s">
        <v>13</v>
      </c>
      <c r="E638" s="209" t="s">
        <v>1816</v>
      </c>
      <c r="F638" s="209" t="s">
        <v>1207</v>
      </c>
      <c r="G638" s="209" t="s">
        <v>1157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1784</v>
      </c>
      <c r="AD638" s="226" t="s">
        <v>1785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1835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1790</v>
      </c>
      <c r="BZ638" s="141" t="s">
        <v>2100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>
      <c r="A639" s="148"/>
      <c r="B639" s="209" t="s">
        <v>1832</v>
      </c>
      <c r="C639" s="209" t="s">
        <v>2118</v>
      </c>
      <c r="D639" s="209" t="s">
        <v>13</v>
      </c>
      <c r="E639" s="209" t="s">
        <v>1817</v>
      </c>
      <c r="F639" s="209" t="s">
        <v>1208</v>
      </c>
      <c r="G639" s="209" t="s">
        <v>1206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2</v>
      </c>
      <c r="U639" s="203">
        <f t="shared" ca="1" si="1405"/>
        <v>0</v>
      </c>
      <c r="V639" s="203">
        <f t="shared" ca="1" si="1406"/>
        <v>1</v>
      </c>
      <c r="W639" s="212"/>
      <c r="X639" s="212"/>
      <c r="Y639" s="212"/>
      <c r="Z639" s="212"/>
      <c r="AA639" s="212"/>
      <c r="AB639" s="212"/>
      <c r="AC639" s="214" t="s">
        <v>1784</v>
      </c>
      <c r="AD639" s="226" t="s">
        <v>1785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2</v>
      </c>
      <c r="AY639" s="203">
        <f t="shared" ca="1" si="1422"/>
        <v>0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1835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1790</v>
      </c>
      <c r="BZ639" s="141" t="s">
        <v>2103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>
      <c r="A640" s="148"/>
      <c r="B640" s="209" t="s">
        <v>1832</v>
      </c>
      <c r="C640" s="209" t="s">
        <v>2118</v>
      </c>
      <c r="D640" s="209" t="s">
        <v>1210</v>
      </c>
      <c r="E640" s="209" t="s">
        <v>1806</v>
      </c>
      <c r="F640" s="209" t="s">
        <v>1209</v>
      </c>
      <c r="G640" s="209" t="s">
        <v>1123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1784</v>
      </c>
      <c r="AD640" s="226" t="s">
        <v>1785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1835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1790</v>
      </c>
      <c r="BZ640" s="141" t="s">
        <v>2101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>
      <c r="A641" s="148"/>
      <c r="B641" s="209" t="s">
        <v>1832</v>
      </c>
      <c r="C641" s="209" t="s">
        <v>2118</v>
      </c>
      <c r="D641" s="209" t="s">
        <v>1212</v>
      </c>
      <c r="E641" s="209" t="s">
        <v>1807</v>
      </c>
      <c r="F641" s="209" t="s">
        <v>1211</v>
      </c>
      <c r="G641" s="209" t="s">
        <v>1125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1784</v>
      </c>
      <c r="AD641" s="226" t="s">
        <v>1785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1835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1790</v>
      </c>
      <c r="BZ641" s="141" t="s">
        <v>2100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>
      <c r="A642" s="148"/>
      <c r="B642" s="209" t="s">
        <v>1832</v>
      </c>
      <c r="C642" s="209" t="s">
        <v>2118</v>
      </c>
      <c r="D642" s="209" t="s">
        <v>1010</v>
      </c>
      <c r="E642" s="209" t="s">
        <v>1802</v>
      </c>
      <c r="F642" s="209" t="s">
        <v>1192</v>
      </c>
      <c r="G642" s="209" t="s">
        <v>1075</v>
      </c>
      <c r="H642" s="210">
        <v>812</v>
      </c>
      <c r="I642" s="211" t="s">
        <v>1077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1784</v>
      </c>
      <c r="AD642" s="226" t="s">
        <v>1785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1835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1790</v>
      </c>
      <c r="BZ642" s="141" t="s">
        <v>2104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>
      <c r="A643" s="162">
        <v>34</v>
      </c>
      <c r="B643" s="177" t="s">
        <v>1837</v>
      </c>
      <c r="C643" s="177" t="s">
        <v>2120</v>
      </c>
      <c r="D643" s="177" t="s">
        <v>1838</v>
      </c>
      <c r="E643" s="177"/>
      <c r="F643" s="177"/>
      <c r="G643" s="177" t="s">
        <v>1839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0.32432432432432434</v>
      </c>
      <c r="Y643" s="181"/>
      <c r="Z643" s="181"/>
      <c r="AA643" s="181"/>
      <c r="AB643" s="181"/>
      <c r="AC643" s="183" t="s">
        <v>1784</v>
      </c>
      <c r="AD643" s="184" t="s">
        <v>1785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1783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>
      <c r="A644" s="148"/>
      <c r="B644" s="209" t="s">
        <v>1837</v>
      </c>
      <c r="C644" s="209" t="s">
        <v>2120</v>
      </c>
      <c r="D644" s="209" t="s">
        <v>1195</v>
      </c>
      <c r="E644" s="209" t="s">
        <v>1788</v>
      </c>
      <c r="F644" s="209" t="s">
        <v>1230</v>
      </c>
      <c r="G644" s="209" t="s">
        <v>1231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1784</v>
      </c>
      <c r="AD644" s="226" t="s">
        <v>1785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1835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1790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>
      <c r="A645" s="148"/>
      <c r="B645" s="209" t="s">
        <v>1837</v>
      </c>
      <c r="C645" s="209" t="s">
        <v>2120</v>
      </c>
      <c r="D645" s="209" t="s">
        <v>13</v>
      </c>
      <c r="E645" s="209" t="s">
        <v>1791</v>
      </c>
      <c r="F645" s="209" t="s">
        <v>1234</v>
      </c>
      <c r="G645" s="209" t="s">
        <v>1157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1784</v>
      </c>
      <c r="AD645" s="226" t="s">
        <v>1785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1835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1790</v>
      </c>
      <c r="BZ645" s="141" t="s">
        <v>2100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>
      <c r="A646" s="148"/>
      <c r="B646" s="209" t="s">
        <v>1837</v>
      </c>
      <c r="C646" s="209" t="s">
        <v>2120</v>
      </c>
      <c r="D646" s="209" t="s">
        <v>1204</v>
      </c>
      <c r="E646" s="209" t="s">
        <v>1792</v>
      </c>
      <c r="F646" s="209" t="s">
        <v>1235</v>
      </c>
      <c r="G646" s="209" t="s">
        <v>1216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1784</v>
      </c>
      <c r="AD646" s="226" t="s">
        <v>1785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1835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1790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>
      <c r="A647" s="148"/>
      <c r="B647" s="209" t="s">
        <v>1837</v>
      </c>
      <c r="C647" s="209" t="s">
        <v>2120</v>
      </c>
      <c r="D647" s="209" t="s">
        <v>1204</v>
      </c>
      <c r="E647" s="209" t="s">
        <v>1793</v>
      </c>
      <c r="F647" s="209" t="s">
        <v>1236</v>
      </c>
      <c r="G647" s="209" t="s">
        <v>1216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1784</v>
      </c>
      <c r="AD647" s="226" t="s">
        <v>1785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1835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1790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>
      <c r="A648" s="148"/>
      <c r="B648" s="209" t="s">
        <v>1837</v>
      </c>
      <c r="C648" s="209" t="s">
        <v>2120</v>
      </c>
      <c r="D648" s="209" t="s">
        <v>13</v>
      </c>
      <c r="E648" s="209" t="s">
        <v>1794</v>
      </c>
      <c r="F648" s="209" t="s">
        <v>1237</v>
      </c>
      <c r="G648" s="209" t="s">
        <v>1238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1784</v>
      </c>
      <c r="AD648" s="226" t="s">
        <v>1785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1835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1790</v>
      </c>
      <c r="BZ648" s="141" t="s">
        <v>2100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>
      <c r="A649" s="148"/>
      <c r="B649" s="209" t="s">
        <v>1837</v>
      </c>
      <c r="C649" s="209" t="s">
        <v>2120</v>
      </c>
      <c r="D649" s="209" t="s">
        <v>1204</v>
      </c>
      <c r="E649" s="209" t="s">
        <v>1795</v>
      </c>
      <c r="F649" s="209" t="s">
        <v>1239</v>
      </c>
      <c r="G649" s="209" t="s">
        <v>1224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1784</v>
      </c>
      <c r="AD649" s="226" t="s">
        <v>1785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1835</v>
      </c>
      <c r="BN649" s="149"/>
      <c r="BO649" s="149" t="s">
        <v>2121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1790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>
      <c r="A650" s="148"/>
      <c r="B650" s="209" t="s">
        <v>1837</v>
      </c>
      <c r="C650" s="209" t="s">
        <v>2120</v>
      </c>
      <c r="D650" s="209" t="s">
        <v>1204</v>
      </c>
      <c r="E650" s="209" t="s">
        <v>1796</v>
      </c>
      <c r="F650" s="209" t="s">
        <v>1240</v>
      </c>
      <c r="G650" s="209" t="s">
        <v>1216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1784</v>
      </c>
      <c r="AD650" s="226" t="s">
        <v>1785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1835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1790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>
      <c r="A651" s="148"/>
      <c r="B651" s="209" t="s">
        <v>1837</v>
      </c>
      <c r="C651" s="209" t="s">
        <v>2120</v>
      </c>
      <c r="D651" s="209" t="s">
        <v>13</v>
      </c>
      <c r="E651" s="209" t="s">
        <v>1797</v>
      </c>
      <c r="F651" s="209" t="s">
        <v>1241</v>
      </c>
      <c r="G651" s="209" t="s">
        <v>1206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431"/>
        <v>0</v>
      </c>
      <c r="V651" s="203">
        <f t="shared" ca="1" si="1432"/>
        <v>1</v>
      </c>
      <c r="W651" s="212"/>
      <c r="X651" s="212"/>
      <c r="Y651" s="212"/>
      <c r="Z651" s="212"/>
      <c r="AA651" s="212"/>
      <c r="AB651" s="212"/>
      <c r="AC651" s="214" t="s">
        <v>1784</v>
      </c>
      <c r="AD651" s="226" t="s">
        <v>1785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2</v>
      </c>
      <c r="AY651" s="203">
        <f t="shared" ca="1" si="1448"/>
        <v>0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1835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1790</v>
      </c>
      <c r="BZ651" s="141" t="s">
        <v>2103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>
      <c r="A652" s="148"/>
      <c r="B652" s="209" t="s">
        <v>1837</v>
      </c>
      <c r="C652" s="209" t="s">
        <v>2120</v>
      </c>
      <c r="D652" s="209" t="s">
        <v>13</v>
      </c>
      <c r="E652" s="209" t="s">
        <v>1798</v>
      </c>
      <c r="F652" s="209" t="s">
        <v>1242</v>
      </c>
      <c r="G652" s="209" t="s">
        <v>1206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203">
        <f t="shared" ca="1" si="1431"/>
        <v>0</v>
      </c>
      <c r="V652" s="203">
        <f t="shared" ca="1" si="1432"/>
        <v>1</v>
      </c>
      <c r="W652" s="212"/>
      <c r="X652" s="212"/>
      <c r="Y652" s="212"/>
      <c r="Z652" s="212"/>
      <c r="AA652" s="212"/>
      <c r="AB652" s="212"/>
      <c r="AC652" s="214" t="s">
        <v>1784</v>
      </c>
      <c r="AD652" s="226" t="s">
        <v>1785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10</v>
      </c>
      <c r="AY652" s="203">
        <f t="shared" ca="1" si="1448"/>
        <v>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1835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1790</v>
      </c>
      <c r="BZ652" s="141" t="s">
        <v>2103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>
      <c r="A653" s="148"/>
      <c r="B653" s="209" t="s">
        <v>1837</v>
      </c>
      <c r="C653" s="209" t="s">
        <v>2120</v>
      </c>
      <c r="D653" s="209" t="s">
        <v>1210</v>
      </c>
      <c r="E653" s="209" t="s">
        <v>1799</v>
      </c>
      <c r="F653" s="209" t="s">
        <v>1232</v>
      </c>
      <c r="G653" s="209" t="s">
        <v>1123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1784</v>
      </c>
      <c r="AD653" s="226" t="s">
        <v>1785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1835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1790</v>
      </c>
      <c r="BZ653" s="141" t="s">
        <v>2101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>
      <c r="A654" s="148"/>
      <c r="B654" s="209" t="s">
        <v>1837</v>
      </c>
      <c r="C654" s="209" t="s">
        <v>2120</v>
      </c>
      <c r="D654" s="209" t="s">
        <v>1212</v>
      </c>
      <c r="E654" s="209" t="s">
        <v>1800</v>
      </c>
      <c r="F654" s="209" t="s">
        <v>1233</v>
      </c>
      <c r="G654" s="209" t="s">
        <v>1125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1784</v>
      </c>
      <c r="AD654" s="226" t="s">
        <v>1785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1835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1790</v>
      </c>
      <c r="BZ654" s="141" t="s">
        <v>2100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>
      <c r="A655" s="148"/>
      <c r="B655" s="209" t="s">
        <v>1837</v>
      </c>
      <c r="C655" s="209" t="s">
        <v>2120</v>
      </c>
      <c r="D655" s="209" t="s">
        <v>1010</v>
      </c>
      <c r="E655" s="209" t="s">
        <v>1802</v>
      </c>
      <c r="F655" s="209" t="s">
        <v>1229</v>
      </c>
      <c r="G655" s="209" t="s">
        <v>1075</v>
      </c>
      <c r="H655" s="210">
        <v>812</v>
      </c>
      <c r="I655" s="211" t="s">
        <v>1077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1784</v>
      </c>
      <c r="AD655" s="226" t="s">
        <v>1785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1835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1790</v>
      </c>
      <c r="BZ655" s="141" t="s">
        <v>2104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>
      <c r="A656" s="162">
        <v>35</v>
      </c>
      <c r="B656" s="177" t="s">
        <v>1840</v>
      </c>
      <c r="C656" s="177" t="s">
        <v>2122</v>
      </c>
      <c r="D656" s="177" t="s">
        <v>1841</v>
      </c>
      <c r="E656" s="177"/>
      <c r="F656" s="177"/>
      <c r="G656" s="177" t="s">
        <v>1842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0.27272727272727271</v>
      </c>
      <c r="Y656" s="181"/>
      <c r="Z656" s="181"/>
      <c r="AA656" s="181"/>
      <c r="AB656" s="181"/>
      <c r="AC656" s="183" t="s">
        <v>1784</v>
      </c>
      <c r="AD656" s="184" t="s">
        <v>1785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1783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>
      <c r="A657" s="141"/>
      <c r="B657" s="199" t="s">
        <v>1840</v>
      </c>
      <c r="C657" s="199" t="s">
        <v>2122</v>
      </c>
      <c r="D657" s="199" t="s">
        <v>1195</v>
      </c>
      <c r="E657" s="199" t="s">
        <v>1788</v>
      </c>
      <c r="F657" s="199" t="s">
        <v>1244</v>
      </c>
      <c r="G657" s="199" t="s">
        <v>1245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1784</v>
      </c>
      <c r="AD657" s="225" t="s">
        <v>1785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1789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1790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>
      <c r="A658" s="141"/>
      <c r="B658" s="199" t="s">
        <v>1840</v>
      </c>
      <c r="C658" s="199" t="s">
        <v>2122</v>
      </c>
      <c r="D658" s="199" t="s">
        <v>1195</v>
      </c>
      <c r="E658" s="199" t="s">
        <v>1791</v>
      </c>
      <c r="F658" s="199" t="s">
        <v>1247</v>
      </c>
      <c r="G658" s="199" t="s">
        <v>1248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1784</v>
      </c>
      <c r="AD658" s="225" t="s">
        <v>1785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1789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1790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>
      <c r="A659" s="141"/>
      <c r="B659" s="199" t="s">
        <v>1840</v>
      </c>
      <c r="C659" s="199" t="s">
        <v>2122</v>
      </c>
      <c r="D659" s="199" t="s">
        <v>1204</v>
      </c>
      <c r="E659" s="199" t="s">
        <v>1792</v>
      </c>
      <c r="F659" s="199" t="s">
        <v>1249</v>
      </c>
      <c r="G659" s="199" t="s">
        <v>1250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1784</v>
      </c>
      <c r="AD659" s="225" t="s">
        <v>1785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1789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1790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>
      <c r="A660" s="141"/>
      <c r="B660" s="199" t="s">
        <v>1840</v>
      </c>
      <c r="C660" s="199" t="s">
        <v>2122</v>
      </c>
      <c r="D660" s="199" t="s">
        <v>1204</v>
      </c>
      <c r="E660" s="199" t="s">
        <v>1793</v>
      </c>
      <c r="F660" s="199" t="s">
        <v>1251</v>
      </c>
      <c r="G660" s="199" t="s">
        <v>1250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1784</v>
      </c>
      <c r="AD660" s="225" t="s">
        <v>1785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1789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1790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>
      <c r="A661" s="141"/>
      <c r="B661" s="199" t="s">
        <v>1840</v>
      </c>
      <c r="C661" s="199" t="s">
        <v>2122</v>
      </c>
      <c r="D661" s="199" t="s">
        <v>13</v>
      </c>
      <c r="E661" s="199" t="s">
        <v>1794</v>
      </c>
      <c r="F661" s="199" t="s">
        <v>1252</v>
      </c>
      <c r="G661" s="199" t="s">
        <v>1157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1784</v>
      </c>
      <c r="AD661" s="225" t="s">
        <v>1785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1789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1790</v>
      </c>
      <c r="BZ661" s="141" t="s">
        <v>2100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>
      <c r="A662" s="141"/>
      <c r="B662" s="199" t="s">
        <v>1840</v>
      </c>
      <c r="C662" s="199" t="s">
        <v>2122</v>
      </c>
      <c r="D662" s="199" t="s">
        <v>13</v>
      </c>
      <c r="E662" s="199" t="s">
        <v>1795</v>
      </c>
      <c r="F662" s="199" t="s">
        <v>1253</v>
      </c>
      <c r="G662" s="199" t="s">
        <v>1254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1784</v>
      </c>
      <c r="AD662" s="225" t="s">
        <v>1785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1789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1790</v>
      </c>
      <c r="BZ662" s="141" t="s">
        <v>2100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>
      <c r="A663" s="141"/>
      <c r="B663" s="199" t="s">
        <v>1840</v>
      </c>
      <c r="C663" s="199" t="s">
        <v>2122</v>
      </c>
      <c r="D663" s="199" t="s">
        <v>13</v>
      </c>
      <c r="E663" s="199" t="s">
        <v>1796</v>
      </c>
      <c r="F663" s="199" t="s">
        <v>1255</v>
      </c>
      <c r="G663" s="199" t="s">
        <v>1256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4</v>
      </c>
      <c r="U663" s="203">
        <f t="shared" ca="1" si="1453"/>
        <v>0</v>
      </c>
      <c r="V663" s="203">
        <f t="shared" ca="1" si="1454"/>
        <v>1</v>
      </c>
      <c r="W663" s="203"/>
      <c r="X663" s="203"/>
      <c r="Y663" s="203"/>
      <c r="Z663" s="203"/>
      <c r="AA663" s="203"/>
      <c r="AB663" s="203"/>
      <c r="AC663" s="205" t="s">
        <v>1784</v>
      </c>
      <c r="AD663" s="225" t="s">
        <v>1785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4</v>
      </c>
      <c r="AY663" s="203">
        <f t="shared" ca="1" si="1470"/>
        <v>0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1789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1790</v>
      </c>
      <c r="BZ663" s="141" t="s">
        <v>2103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>
      <c r="A664" s="141"/>
      <c r="B664" s="199" t="s">
        <v>1840</v>
      </c>
      <c r="C664" s="199" t="s">
        <v>2122</v>
      </c>
      <c r="D664" s="199" t="s">
        <v>13</v>
      </c>
      <c r="E664" s="199" t="s">
        <v>1797</v>
      </c>
      <c r="F664" s="199" t="s">
        <v>1257</v>
      </c>
      <c r="G664" s="199" t="s">
        <v>1256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203">
        <f t="shared" ca="1" si="1453"/>
        <v>0</v>
      </c>
      <c r="V664" s="203">
        <f t="shared" ca="1" si="1454"/>
        <v>1</v>
      </c>
      <c r="W664" s="203"/>
      <c r="X664" s="203"/>
      <c r="Y664" s="203"/>
      <c r="Z664" s="203"/>
      <c r="AA664" s="203"/>
      <c r="AB664" s="203"/>
      <c r="AC664" s="205" t="s">
        <v>1784</v>
      </c>
      <c r="AD664" s="225" t="s">
        <v>1785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2</v>
      </c>
      <c r="AY664" s="203">
        <f t="shared" ca="1" si="1470"/>
        <v>0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1789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1790</v>
      </c>
      <c r="BZ664" s="141" t="s">
        <v>2103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>
      <c r="A665" s="141"/>
      <c r="B665" s="199" t="s">
        <v>1840</v>
      </c>
      <c r="C665" s="199" t="s">
        <v>2122</v>
      </c>
      <c r="D665" s="199" t="s">
        <v>1210</v>
      </c>
      <c r="E665" s="199" t="s">
        <v>1798</v>
      </c>
      <c r="F665" s="199" t="s">
        <v>1259</v>
      </c>
      <c r="G665" s="199" t="s">
        <v>1123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1784</v>
      </c>
      <c r="AD665" s="225" t="s">
        <v>1785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1789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1790</v>
      </c>
      <c r="BZ665" s="141" t="s">
        <v>2101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>
      <c r="A666" s="141"/>
      <c r="B666" s="199" t="s">
        <v>1840</v>
      </c>
      <c r="C666" s="199" t="s">
        <v>2122</v>
      </c>
      <c r="D666" s="199" t="s">
        <v>1212</v>
      </c>
      <c r="E666" s="199" t="s">
        <v>1799</v>
      </c>
      <c r="F666" s="199" t="s">
        <v>1246</v>
      </c>
      <c r="G666" s="199" t="s">
        <v>1125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1784</v>
      </c>
      <c r="AD666" s="225" t="s">
        <v>1785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1789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1790</v>
      </c>
      <c r="BZ666" s="141" t="s">
        <v>2100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>
      <c r="A667" s="141"/>
      <c r="B667" s="199" t="s">
        <v>1840</v>
      </c>
      <c r="C667" s="199" t="s">
        <v>2122</v>
      </c>
      <c r="D667" s="199" t="s">
        <v>1010</v>
      </c>
      <c r="E667" s="199" t="s">
        <v>1802</v>
      </c>
      <c r="F667" s="199" t="s">
        <v>1243</v>
      </c>
      <c r="G667" s="199" t="s">
        <v>1075</v>
      </c>
      <c r="H667" s="200">
        <v>812</v>
      </c>
      <c r="I667" s="201" t="s">
        <v>1077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1784</v>
      </c>
      <c r="AD667" s="225" t="s">
        <v>1785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1789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1790</v>
      </c>
      <c r="BZ667" s="141" t="s">
        <v>2104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>
      <c r="A668" s="162">
        <v>36</v>
      </c>
      <c r="B668" s="177" t="s">
        <v>1843</v>
      </c>
      <c r="C668" s="177" t="s">
        <v>2124</v>
      </c>
      <c r="D668" s="177" t="s">
        <v>1844</v>
      </c>
      <c r="E668" s="177"/>
      <c r="F668" s="177"/>
      <c r="G668" s="177" t="s">
        <v>1845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0.37209302325581395</v>
      </c>
      <c r="Y668" s="181"/>
      <c r="Z668" s="181"/>
      <c r="AA668" s="181"/>
      <c r="AB668" s="181"/>
      <c r="AC668" s="183" t="s">
        <v>1784</v>
      </c>
      <c r="AD668" s="184" t="s">
        <v>1785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1783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>
      <c r="A669" s="141"/>
      <c r="B669" s="199" t="s">
        <v>1843</v>
      </c>
      <c r="C669" s="199" t="s">
        <v>2124</v>
      </c>
      <c r="D669" s="199" t="s">
        <v>1195</v>
      </c>
      <c r="E669" s="199" t="s">
        <v>1788</v>
      </c>
      <c r="F669" s="199" t="s">
        <v>1261</v>
      </c>
      <c r="G669" s="199" t="s">
        <v>1245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1784</v>
      </c>
      <c r="AD669" s="225" t="s">
        <v>1785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1789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1790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>
      <c r="A670" s="141"/>
      <c r="B670" s="199" t="s">
        <v>1843</v>
      </c>
      <c r="C670" s="199" t="s">
        <v>2124</v>
      </c>
      <c r="D670" s="199" t="s">
        <v>1204</v>
      </c>
      <c r="E670" s="199" t="s">
        <v>1791</v>
      </c>
      <c r="F670" s="199" t="s">
        <v>1274</v>
      </c>
      <c r="G670" s="199" t="s">
        <v>1275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1784</v>
      </c>
      <c r="AD670" s="225" t="s">
        <v>1785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1789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1790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>
      <c r="A671" s="141"/>
      <c r="B671" s="199" t="s">
        <v>1843</v>
      </c>
      <c r="C671" s="199" t="s">
        <v>2124</v>
      </c>
      <c r="D671" s="199" t="s">
        <v>1278</v>
      </c>
      <c r="E671" s="199" t="s">
        <v>1792</v>
      </c>
      <c r="F671" s="199" t="s">
        <v>1276</v>
      </c>
      <c r="G671" s="199" t="s">
        <v>1277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1784</v>
      </c>
      <c r="AD671" s="225" t="s">
        <v>1785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1789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1790</v>
      </c>
      <c r="BZ671" s="141" t="s">
        <v>2101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>
      <c r="A672" s="141"/>
      <c r="B672" s="199" t="s">
        <v>1843</v>
      </c>
      <c r="C672" s="199" t="s">
        <v>2124</v>
      </c>
      <c r="D672" s="199" t="s">
        <v>1200</v>
      </c>
      <c r="E672" s="199" t="s">
        <v>1793</v>
      </c>
      <c r="F672" s="199" t="s">
        <v>1279</v>
      </c>
      <c r="G672" s="199" t="s">
        <v>1280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1784</v>
      </c>
      <c r="AD672" s="225" t="s">
        <v>1785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1789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1790</v>
      </c>
      <c r="BZ672" s="141" t="s">
        <v>2101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>
      <c r="A673" s="141"/>
      <c r="B673" s="199" t="s">
        <v>1843</v>
      </c>
      <c r="C673" s="199" t="s">
        <v>2124</v>
      </c>
      <c r="D673" s="199" t="s">
        <v>13</v>
      </c>
      <c r="E673" s="199" t="s">
        <v>1794</v>
      </c>
      <c r="F673" s="199" t="s">
        <v>1281</v>
      </c>
      <c r="G673" s="199" t="s">
        <v>1282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3</v>
      </c>
      <c r="U673" s="203">
        <f t="shared" ca="1" si="1475"/>
        <v>0</v>
      </c>
      <c r="V673" s="203">
        <f t="shared" ca="1" si="1476"/>
        <v>1</v>
      </c>
      <c r="W673" s="203"/>
      <c r="X673" s="203"/>
      <c r="Y673" s="203"/>
      <c r="Z673" s="203"/>
      <c r="AA673" s="203"/>
      <c r="AB673" s="203"/>
      <c r="AC673" s="205" t="s">
        <v>1784</v>
      </c>
      <c r="AD673" s="225" t="s">
        <v>1785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3</v>
      </c>
      <c r="AY673" s="203">
        <f t="shared" ca="1" si="1492"/>
        <v>0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1789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1790</v>
      </c>
      <c r="BZ673" s="141" t="s">
        <v>2103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>
      <c r="A674" s="141"/>
      <c r="B674" s="199" t="s">
        <v>1843</v>
      </c>
      <c r="C674" s="199" t="s">
        <v>2124</v>
      </c>
      <c r="D674" s="199" t="s">
        <v>13</v>
      </c>
      <c r="E674" s="199" t="s">
        <v>1795</v>
      </c>
      <c r="F674" s="199" t="s">
        <v>1283</v>
      </c>
      <c r="G674" s="199" t="s">
        <v>1284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203">
        <f t="shared" ca="1" si="1475"/>
        <v>0</v>
      </c>
      <c r="V674" s="203">
        <f t="shared" ca="1" si="1476"/>
        <v>1</v>
      </c>
      <c r="W674" s="203"/>
      <c r="X674" s="203"/>
      <c r="Y674" s="203"/>
      <c r="Z674" s="203"/>
      <c r="AA674" s="203"/>
      <c r="AB674" s="203"/>
      <c r="AC674" s="205" t="s">
        <v>1784</v>
      </c>
      <c r="AD674" s="225" t="s">
        <v>1785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1</v>
      </c>
      <c r="AY674" s="203">
        <f t="shared" ca="1" si="1492"/>
        <v>0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1789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1790</v>
      </c>
      <c r="BZ674" s="141" t="s">
        <v>2103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>
      <c r="A675" s="141"/>
      <c r="B675" s="199" t="s">
        <v>1843</v>
      </c>
      <c r="C675" s="199" t="s">
        <v>2124</v>
      </c>
      <c r="D675" s="199" t="s">
        <v>13</v>
      </c>
      <c r="E675" s="199" t="s">
        <v>1796</v>
      </c>
      <c r="F675" s="199" t="s">
        <v>1285</v>
      </c>
      <c r="G675" s="199" t="s">
        <v>1157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1784</v>
      </c>
      <c r="AD675" s="225" t="s">
        <v>1785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1789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1790</v>
      </c>
      <c r="BZ675" s="141" t="s">
        <v>2100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>
      <c r="A676" s="141"/>
      <c r="B676" s="199" t="s">
        <v>1843</v>
      </c>
      <c r="C676" s="199" t="s">
        <v>2124</v>
      </c>
      <c r="D676" s="199" t="s">
        <v>13</v>
      </c>
      <c r="E676" s="199" t="s">
        <v>1797</v>
      </c>
      <c r="F676" s="199" t="s">
        <v>1286</v>
      </c>
      <c r="G676" s="199" t="s">
        <v>1284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475"/>
        <v>0</v>
      </c>
      <c r="V676" s="203">
        <f t="shared" ca="1" si="1476"/>
        <v>1</v>
      </c>
      <c r="W676" s="203"/>
      <c r="X676" s="203"/>
      <c r="Y676" s="203"/>
      <c r="Z676" s="203"/>
      <c r="AA676" s="203"/>
      <c r="AB676" s="203"/>
      <c r="AC676" s="205" t="s">
        <v>1784</v>
      </c>
      <c r="AD676" s="225" t="s">
        <v>1785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2</v>
      </c>
      <c r="AY676" s="203">
        <f t="shared" ca="1" si="1492"/>
        <v>0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1789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1790</v>
      </c>
      <c r="BZ676" s="141" t="s">
        <v>2103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>
      <c r="A677" s="141"/>
      <c r="B677" s="199" t="s">
        <v>1843</v>
      </c>
      <c r="C677" s="199" t="s">
        <v>2124</v>
      </c>
      <c r="D677" s="199" t="s">
        <v>13</v>
      </c>
      <c r="E677" s="199" t="s">
        <v>1798</v>
      </c>
      <c r="F677" s="199" t="s">
        <v>1287</v>
      </c>
      <c r="G677" s="199" t="s">
        <v>1256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10</v>
      </c>
      <c r="U677" s="203">
        <f t="shared" ca="1" si="1475"/>
        <v>0</v>
      </c>
      <c r="V677" s="203">
        <f t="shared" ca="1" si="1476"/>
        <v>1</v>
      </c>
      <c r="W677" s="203"/>
      <c r="X677" s="203"/>
      <c r="Y677" s="203"/>
      <c r="Z677" s="203"/>
      <c r="AA677" s="203"/>
      <c r="AB677" s="203"/>
      <c r="AC677" s="205" t="s">
        <v>1784</v>
      </c>
      <c r="AD677" s="225" t="s">
        <v>1785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10</v>
      </c>
      <c r="AY677" s="203">
        <f t="shared" ca="1" si="1492"/>
        <v>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1789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1790</v>
      </c>
      <c r="BZ677" s="141" t="s">
        <v>2103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>
      <c r="A678" s="141"/>
      <c r="B678" s="199" t="s">
        <v>1843</v>
      </c>
      <c r="C678" s="199" t="s">
        <v>2124</v>
      </c>
      <c r="D678" s="199" t="s">
        <v>1204</v>
      </c>
      <c r="E678" s="199" t="s">
        <v>1799</v>
      </c>
      <c r="F678" s="199" t="s">
        <v>1262</v>
      </c>
      <c r="G678" s="199" t="s">
        <v>1263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1784</v>
      </c>
      <c r="AD678" s="225" t="s">
        <v>1785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1789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1790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>
      <c r="A679" s="141"/>
      <c r="B679" s="199" t="s">
        <v>1843</v>
      </c>
      <c r="C679" s="199" t="s">
        <v>2124</v>
      </c>
      <c r="D679" s="199" t="s">
        <v>1204</v>
      </c>
      <c r="E679" s="199" t="s">
        <v>1800</v>
      </c>
      <c r="F679" s="199" t="s">
        <v>1264</v>
      </c>
      <c r="G679" s="199" t="s">
        <v>1265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1784</v>
      </c>
      <c r="AD679" s="225" t="s">
        <v>1785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1789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1790</v>
      </c>
      <c r="BZ679" s="141" t="s">
        <v>2123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>
      <c r="A680" s="141"/>
      <c r="B680" s="199" t="s">
        <v>1843</v>
      </c>
      <c r="C680" s="199" t="s">
        <v>2124</v>
      </c>
      <c r="D680" s="199" t="s">
        <v>13</v>
      </c>
      <c r="E680" s="199" t="s">
        <v>1801</v>
      </c>
      <c r="F680" s="199" t="s">
        <v>1266</v>
      </c>
      <c r="G680" s="199" t="s">
        <v>1267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1784</v>
      </c>
      <c r="AD680" s="225" t="s">
        <v>1785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1789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1790</v>
      </c>
      <c r="BZ680" s="141" t="s">
        <v>2100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>
      <c r="A681" s="141"/>
      <c r="B681" s="199" t="s">
        <v>1843</v>
      </c>
      <c r="C681" s="199" t="s">
        <v>2124</v>
      </c>
      <c r="D681" s="199" t="s">
        <v>13</v>
      </c>
      <c r="E681" s="199" t="s">
        <v>1815</v>
      </c>
      <c r="F681" s="199" t="s">
        <v>1268</v>
      </c>
      <c r="G681" s="199" t="s">
        <v>1269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1784</v>
      </c>
      <c r="AD681" s="225" t="s">
        <v>1785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1789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1790</v>
      </c>
      <c r="BZ681" s="141" t="s">
        <v>2100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>
      <c r="A682" s="141"/>
      <c r="B682" s="199" t="s">
        <v>1843</v>
      </c>
      <c r="C682" s="199" t="s">
        <v>2124</v>
      </c>
      <c r="D682" s="199" t="s">
        <v>1210</v>
      </c>
      <c r="E682" s="199" t="s">
        <v>1805</v>
      </c>
      <c r="F682" s="199" t="s">
        <v>1270</v>
      </c>
      <c r="G682" s="199" t="s">
        <v>1123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1784</v>
      </c>
      <c r="AD682" s="225" t="s">
        <v>1785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1789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1790</v>
      </c>
      <c r="BZ682" s="141" t="s">
        <v>2101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>
      <c r="A683" s="141"/>
      <c r="B683" s="199" t="s">
        <v>1843</v>
      </c>
      <c r="C683" s="199" t="s">
        <v>2124</v>
      </c>
      <c r="D683" s="199" t="s">
        <v>1212</v>
      </c>
      <c r="E683" s="199" t="s">
        <v>1816</v>
      </c>
      <c r="F683" s="199" t="s">
        <v>1271</v>
      </c>
      <c r="G683" s="199" t="s">
        <v>1125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1784</v>
      </c>
      <c r="AD683" s="225" t="s">
        <v>1785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1789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1790</v>
      </c>
      <c r="BZ683" s="141" t="s">
        <v>2100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>
      <c r="A684" s="141"/>
      <c r="B684" s="199" t="s">
        <v>1843</v>
      </c>
      <c r="C684" s="199" t="s">
        <v>2124</v>
      </c>
      <c r="D684" s="199" t="s">
        <v>13</v>
      </c>
      <c r="E684" s="199" t="s">
        <v>1817</v>
      </c>
      <c r="F684" s="199" t="s">
        <v>1272</v>
      </c>
      <c r="G684" s="199" t="s">
        <v>1273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1784</v>
      </c>
      <c r="AD684" s="225" t="s">
        <v>1785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1790</v>
      </c>
      <c r="BZ684" s="141" t="s">
        <v>2102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>
      <c r="A685" s="141"/>
      <c r="B685" s="199" t="s">
        <v>1843</v>
      </c>
      <c r="C685" s="199" t="s">
        <v>2124</v>
      </c>
      <c r="D685" s="199" t="s">
        <v>1010</v>
      </c>
      <c r="E685" s="199" t="s">
        <v>1802</v>
      </c>
      <c r="F685" s="199" t="s">
        <v>1260</v>
      </c>
      <c r="G685" s="199" t="s">
        <v>1075</v>
      </c>
      <c r="H685" s="200">
        <v>812</v>
      </c>
      <c r="I685" s="201" t="s">
        <v>1077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1784</v>
      </c>
      <c r="AD685" s="225" t="s">
        <v>1785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1789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1790</v>
      </c>
      <c r="BZ685" s="141" t="s">
        <v>2104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>
      <c r="A686" s="162">
        <v>37</v>
      </c>
      <c r="B686" s="177" t="s">
        <v>1846</v>
      </c>
      <c r="C686" s="177" t="s">
        <v>2125</v>
      </c>
      <c r="D686" s="177" t="s">
        <v>1847</v>
      </c>
      <c r="E686" s="177"/>
      <c r="F686" s="177"/>
      <c r="G686" s="177" t="s">
        <v>1848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1784</v>
      </c>
      <c r="AD686" s="184" t="s">
        <v>1785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1783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>
      <c r="A687" s="141"/>
      <c r="B687" s="199" t="s">
        <v>1846</v>
      </c>
      <c r="C687" s="199" t="s">
        <v>2125</v>
      </c>
      <c r="D687" s="199" t="s">
        <v>954</v>
      </c>
      <c r="E687" s="199" t="s">
        <v>1788</v>
      </c>
      <c r="F687" s="199" t="s">
        <v>952</v>
      </c>
      <c r="G687" s="199" t="s">
        <v>953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1784</v>
      </c>
      <c r="AD687" s="225" t="s">
        <v>1785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1789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1790</v>
      </c>
      <c r="BZ687" s="141" t="s">
        <v>2126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>
      <c r="A688" s="141"/>
      <c r="B688" s="199" t="s">
        <v>1846</v>
      </c>
      <c r="C688" s="199" t="s">
        <v>2125</v>
      </c>
      <c r="D688" s="199" t="s">
        <v>954</v>
      </c>
      <c r="E688" s="199" t="s">
        <v>1791</v>
      </c>
      <c r="F688" s="199" t="s">
        <v>958</v>
      </c>
      <c r="G688" s="199" t="s">
        <v>959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1784</v>
      </c>
      <c r="AD688" s="225" t="s">
        <v>1785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1789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1790</v>
      </c>
      <c r="BZ688" s="141" t="s">
        <v>2127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>
      <c r="A689" s="141"/>
      <c r="B689" s="199" t="s">
        <v>1846</v>
      </c>
      <c r="C689" s="199" t="s">
        <v>2125</v>
      </c>
      <c r="D689" s="199" t="s">
        <v>954</v>
      </c>
      <c r="E689" s="199" t="s">
        <v>1792</v>
      </c>
      <c r="F689" s="199" t="s">
        <v>963</v>
      </c>
      <c r="G689" s="199" t="s">
        <v>964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1784</v>
      </c>
      <c r="AD689" s="225" t="s">
        <v>1785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1789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1790</v>
      </c>
      <c r="BZ689" s="141" t="s">
        <v>2128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>
      <c r="A690" s="141"/>
      <c r="B690" s="199" t="s">
        <v>1846</v>
      </c>
      <c r="C690" s="199" t="s">
        <v>2125</v>
      </c>
      <c r="D690" s="199" t="s">
        <v>954</v>
      </c>
      <c r="E690" s="199" t="s">
        <v>1793</v>
      </c>
      <c r="F690" s="199" t="s">
        <v>968</v>
      </c>
      <c r="G690" s="199" t="s">
        <v>969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1784</v>
      </c>
      <c r="AD690" s="225" t="s">
        <v>1785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1789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1790</v>
      </c>
      <c r="BZ690" s="141" t="s">
        <v>2129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>
      <c r="A691" s="162">
        <v>38</v>
      </c>
      <c r="B691" s="177" t="s">
        <v>1846</v>
      </c>
      <c r="C691" s="177" t="s">
        <v>2130</v>
      </c>
      <c r="D691" s="177" t="s">
        <v>1849</v>
      </c>
      <c r="E691" s="177"/>
      <c r="F691" s="177"/>
      <c r="G691" s="177" t="s">
        <v>1850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0.125</v>
      </c>
      <c r="Y691" s="181"/>
      <c r="Z691" s="181"/>
      <c r="AA691" s="181"/>
      <c r="AB691" s="181"/>
      <c r="AC691" s="183" t="s">
        <v>1784</v>
      </c>
      <c r="AD691" s="184" t="s">
        <v>1785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1783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>
      <c r="A692" s="141"/>
      <c r="B692" s="199" t="s">
        <v>1846</v>
      </c>
      <c r="C692" s="199" t="s">
        <v>2130</v>
      </c>
      <c r="D692" s="199" t="s">
        <v>979</v>
      </c>
      <c r="E692" s="199" t="s">
        <v>1851</v>
      </c>
      <c r="F692" s="199" t="s">
        <v>977</v>
      </c>
      <c r="G692" s="199" t="s">
        <v>978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1784</v>
      </c>
      <c r="AD692" s="225" t="s">
        <v>1852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1789</v>
      </c>
      <c r="BG692" s="141"/>
      <c r="BH692" s="141"/>
      <c r="BI692" s="153"/>
      <c r="BJ692" s="153"/>
      <c r="BK692" s="153" t="s">
        <v>1853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1790</v>
      </c>
      <c r="BZ692" s="141" t="s">
        <v>2131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>
      <c r="A693" s="117"/>
      <c r="B693" s="209" t="s">
        <v>1846</v>
      </c>
      <c r="C693" s="209" t="s">
        <v>2130</v>
      </c>
      <c r="D693" s="209" t="s">
        <v>975</v>
      </c>
      <c r="E693" s="209" t="s">
        <v>1854</v>
      </c>
      <c r="F693" s="209" t="s">
        <v>973</v>
      </c>
      <c r="G693" s="209" t="s">
        <v>974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976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1784</v>
      </c>
      <c r="AD693" s="226" t="s">
        <v>1785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>
      <c r="A694" s="141"/>
      <c r="B694" s="199" t="s">
        <v>1846</v>
      </c>
      <c r="C694" s="199" t="s">
        <v>2130</v>
      </c>
      <c r="D694" s="199" t="s">
        <v>13</v>
      </c>
      <c r="E694" s="199" t="s">
        <v>1788</v>
      </c>
      <c r="F694" s="199" t="s">
        <v>985</v>
      </c>
      <c r="G694" s="199" t="s">
        <v>986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1784</v>
      </c>
      <c r="AD694" s="225" t="s">
        <v>1785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1789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1790</v>
      </c>
      <c r="BZ694" s="141" t="s">
        <v>2103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>
      <c r="A695" s="117"/>
      <c r="B695" s="209" t="s">
        <v>1846</v>
      </c>
      <c r="C695" s="209" t="s">
        <v>2130</v>
      </c>
      <c r="D695" s="209" t="s">
        <v>983</v>
      </c>
      <c r="E695" s="209" t="s">
        <v>1823</v>
      </c>
      <c r="F695" s="209" t="s">
        <v>981</v>
      </c>
      <c r="G695" s="209" t="s">
        <v>982</v>
      </c>
      <c r="H695" s="210"/>
      <c r="I695" s="211" t="s">
        <v>984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976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1784</v>
      </c>
      <c r="AD695" s="226" t="s">
        <v>1785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>
      <c r="A696" s="162">
        <v>39</v>
      </c>
      <c r="B696" s="177" t="s">
        <v>1846</v>
      </c>
      <c r="C696" s="177" t="s">
        <v>2132</v>
      </c>
      <c r="D696" s="177" t="s">
        <v>1855</v>
      </c>
      <c r="E696" s="177"/>
      <c r="F696" s="177"/>
      <c r="G696" s="177" t="s">
        <v>1856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0.3125</v>
      </c>
      <c r="Y696" s="181"/>
      <c r="Z696" s="181"/>
      <c r="AA696" s="181"/>
      <c r="AB696" s="181"/>
      <c r="AC696" s="183" t="s">
        <v>1784</v>
      </c>
      <c r="AD696" s="184" t="s">
        <v>1785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1783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>
      <c r="A697" s="141"/>
      <c r="B697" s="199" t="s">
        <v>1846</v>
      </c>
      <c r="C697" s="199" t="s">
        <v>2132</v>
      </c>
      <c r="D697" s="199" t="s">
        <v>13</v>
      </c>
      <c r="E697" s="199" t="s">
        <v>1788</v>
      </c>
      <c r="F697" s="199" t="s">
        <v>990</v>
      </c>
      <c r="G697" s="199" t="s">
        <v>991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1784</v>
      </c>
      <c r="AD697" s="225" t="s">
        <v>1785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1789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1790</v>
      </c>
      <c r="BZ697" s="141" t="s">
        <v>2133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>
      <c r="A698" s="141"/>
      <c r="B698" s="199" t="s">
        <v>1846</v>
      </c>
      <c r="C698" s="199" t="s">
        <v>2132</v>
      </c>
      <c r="D698" s="199" t="s">
        <v>13</v>
      </c>
      <c r="E698" s="199" t="s">
        <v>1791</v>
      </c>
      <c r="F698" s="199" t="s">
        <v>995</v>
      </c>
      <c r="G698" s="199" t="s">
        <v>996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1784</v>
      </c>
      <c r="AD698" s="225" t="s">
        <v>1785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1789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1790</v>
      </c>
      <c r="BZ698" s="141" t="s">
        <v>2133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>
      <c r="A699" s="162">
        <v>40</v>
      </c>
      <c r="B699" s="177" t="s">
        <v>1857</v>
      </c>
      <c r="C699" s="177" t="s">
        <v>2134</v>
      </c>
      <c r="D699" s="177" t="s">
        <v>1858</v>
      </c>
      <c r="E699" s="177"/>
      <c r="F699" s="177"/>
      <c r="G699" s="177" t="s">
        <v>1859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1784</v>
      </c>
      <c r="AD699" s="184" t="s">
        <v>1785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1783</v>
      </c>
      <c r="AV699" s="181">
        <v>2</v>
      </c>
      <c r="AW699" s="181"/>
      <c r="AX699" s="181">
        <v>2</v>
      </c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>
      <c r="A700" s="162">
        <v>41</v>
      </c>
      <c r="B700" s="177" t="s">
        <v>1857</v>
      </c>
      <c r="C700" s="177" t="s">
        <v>2135</v>
      </c>
      <c r="D700" s="177" t="s">
        <v>1858</v>
      </c>
      <c r="E700" s="177"/>
      <c r="F700" s="177"/>
      <c r="G700" s="177" t="s">
        <v>1860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1784</v>
      </c>
      <c r="AD700" s="184" t="s">
        <v>1785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1783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>
      <c r="A701" s="162">
        <v>42</v>
      </c>
      <c r="B701" s="177" t="s">
        <v>1846</v>
      </c>
      <c r="C701" s="177" t="s">
        <v>2136</v>
      </c>
      <c r="D701" s="177" t="s">
        <v>1861</v>
      </c>
      <c r="E701" s="177"/>
      <c r="F701" s="177"/>
      <c r="G701" s="177" t="s">
        <v>1862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1784</v>
      </c>
      <c r="AD701" s="184" t="s">
        <v>1785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1783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>
      <c r="A702" s="141"/>
      <c r="B702" s="199" t="s">
        <v>1846</v>
      </c>
      <c r="C702" s="199" t="s">
        <v>2136</v>
      </c>
      <c r="D702" s="199" t="s">
        <v>954</v>
      </c>
      <c r="E702" s="199" t="s">
        <v>1788</v>
      </c>
      <c r="F702" s="199" t="s">
        <v>997</v>
      </c>
      <c r="G702" s="199" t="s">
        <v>998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1784</v>
      </c>
      <c r="AD702" s="225" t="s">
        <v>1785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1789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1790</v>
      </c>
      <c r="BZ702" s="141" t="s">
        <v>2129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>
      <c r="A703" s="162">
        <v>43</v>
      </c>
      <c r="B703" s="177" t="s">
        <v>1863</v>
      </c>
      <c r="C703" s="177" t="s">
        <v>2137</v>
      </c>
      <c r="D703" s="177" t="s">
        <v>1864</v>
      </c>
      <c r="E703" s="177"/>
      <c r="F703" s="177"/>
      <c r="G703" s="177" t="s">
        <v>1865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0.25</v>
      </c>
      <c r="Y703" s="181"/>
      <c r="Z703" s="181"/>
      <c r="AA703" s="181"/>
      <c r="AB703" s="181"/>
      <c r="AC703" s="183" t="s">
        <v>1784</v>
      </c>
      <c r="AD703" s="184" t="s">
        <v>1785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1783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>
      <c r="A704" s="117"/>
      <c r="B704" s="209" t="s">
        <v>1863</v>
      </c>
      <c r="C704" s="209" t="s">
        <v>2137</v>
      </c>
      <c r="D704" s="209" t="s">
        <v>1016</v>
      </c>
      <c r="E704" s="209" t="s">
        <v>1823</v>
      </c>
      <c r="F704" s="209" t="s">
        <v>1014</v>
      </c>
      <c r="G704" s="209" t="s">
        <v>1015</v>
      </c>
      <c r="H704" s="210"/>
      <c r="I704" s="211" t="s">
        <v>1017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976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1784</v>
      </c>
      <c r="AD704" s="226" t="s">
        <v>1785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>
      <c r="A705" s="141"/>
      <c r="B705" s="199" t="s">
        <v>1863</v>
      </c>
      <c r="C705" s="199" t="s">
        <v>2137</v>
      </c>
      <c r="D705" s="199" t="s">
        <v>1010</v>
      </c>
      <c r="E705" s="199" t="s">
        <v>1802</v>
      </c>
      <c r="F705" s="199" t="s">
        <v>1008</v>
      </c>
      <c r="G705" s="199" t="s">
        <v>1009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1784</v>
      </c>
      <c r="AD705" s="225" t="s">
        <v>1785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1789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1790</v>
      </c>
      <c r="BZ705" s="141" t="s">
        <v>2123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>
      <c r="A706" s="141"/>
      <c r="B706" s="199" t="s">
        <v>1863</v>
      </c>
      <c r="C706" s="199" t="s">
        <v>2137</v>
      </c>
      <c r="D706" s="199" t="s">
        <v>13</v>
      </c>
      <c r="E706" s="199" t="s">
        <v>1788</v>
      </c>
      <c r="F706" s="199" t="s">
        <v>1018</v>
      </c>
      <c r="G706" s="199" t="s">
        <v>1019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1784</v>
      </c>
      <c r="AD706" s="225" t="s">
        <v>1785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1789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1790</v>
      </c>
      <c r="BZ706" s="141" t="s">
        <v>2099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>
      <c r="A707" s="162">
        <v>44</v>
      </c>
      <c r="B707" s="177" t="s">
        <v>1863</v>
      </c>
      <c r="C707" s="177" t="s">
        <v>2138</v>
      </c>
      <c r="D707" s="177" t="s">
        <v>1866</v>
      </c>
      <c r="E707" s="177"/>
      <c r="F707" s="177"/>
      <c r="G707" s="177" t="s">
        <v>1867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1784</v>
      </c>
      <c r="AD707" s="184" t="s">
        <v>1785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1783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>
      <c r="A708" s="141"/>
      <c r="B708" s="199" t="s">
        <v>1863</v>
      </c>
      <c r="C708" s="199" t="s">
        <v>2138</v>
      </c>
      <c r="D708" s="199" t="s">
        <v>1007</v>
      </c>
      <c r="E708" s="199" t="s">
        <v>1868</v>
      </c>
      <c r="F708" s="199" t="s">
        <v>1031</v>
      </c>
      <c r="G708" s="199" t="s">
        <v>1032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1784</v>
      </c>
      <c r="AD708" s="225" t="s">
        <v>1785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1789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1790</v>
      </c>
      <c r="BZ708" s="141" t="s">
        <v>2139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>
      <c r="A709" s="141"/>
      <c r="B709" s="199" t="s">
        <v>1863</v>
      </c>
      <c r="C709" s="199" t="s">
        <v>2138</v>
      </c>
      <c r="D709" s="199" t="s">
        <v>1025</v>
      </c>
      <c r="E709" s="199" t="s">
        <v>1869</v>
      </c>
      <c r="F709" s="199" t="s">
        <v>1023</v>
      </c>
      <c r="G709" s="199" t="s">
        <v>1024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1784</v>
      </c>
      <c r="AD709" s="225" t="s">
        <v>1870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1789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1790</v>
      </c>
      <c r="BZ709" s="141" t="s">
        <v>2140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>
      <c r="A710" s="141"/>
      <c r="B710" s="199" t="s">
        <v>1863</v>
      </c>
      <c r="C710" s="199" t="s">
        <v>2138</v>
      </c>
      <c r="D710" s="199" t="s">
        <v>13</v>
      </c>
      <c r="E710" s="199" t="s">
        <v>1788</v>
      </c>
      <c r="F710" s="199" t="s">
        <v>1029</v>
      </c>
      <c r="G710" s="199" t="s">
        <v>1030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1784</v>
      </c>
      <c r="AD710" s="225" t="s">
        <v>1785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1789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1790</v>
      </c>
      <c r="BZ710" s="141" t="s">
        <v>2099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>
      <c r="A711" s="162">
        <v>45</v>
      </c>
      <c r="B711" s="177" t="s">
        <v>1863</v>
      </c>
      <c r="C711" s="177" t="s">
        <v>2141</v>
      </c>
      <c r="D711" s="177" t="s">
        <v>1871</v>
      </c>
      <c r="E711" s="177"/>
      <c r="F711" s="177"/>
      <c r="G711" s="177" t="s">
        <v>1872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0.3</v>
      </c>
      <c r="Y711" s="181"/>
      <c r="Z711" s="181"/>
      <c r="AA711" s="181"/>
      <c r="AB711" s="181"/>
      <c r="AC711" s="183" t="s">
        <v>1784</v>
      </c>
      <c r="AD711" s="184" t="s">
        <v>1785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1783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>
      <c r="A712" s="117"/>
      <c r="B712" s="209" t="s">
        <v>1863</v>
      </c>
      <c r="C712" s="209" t="s">
        <v>2141</v>
      </c>
      <c r="D712" s="209" t="s">
        <v>1873</v>
      </c>
      <c r="E712" s="209" t="s">
        <v>1823</v>
      </c>
      <c r="F712" s="209" t="s">
        <v>1035</v>
      </c>
      <c r="G712" s="209" t="s">
        <v>1874</v>
      </c>
      <c r="H712" s="210"/>
      <c r="I712" s="211" t="s">
        <v>1017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976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1784</v>
      </c>
      <c r="AD712" s="226" t="s">
        <v>1785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>
      <c r="A713" s="141"/>
      <c r="B713" s="199" t="s">
        <v>1863</v>
      </c>
      <c r="C713" s="199" t="s">
        <v>2141</v>
      </c>
      <c r="D713" s="199" t="s">
        <v>1007</v>
      </c>
      <c r="E713" s="199" t="s">
        <v>1868</v>
      </c>
      <c r="F713" s="199" t="s">
        <v>1039</v>
      </c>
      <c r="G713" s="199" t="s">
        <v>1040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1784</v>
      </c>
      <c r="AD713" s="225" t="s">
        <v>1785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1789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1790</v>
      </c>
      <c r="BZ713" s="141" t="s">
        <v>2142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>
      <c r="A714" s="141"/>
      <c r="B714" s="199" t="s">
        <v>1863</v>
      </c>
      <c r="C714" s="199" t="s">
        <v>2141</v>
      </c>
      <c r="D714" s="199" t="s">
        <v>1007</v>
      </c>
      <c r="E714" s="199" t="s">
        <v>1875</v>
      </c>
      <c r="F714" s="199" t="s">
        <v>1043</v>
      </c>
      <c r="G714" s="199" t="s">
        <v>1044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1784</v>
      </c>
      <c r="AD714" s="225" t="s">
        <v>1785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1789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1790</v>
      </c>
      <c r="BZ714" s="141" t="s">
        <v>2143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>
      <c r="A715" s="117"/>
      <c r="B715" s="209" t="s">
        <v>1863</v>
      </c>
      <c r="C715" s="209" t="s">
        <v>2141</v>
      </c>
      <c r="D715" s="209" t="s">
        <v>1037</v>
      </c>
      <c r="E715" s="209" t="s">
        <v>1823</v>
      </c>
      <c r="F715" s="209"/>
      <c r="G715" s="209" t="s">
        <v>1036</v>
      </c>
      <c r="H715" s="210" t="s">
        <v>1038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976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1784</v>
      </c>
      <c r="AD715" s="226" t="s">
        <v>1785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>
      <c r="A716" s="162">
        <v>46</v>
      </c>
      <c r="B716" s="177" t="s">
        <v>1863</v>
      </c>
      <c r="C716" s="177" t="s">
        <v>2144</v>
      </c>
      <c r="D716" s="177" t="s">
        <v>1876</v>
      </c>
      <c r="E716" s="177"/>
      <c r="F716" s="177"/>
      <c r="G716" s="177" t="s">
        <v>1877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0.2857142857142857</v>
      </c>
      <c r="Y716" s="181"/>
      <c r="Z716" s="181"/>
      <c r="AA716" s="181"/>
      <c r="AB716" s="181"/>
      <c r="AC716" s="183" t="s">
        <v>1784</v>
      </c>
      <c r="AD716" s="184" t="s">
        <v>1785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1783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>
      <c r="A717" s="117"/>
      <c r="B717" s="209" t="s">
        <v>1863</v>
      </c>
      <c r="C717" s="209" t="s">
        <v>2144</v>
      </c>
      <c r="D717" s="209" t="s">
        <v>1016</v>
      </c>
      <c r="E717" s="209" t="s">
        <v>1823</v>
      </c>
      <c r="F717" s="209" t="s">
        <v>1052</v>
      </c>
      <c r="G717" s="209" t="s">
        <v>1053</v>
      </c>
      <c r="H717" s="210"/>
      <c r="I717" s="211" t="s">
        <v>1017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976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1784</v>
      </c>
      <c r="AD717" s="226" t="s">
        <v>1785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>
      <c r="A718" s="141"/>
      <c r="B718" s="199" t="s">
        <v>1863</v>
      </c>
      <c r="C718" s="199" t="s">
        <v>2144</v>
      </c>
      <c r="D718" s="199" t="s">
        <v>1010</v>
      </c>
      <c r="E718" s="199" t="s">
        <v>1802</v>
      </c>
      <c r="F718" s="199" t="s">
        <v>1047</v>
      </c>
      <c r="G718" s="199" t="s">
        <v>1048</v>
      </c>
      <c r="H718" s="200">
        <v>761</v>
      </c>
      <c r="I718" s="201" t="s">
        <v>1049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1784</v>
      </c>
      <c r="AD718" s="225" t="s">
        <v>1785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1789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1790</v>
      </c>
      <c r="BZ718" s="141" t="s">
        <v>2145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>
      <c r="A719" s="141"/>
      <c r="B719" s="199" t="s">
        <v>1863</v>
      </c>
      <c r="C719" s="199" t="s">
        <v>2144</v>
      </c>
      <c r="D719" s="199" t="s">
        <v>13</v>
      </c>
      <c r="E719" s="199" t="s">
        <v>1788</v>
      </c>
      <c r="F719" s="199" t="s">
        <v>1056</v>
      </c>
      <c r="G719" s="199" t="s">
        <v>1057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1784</v>
      </c>
      <c r="AD719" s="225" t="s">
        <v>1785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1789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1790</v>
      </c>
      <c r="BZ719" s="141" t="s">
        <v>2119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>
      <c r="A720" s="141"/>
      <c r="B720" s="199" t="s">
        <v>1863</v>
      </c>
      <c r="C720" s="199" t="s">
        <v>2144</v>
      </c>
      <c r="D720" s="199" t="s">
        <v>13</v>
      </c>
      <c r="E720" s="199" t="s">
        <v>1791</v>
      </c>
      <c r="F720" s="199" t="s">
        <v>1061</v>
      </c>
      <c r="G720" s="199" t="s">
        <v>1062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1784</v>
      </c>
      <c r="AD720" s="225" t="s">
        <v>1785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1789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1790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>
      <c r="A721" s="141"/>
      <c r="B721" s="199" t="s">
        <v>1863</v>
      </c>
      <c r="C721" s="199" t="s">
        <v>2144</v>
      </c>
      <c r="D721" s="199" t="s">
        <v>13</v>
      </c>
      <c r="E721" s="199" t="s">
        <v>1792</v>
      </c>
      <c r="F721" s="199" t="s">
        <v>1064</v>
      </c>
      <c r="G721" s="199" t="s">
        <v>1065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1784</v>
      </c>
      <c r="AD721" s="225" t="s">
        <v>1785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1789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1790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>
      <c r="A722" s="117"/>
      <c r="B722" s="209" t="s">
        <v>1863</v>
      </c>
      <c r="C722" s="209" t="s">
        <v>2144</v>
      </c>
      <c r="D722" s="209" t="s">
        <v>1055</v>
      </c>
      <c r="E722" s="209" t="s">
        <v>1878</v>
      </c>
      <c r="F722" s="209" t="s">
        <v>1054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976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1784</v>
      </c>
      <c r="AD722" s="226" t="s">
        <v>1785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>
      <c r="A723" s="162">
        <v>47</v>
      </c>
      <c r="B723" s="177" t="s">
        <v>1863</v>
      </c>
      <c r="C723" s="177" t="s">
        <v>2146</v>
      </c>
      <c r="D723" s="177" t="s">
        <v>1879</v>
      </c>
      <c r="E723" s="177"/>
      <c r="F723" s="177"/>
      <c r="G723" s="177" t="s">
        <v>1880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1784</v>
      </c>
      <c r="AD723" s="184" t="s">
        <v>1785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1783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>
      <c r="A724" s="117"/>
      <c r="B724" s="209" t="s">
        <v>1863</v>
      </c>
      <c r="C724" s="209" t="s">
        <v>2146</v>
      </c>
      <c r="D724" s="209" t="s">
        <v>1016</v>
      </c>
      <c r="E724" s="209" t="s">
        <v>1823</v>
      </c>
      <c r="F724" s="209" t="s">
        <v>1067</v>
      </c>
      <c r="G724" s="209" t="s">
        <v>1053</v>
      </c>
      <c r="H724" s="210"/>
      <c r="I724" s="211" t="s">
        <v>1017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976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1784</v>
      </c>
      <c r="AD724" s="226" t="s">
        <v>1785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>
      <c r="A725" s="141"/>
      <c r="B725" s="199" t="s">
        <v>1863</v>
      </c>
      <c r="C725" s="199" t="s">
        <v>2146</v>
      </c>
      <c r="D725" s="199" t="s">
        <v>1010</v>
      </c>
      <c r="E725" s="199" t="s">
        <v>1802</v>
      </c>
      <c r="F725" s="199" t="s">
        <v>1066</v>
      </c>
      <c r="G725" s="199" t="s">
        <v>1048</v>
      </c>
      <c r="H725" s="200">
        <v>604</v>
      </c>
      <c r="I725" s="201" t="s">
        <v>1049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1784</v>
      </c>
      <c r="AD725" s="225" t="s">
        <v>1785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1789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1790</v>
      </c>
      <c r="BZ725" s="141" t="s">
        <v>2145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>
      <c r="A726" s="141"/>
      <c r="B726" s="199" t="s">
        <v>1863</v>
      </c>
      <c r="C726" s="199" t="s">
        <v>2146</v>
      </c>
      <c r="D726" s="199" t="s">
        <v>13</v>
      </c>
      <c r="E726" s="199" t="s">
        <v>1788</v>
      </c>
      <c r="F726" s="199" t="s">
        <v>1069</v>
      </c>
      <c r="G726" s="199" t="s">
        <v>1070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1784</v>
      </c>
      <c r="AD726" s="225" t="s">
        <v>1785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1789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1790</v>
      </c>
      <c r="BZ726" s="141" t="s">
        <v>2123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>
      <c r="A727" s="117"/>
      <c r="B727" s="209" t="s">
        <v>1863</v>
      </c>
      <c r="C727" s="209" t="s">
        <v>2146</v>
      </c>
      <c r="D727" s="209" t="s">
        <v>1055</v>
      </c>
      <c r="E727" s="209" t="s">
        <v>1878</v>
      </c>
      <c r="F727" s="209" t="s">
        <v>1068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976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1784</v>
      </c>
      <c r="AD727" s="226" t="s">
        <v>1785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>
      <c r="A728" s="162">
        <v>48</v>
      </c>
      <c r="B728" s="177" t="s">
        <v>1863</v>
      </c>
      <c r="C728" s="177" t="s">
        <v>2147</v>
      </c>
      <c r="D728" s="177" t="s">
        <v>1881</v>
      </c>
      <c r="E728" s="177"/>
      <c r="F728" s="177"/>
      <c r="G728" s="177" t="s">
        <v>1882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1784</v>
      </c>
      <c r="AD728" s="184" t="s">
        <v>1785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1783</v>
      </c>
      <c r="AV728" s="181">
        <v>1</v>
      </c>
      <c r="AW728" s="181"/>
      <c r="AX728" s="181"/>
      <c r="AY728" s="181"/>
      <c r="AZ728" s="179" t="s">
        <v>1038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>
      <c r="A729" s="141"/>
      <c r="B729" s="199" t="s">
        <v>1863</v>
      </c>
      <c r="C729" s="199" t="s">
        <v>2147</v>
      </c>
      <c r="D729" s="199" t="s">
        <v>1073</v>
      </c>
      <c r="E729" s="199" t="s">
        <v>1883</v>
      </c>
      <c r="F729" s="199" t="s">
        <v>1071</v>
      </c>
      <c r="G729" s="199" t="s">
        <v>1072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1784</v>
      </c>
      <c r="AD729" s="225" t="s">
        <v>1785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1789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1790</v>
      </c>
      <c r="BZ729" s="141" t="s">
        <v>2126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>
      <c r="A730" s="162">
        <v>49</v>
      </c>
      <c r="B730" s="177" t="s">
        <v>1857</v>
      </c>
      <c r="C730" s="177" t="s">
        <v>2148</v>
      </c>
      <c r="D730" s="177" t="s">
        <v>1884</v>
      </c>
      <c r="E730" s="177"/>
      <c r="F730" s="177"/>
      <c r="G730" s="177" t="s">
        <v>1885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1784</v>
      </c>
      <c r="AD730" s="184" t="s">
        <v>1785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1783</v>
      </c>
      <c r="AV730" s="181">
        <v>17</v>
      </c>
      <c r="AW730" s="181"/>
      <c r="AX730" s="181">
        <v>17</v>
      </c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>
      <c r="A731" s="162">
        <v>50</v>
      </c>
      <c r="B731" s="177" t="s">
        <v>1857</v>
      </c>
      <c r="C731" s="177" t="s">
        <v>2149</v>
      </c>
      <c r="D731" s="177" t="s">
        <v>1884</v>
      </c>
      <c r="E731" s="177"/>
      <c r="F731" s="177"/>
      <c r="G731" s="177" t="s">
        <v>1885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1784</v>
      </c>
      <c r="AD731" s="184" t="s">
        <v>1785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1783</v>
      </c>
      <c r="AV731" s="181">
        <v>1</v>
      </c>
      <c r="AW731" s="181"/>
      <c r="AX731" s="181">
        <v>1</v>
      </c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>
      <c r="A732" s="162">
        <v>51</v>
      </c>
      <c r="B732" s="177" t="s">
        <v>1857</v>
      </c>
      <c r="C732" s="177" t="s">
        <v>2150</v>
      </c>
      <c r="D732" s="177" t="s">
        <v>1884</v>
      </c>
      <c r="E732" s="177"/>
      <c r="F732" s="177"/>
      <c r="G732" s="177" t="s">
        <v>1885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1784</v>
      </c>
      <c r="AD732" s="184" t="s">
        <v>1785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1783</v>
      </c>
      <c r="AV732" s="181">
        <v>1</v>
      </c>
      <c r="AW732" s="181"/>
      <c r="AX732" s="181">
        <v>1</v>
      </c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>
      <c r="A733" s="162">
        <v>52</v>
      </c>
      <c r="B733" s="177" t="s">
        <v>1857</v>
      </c>
      <c r="C733" s="177" t="s">
        <v>2151</v>
      </c>
      <c r="D733" s="177" t="s">
        <v>1886</v>
      </c>
      <c r="E733" s="177"/>
      <c r="F733" s="177"/>
      <c r="G733" s="177" t="s">
        <v>1887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1784</v>
      </c>
      <c r="AD733" s="184" t="s">
        <v>1785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1783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>
      <c r="A734" s="162">
        <v>53</v>
      </c>
      <c r="B734" s="177" t="s">
        <v>1857</v>
      </c>
      <c r="C734" s="177" t="s">
        <v>1888</v>
      </c>
      <c r="D734" s="177" t="s">
        <v>1889</v>
      </c>
      <c r="E734" s="177"/>
      <c r="F734" s="177"/>
      <c r="G734" s="177" t="s">
        <v>1890</v>
      </c>
      <c r="H734" s="178"/>
      <c r="I734" s="179" t="s">
        <v>1891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1784</v>
      </c>
      <c r="AD734" s="184" t="s">
        <v>1785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1783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>
      <c r="A735" s="162">
        <v>54</v>
      </c>
      <c r="B735" s="177" t="s">
        <v>1857</v>
      </c>
      <c r="C735" s="177" t="s">
        <v>1892</v>
      </c>
      <c r="D735" s="177" t="s">
        <v>1893</v>
      </c>
      <c r="E735" s="177"/>
      <c r="F735" s="177"/>
      <c r="G735" s="177" t="s">
        <v>1894</v>
      </c>
      <c r="H735" s="178"/>
      <c r="I735" s="179" t="s">
        <v>1895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1784</v>
      </c>
      <c r="AD735" s="184" t="s">
        <v>1785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1783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>
      <c r="A736" s="162">
        <v>55</v>
      </c>
      <c r="B736" s="177" t="s">
        <v>1857</v>
      </c>
      <c r="C736" s="177" t="s">
        <v>1896</v>
      </c>
      <c r="D736" s="177" t="s">
        <v>1897</v>
      </c>
      <c r="E736" s="177"/>
      <c r="F736" s="177"/>
      <c r="G736" s="177" t="s">
        <v>1898</v>
      </c>
      <c r="H736" s="178"/>
      <c r="I736" s="179" t="s">
        <v>1899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1784</v>
      </c>
      <c r="AD736" s="184" t="s">
        <v>1785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1783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>
      <c r="A737" s="162">
        <v>56</v>
      </c>
      <c r="B737" s="177" t="s">
        <v>1857</v>
      </c>
      <c r="C737" s="177" t="s">
        <v>1900</v>
      </c>
      <c r="D737" s="177" t="s">
        <v>1901</v>
      </c>
      <c r="E737" s="177"/>
      <c r="F737" s="177"/>
      <c r="G737" s="177" t="s">
        <v>1902</v>
      </c>
      <c r="H737" s="178"/>
      <c r="I737" s="179" t="s">
        <v>1903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1784</v>
      </c>
      <c r="AD737" s="184" t="s">
        <v>1785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1783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>
      <c r="A738" s="162">
        <v>57</v>
      </c>
      <c r="B738" s="177" t="s">
        <v>1857</v>
      </c>
      <c r="C738" s="177" t="s">
        <v>1904</v>
      </c>
      <c r="D738" s="177" t="s">
        <v>1901</v>
      </c>
      <c r="E738" s="177"/>
      <c r="F738" s="177"/>
      <c r="G738" s="177" t="s">
        <v>1905</v>
      </c>
      <c r="H738" s="178"/>
      <c r="I738" s="179" t="s">
        <v>1903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1784</v>
      </c>
      <c r="AD738" s="184" t="s">
        <v>1785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1783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>
      <c r="A739" s="162">
        <v>58</v>
      </c>
      <c r="B739" s="177" t="s">
        <v>1857</v>
      </c>
      <c r="C739" s="177" t="s">
        <v>1906</v>
      </c>
      <c r="D739" s="177" t="s">
        <v>1907</v>
      </c>
      <c r="E739" s="177"/>
      <c r="F739" s="177"/>
      <c r="G739" s="177" t="s">
        <v>1908</v>
      </c>
      <c r="H739" s="178"/>
      <c r="I739" s="179" t="s">
        <v>1909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1784</v>
      </c>
      <c r="AD739" s="184" t="s">
        <v>1785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1783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>
      <c r="A740" s="162">
        <v>59</v>
      </c>
      <c r="B740" s="177" t="s">
        <v>1857</v>
      </c>
      <c r="C740" s="177" t="s">
        <v>1910</v>
      </c>
      <c r="D740" s="177" t="s">
        <v>1907</v>
      </c>
      <c r="E740" s="177"/>
      <c r="F740" s="177"/>
      <c r="G740" s="177" t="s">
        <v>1911</v>
      </c>
      <c r="H740" s="178"/>
      <c r="I740" s="179" t="s">
        <v>1912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1784</v>
      </c>
      <c r="AD740" s="184" t="s">
        <v>1785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1783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>
      <c r="A741" s="162">
        <v>60</v>
      </c>
      <c r="B741" s="177" t="s">
        <v>1857</v>
      </c>
      <c r="C741" s="177" t="s">
        <v>1913</v>
      </c>
      <c r="D741" s="177" t="s">
        <v>1907</v>
      </c>
      <c r="E741" s="177"/>
      <c r="F741" s="177"/>
      <c r="G741" s="177" t="s">
        <v>1914</v>
      </c>
      <c r="H741" s="178"/>
      <c r="I741" s="179" t="s">
        <v>1909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1784</v>
      </c>
      <c r="AD741" s="184" t="s">
        <v>1785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1783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>
      <c r="A742" s="162">
        <v>61</v>
      </c>
      <c r="B742" s="177" t="s">
        <v>1857</v>
      </c>
      <c r="C742" s="177" t="s">
        <v>1915</v>
      </c>
      <c r="D742" s="177" t="s">
        <v>1073</v>
      </c>
      <c r="E742" s="177"/>
      <c r="F742" s="177"/>
      <c r="G742" s="177" t="s">
        <v>1914</v>
      </c>
      <c r="H742" s="178"/>
      <c r="I742" s="179" t="s">
        <v>1916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1784</v>
      </c>
      <c r="AD742" s="184" t="s">
        <v>1785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1783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>
      <c r="A743" s="162">
        <v>62</v>
      </c>
      <c r="B743" s="177" t="s">
        <v>1857</v>
      </c>
      <c r="C743" s="177" t="s">
        <v>1917</v>
      </c>
      <c r="D743" s="177" t="s">
        <v>1073</v>
      </c>
      <c r="E743" s="177"/>
      <c r="F743" s="177"/>
      <c r="G743" s="177" t="s">
        <v>1908</v>
      </c>
      <c r="H743" s="178"/>
      <c r="I743" s="179" t="s">
        <v>1916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1784</v>
      </c>
      <c r="AD743" s="184" t="s">
        <v>1785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1783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>
      <c r="A744" s="162">
        <v>63</v>
      </c>
      <c r="B744" s="177" t="s">
        <v>1857</v>
      </c>
      <c r="C744" s="177" t="s">
        <v>1918</v>
      </c>
      <c r="D744" s="177" t="s">
        <v>1073</v>
      </c>
      <c r="E744" s="177"/>
      <c r="F744" s="177"/>
      <c r="G744" s="177" t="s">
        <v>1911</v>
      </c>
      <c r="H744" s="178"/>
      <c r="I744" s="179" t="s">
        <v>1916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1784</v>
      </c>
      <c r="AD744" s="184" t="s">
        <v>1785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1783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/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dimension ref="A1:AP58"/>
  <sheetViews>
    <sheetView topLeftCell="J1" zoomScale="85" zoomScaleNormal="85" workbookViewId="0">
      <selection activeCell="Q63" sqref="Q63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9.12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2267</v>
      </c>
      <c r="AM1" s="111"/>
      <c r="AN1" s="111"/>
      <c r="AO1" s="111"/>
      <c r="AP1" s="244" t="s">
        <v>2267</v>
      </c>
    </row>
    <row r="2" spans="1:42">
      <c r="A2" s="114" t="s">
        <v>2257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2258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2268</v>
      </c>
      <c r="AM4" s="112"/>
      <c r="AN4" s="112"/>
      <c r="AO4" s="112"/>
      <c r="AP4" s="246" t="s">
        <v>2268</v>
      </c>
    </row>
    <row r="5" spans="1:42">
      <c r="A5" s="114" t="s">
        <v>2259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2260</v>
      </c>
      <c r="B6" s="112"/>
      <c r="C6" s="112"/>
      <c r="D6" s="115"/>
      <c r="E6" s="122"/>
      <c r="F6" s="122"/>
      <c r="G6" s="122"/>
      <c r="H6" s="113"/>
      <c r="I6" s="123" t="s">
        <v>2261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2262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2377</v>
      </c>
      <c r="R8" s="127" t="s">
        <v>87</v>
      </c>
      <c r="S8" s="127" t="s">
        <v>2263</v>
      </c>
      <c r="T8" s="127" t="s">
        <v>2264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2265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2266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2269</v>
      </c>
      <c r="C10" s="177" t="s">
        <v>2270</v>
      </c>
      <c r="D10" s="177" t="s">
        <v>2271</v>
      </c>
      <c r="E10" s="177"/>
      <c r="F10" s="177"/>
      <c r="G10" s="181" t="s">
        <v>2272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 t="s">
        <v>2383</v>
      </c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1790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2269</v>
      </c>
      <c r="C11" s="209" t="s">
        <v>2270</v>
      </c>
      <c r="D11" s="209" t="s">
        <v>1296</v>
      </c>
      <c r="E11" s="209" t="s">
        <v>2273</v>
      </c>
      <c r="F11" s="209" t="s">
        <v>2274</v>
      </c>
      <c r="G11" s="212" t="s">
        <v>2275</v>
      </c>
      <c r="H11" s="213">
        <v>90</v>
      </c>
      <c r="I11" s="144" t="s">
        <v>2276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1790</v>
      </c>
      <c r="AI11" s="258" t="s">
        <v>2280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2269</v>
      </c>
      <c r="C12" s="209" t="s">
        <v>2270</v>
      </c>
      <c r="D12" s="209" t="s">
        <v>1296</v>
      </c>
      <c r="E12" s="209" t="s">
        <v>2277</v>
      </c>
      <c r="F12" s="209" t="s">
        <v>2278</v>
      </c>
      <c r="G12" s="212" t="s">
        <v>2279</v>
      </c>
      <c r="H12" s="213">
        <v>160</v>
      </c>
      <c r="I12" s="144" t="s">
        <v>2276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1790</v>
      </c>
      <c r="AI12" s="258" t="s">
        <v>2281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2282</v>
      </c>
      <c r="C13" s="177" t="s">
        <v>2283</v>
      </c>
      <c r="D13" s="177" t="s">
        <v>2271</v>
      </c>
      <c r="E13" s="177"/>
      <c r="F13" s="177"/>
      <c r="G13" s="181" t="s">
        <v>2272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 t="s">
        <v>2383</v>
      </c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1790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2282</v>
      </c>
      <c r="C14" s="209" t="s">
        <v>2283</v>
      </c>
      <c r="D14" s="209" t="s">
        <v>1296</v>
      </c>
      <c r="E14" s="209" t="s">
        <v>2273</v>
      </c>
      <c r="F14" s="209" t="s">
        <v>2284</v>
      </c>
      <c r="G14" s="212" t="s">
        <v>2275</v>
      </c>
      <c r="H14" s="213">
        <v>90</v>
      </c>
      <c r="I14" s="144" t="s">
        <v>2276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1790</v>
      </c>
      <c r="AI14" s="258" t="s">
        <v>2280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2282</v>
      </c>
      <c r="C15" s="209" t="s">
        <v>2283</v>
      </c>
      <c r="D15" s="209" t="s">
        <v>1296</v>
      </c>
      <c r="E15" s="209" t="s">
        <v>2277</v>
      </c>
      <c r="F15" s="209" t="s">
        <v>2285</v>
      </c>
      <c r="G15" s="212" t="s">
        <v>2279</v>
      </c>
      <c r="H15" s="213">
        <v>160</v>
      </c>
      <c r="I15" s="144" t="s">
        <v>2276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1790</v>
      </c>
      <c r="AI15" s="258" t="s">
        <v>2281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>
      <c r="A16" s="161">
        <v>23</v>
      </c>
      <c r="B16" s="177" t="s">
        <v>2286</v>
      </c>
      <c r="C16" s="177" t="s">
        <v>2287</v>
      </c>
      <c r="D16" s="177" t="s">
        <v>2288</v>
      </c>
      <c r="E16" s="177"/>
      <c r="F16" s="177"/>
      <c r="G16" s="181" t="s">
        <v>2289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 t="s">
        <v>2384</v>
      </c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1790</v>
      </c>
      <c r="AI16" s="161"/>
      <c r="AJ16" s="251"/>
      <c r="AK16" s="163"/>
      <c r="AL16" s="161"/>
      <c r="AM16" s="161"/>
      <c r="AN16" s="251"/>
      <c r="AO16" s="257"/>
      <c r="AP16" s="161"/>
    </row>
    <row r="17" spans="1:42">
      <c r="A17" s="117">
        <v>24</v>
      </c>
      <c r="B17" s="209" t="s">
        <v>2286</v>
      </c>
      <c r="C17" s="209" t="s">
        <v>2287</v>
      </c>
      <c r="D17" s="209" t="s">
        <v>1296</v>
      </c>
      <c r="E17" s="209" t="s">
        <v>2290</v>
      </c>
      <c r="F17" s="209" t="s">
        <v>2291</v>
      </c>
      <c r="G17" s="212" t="s">
        <v>2292</v>
      </c>
      <c r="H17" s="213">
        <v>810</v>
      </c>
      <c r="I17" s="144" t="s">
        <v>2276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>
        <v>1</v>
      </c>
      <c r="P17" s="254">
        <f>+L17-O17</f>
        <v>0</v>
      </c>
      <c r="Q17" s="270">
        <v>46302</v>
      </c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1790</v>
      </c>
      <c r="AI17" s="264" t="s">
        <v>2300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>
      <c r="A18" s="161">
        <v>25</v>
      </c>
      <c r="B18" s="177" t="s">
        <v>2293</v>
      </c>
      <c r="C18" s="177" t="s">
        <v>2294</v>
      </c>
      <c r="D18" s="177" t="s">
        <v>2288</v>
      </c>
      <c r="E18" s="177"/>
      <c r="F18" s="177"/>
      <c r="G18" s="181" t="s">
        <v>2295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 t="s">
        <v>2384</v>
      </c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1790</v>
      </c>
      <c r="AI18" s="161"/>
      <c r="AJ18" s="251"/>
      <c r="AK18" s="163"/>
      <c r="AL18" s="161"/>
      <c r="AM18" s="161"/>
      <c r="AN18" s="251"/>
      <c r="AO18" s="257"/>
      <c r="AP18" s="161"/>
    </row>
    <row r="19" spans="1:42">
      <c r="A19" s="117">
        <v>26</v>
      </c>
      <c r="B19" s="209" t="s">
        <v>2293</v>
      </c>
      <c r="C19" s="209" t="s">
        <v>2294</v>
      </c>
      <c r="D19" s="209" t="s">
        <v>2296</v>
      </c>
      <c r="E19" s="209" t="s">
        <v>2297</v>
      </c>
      <c r="F19" s="209" t="s">
        <v>2298</v>
      </c>
      <c r="G19" s="212" t="s">
        <v>2299</v>
      </c>
      <c r="H19" s="213">
        <v>524</v>
      </c>
      <c r="I19" s="144" t="s">
        <v>2276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>
        <v>2</v>
      </c>
      <c r="P19" s="254">
        <f>+L19-O19</f>
        <v>0</v>
      </c>
      <c r="Q19" s="270">
        <v>46302</v>
      </c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1790</v>
      </c>
      <c r="AI19" s="264" t="s">
        <v>2300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>
      <c r="A20" s="161">
        <v>43</v>
      </c>
      <c r="B20" s="177" t="s">
        <v>2301</v>
      </c>
      <c r="C20" s="177" t="s">
        <v>2302</v>
      </c>
      <c r="D20" s="177" t="s">
        <v>2288</v>
      </c>
      <c r="E20" s="177"/>
      <c r="F20" s="177"/>
      <c r="G20" s="181" t="s">
        <v>2303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 t="s">
        <v>2384</v>
      </c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1790</v>
      </c>
      <c r="AI20" s="164"/>
      <c r="AJ20" s="164"/>
      <c r="AK20" s="263"/>
      <c r="AL20" s="161"/>
      <c r="AM20" s="164"/>
      <c r="AN20" s="164"/>
      <c r="AO20" s="164"/>
      <c r="AP20" s="161"/>
    </row>
    <row r="21" spans="1:42">
      <c r="A21" s="117">
        <v>44</v>
      </c>
      <c r="B21" s="209" t="s">
        <v>2301</v>
      </c>
      <c r="C21" s="209" t="s">
        <v>2302</v>
      </c>
      <c r="D21" s="209" t="s">
        <v>2296</v>
      </c>
      <c r="E21" s="209" t="s">
        <v>2304</v>
      </c>
      <c r="F21" s="209" t="s">
        <v>2305</v>
      </c>
      <c r="G21" s="212" t="s">
        <v>2306</v>
      </c>
      <c r="H21" s="213">
        <v>2523</v>
      </c>
      <c r="I21" s="144" t="s">
        <v>2276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>
        <v>3</v>
      </c>
      <c r="P21" s="254">
        <f>+L21-O21</f>
        <v>0</v>
      </c>
      <c r="Q21" s="270">
        <v>46302</v>
      </c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1790</v>
      </c>
      <c r="AI21" s="264" t="s">
        <v>2307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2308</v>
      </c>
      <c r="C22" s="177" t="s">
        <v>2309</v>
      </c>
      <c r="D22" s="177" t="s">
        <v>2271</v>
      </c>
      <c r="E22" s="177"/>
      <c r="F22" s="177"/>
      <c r="G22" s="181" t="s">
        <v>2272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 t="s">
        <v>2384</v>
      </c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1790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2308</v>
      </c>
      <c r="C23" s="209" t="s">
        <v>2309</v>
      </c>
      <c r="D23" s="209" t="s">
        <v>1296</v>
      </c>
      <c r="E23" s="209" t="s">
        <v>2273</v>
      </c>
      <c r="F23" s="209" t="s">
        <v>2310</v>
      </c>
      <c r="G23" s="212" t="s">
        <v>2275</v>
      </c>
      <c r="H23" s="213">
        <v>90</v>
      </c>
      <c r="I23" s="144" t="s">
        <v>2276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1790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2308</v>
      </c>
      <c r="C24" s="209" t="s">
        <v>2309</v>
      </c>
      <c r="D24" s="209" t="s">
        <v>1296</v>
      </c>
      <c r="E24" s="209" t="s">
        <v>2311</v>
      </c>
      <c r="F24" s="209" t="s">
        <v>2312</v>
      </c>
      <c r="G24" s="212" t="s">
        <v>2279</v>
      </c>
      <c r="H24" s="213">
        <v>160</v>
      </c>
      <c r="I24" s="144" t="s">
        <v>2276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>
        <v>3</v>
      </c>
      <c r="P24" s="254">
        <f t="shared" si="3"/>
        <v>0</v>
      </c>
      <c r="Q24" s="270">
        <v>46302</v>
      </c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1790</v>
      </c>
      <c r="AI24" s="264" t="s">
        <v>2300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2308</v>
      </c>
      <c r="C25" s="177" t="s">
        <v>2309</v>
      </c>
      <c r="D25" s="177" t="s">
        <v>2271</v>
      </c>
      <c r="E25" s="177"/>
      <c r="F25" s="177"/>
      <c r="G25" s="181" t="s">
        <v>2272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 t="s">
        <v>2384</v>
      </c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1790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2308</v>
      </c>
      <c r="C26" s="209" t="s">
        <v>2309</v>
      </c>
      <c r="D26" s="209" t="s">
        <v>1296</v>
      </c>
      <c r="E26" s="209" t="s">
        <v>2273</v>
      </c>
      <c r="F26" s="209" t="s">
        <v>2310</v>
      </c>
      <c r="G26" s="212" t="s">
        <v>2275</v>
      </c>
      <c r="H26" s="213">
        <v>90</v>
      </c>
      <c r="I26" s="144" t="s">
        <v>2276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1790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2308</v>
      </c>
      <c r="C27" s="209" t="s">
        <v>2309</v>
      </c>
      <c r="D27" s="209" t="s">
        <v>1296</v>
      </c>
      <c r="E27" s="209" t="s">
        <v>2311</v>
      </c>
      <c r="F27" s="209" t="s">
        <v>2312</v>
      </c>
      <c r="G27" s="212" t="s">
        <v>2279</v>
      </c>
      <c r="H27" s="213">
        <v>160</v>
      </c>
      <c r="I27" s="144" t="s">
        <v>2276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>
        <v>3</v>
      </c>
      <c r="P27" s="254">
        <f t="shared" si="5"/>
        <v>0</v>
      </c>
      <c r="Q27" s="270">
        <v>46302</v>
      </c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1790</v>
      </c>
      <c r="AI27" s="264" t="s">
        <v>2300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>
      <c r="A28" s="161">
        <v>89</v>
      </c>
      <c r="B28" s="177" t="s">
        <v>2286</v>
      </c>
      <c r="C28" s="177" t="s">
        <v>2287</v>
      </c>
      <c r="D28" s="177" t="s">
        <v>2288</v>
      </c>
      <c r="E28" s="177"/>
      <c r="F28" s="177"/>
      <c r="G28" s="181" t="s">
        <v>2289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 t="s">
        <v>2384</v>
      </c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1790</v>
      </c>
      <c r="AI28" s="161"/>
      <c r="AJ28" s="251"/>
      <c r="AK28" s="163"/>
      <c r="AL28" s="161"/>
      <c r="AM28" s="161"/>
      <c r="AN28" s="251"/>
      <c r="AO28" s="257"/>
      <c r="AP28" s="161"/>
    </row>
    <row r="29" spans="1:42">
      <c r="A29" s="117">
        <v>90</v>
      </c>
      <c r="B29" s="209" t="s">
        <v>2286</v>
      </c>
      <c r="C29" s="209" t="s">
        <v>2287</v>
      </c>
      <c r="D29" s="209" t="s">
        <v>1296</v>
      </c>
      <c r="E29" s="209" t="s">
        <v>2290</v>
      </c>
      <c r="F29" s="209" t="s">
        <v>2291</v>
      </c>
      <c r="G29" s="212" t="s">
        <v>2292</v>
      </c>
      <c r="H29" s="213">
        <v>810</v>
      </c>
      <c r="I29" s="144" t="s">
        <v>2276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>
        <v>1</v>
      </c>
      <c r="P29" s="254">
        <f>+L29-O29</f>
        <v>0</v>
      </c>
      <c r="Q29" s="270">
        <v>46302</v>
      </c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1790</v>
      </c>
      <c r="AI29" s="264" t="s">
        <v>2300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>
      <c r="A30" s="161">
        <v>91</v>
      </c>
      <c r="B30" s="177" t="s">
        <v>2313</v>
      </c>
      <c r="C30" s="177" t="s">
        <v>2314</v>
      </c>
      <c r="D30" s="177" t="s">
        <v>2288</v>
      </c>
      <c r="E30" s="177"/>
      <c r="F30" s="177"/>
      <c r="G30" s="181" t="s">
        <v>2315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 t="s">
        <v>2384</v>
      </c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1790</v>
      </c>
      <c r="AI30" s="161"/>
      <c r="AJ30" s="251"/>
      <c r="AK30" s="163"/>
      <c r="AL30" s="161"/>
      <c r="AM30" s="161"/>
      <c r="AN30" s="251"/>
      <c r="AO30" s="257"/>
      <c r="AP30" s="161"/>
    </row>
    <row r="31" spans="1:42">
      <c r="A31" s="117">
        <v>92</v>
      </c>
      <c r="B31" s="209" t="s">
        <v>2313</v>
      </c>
      <c r="C31" s="209" t="s">
        <v>2314</v>
      </c>
      <c r="D31" s="209" t="s">
        <v>2296</v>
      </c>
      <c r="E31" s="209" t="s">
        <v>2316</v>
      </c>
      <c r="F31" s="209" t="s">
        <v>2317</v>
      </c>
      <c r="G31" s="212" t="s">
        <v>2299</v>
      </c>
      <c r="H31" s="213">
        <v>554</v>
      </c>
      <c r="I31" s="144" t="s">
        <v>2276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>
        <v>2</v>
      </c>
      <c r="P31" s="254">
        <f>+L31-O31</f>
        <v>0</v>
      </c>
      <c r="Q31" s="270">
        <v>46302</v>
      </c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1790</v>
      </c>
      <c r="AI31" s="264" t="s">
        <v>2300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>
      <c r="A32" s="161">
        <v>93</v>
      </c>
      <c r="B32" s="177" t="s">
        <v>2318</v>
      </c>
      <c r="C32" s="177" t="s">
        <v>2319</v>
      </c>
      <c r="D32" s="177" t="s">
        <v>2288</v>
      </c>
      <c r="E32" s="177"/>
      <c r="F32" s="177"/>
      <c r="G32" s="181" t="s">
        <v>2320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 t="s">
        <v>2384</v>
      </c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1790</v>
      </c>
      <c r="AI32" s="267"/>
      <c r="AJ32" s="251"/>
      <c r="AK32" s="163"/>
      <c r="AL32" s="161"/>
      <c r="AM32" s="161"/>
      <c r="AN32" s="251"/>
      <c r="AO32" s="257"/>
      <c r="AP32" s="161"/>
    </row>
    <row r="33" spans="1:42">
      <c r="A33" s="117">
        <v>94</v>
      </c>
      <c r="B33" s="209" t="s">
        <v>2318</v>
      </c>
      <c r="C33" s="209" t="s">
        <v>2319</v>
      </c>
      <c r="D33" s="209" t="s">
        <v>2296</v>
      </c>
      <c r="E33" s="209" t="s">
        <v>2321</v>
      </c>
      <c r="F33" s="209" t="s">
        <v>2322</v>
      </c>
      <c r="G33" s="212" t="s">
        <v>2299</v>
      </c>
      <c r="H33" s="213">
        <v>1596</v>
      </c>
      <c r="I33" s="144" t="s">
        <v>2276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>
        <v>1</v>
      </c>
      <c r="P33" s="254">
        <f>+L33-O33</f>
        <v>0</v>
      </c>
      <c r="Q33" s="270">
        <v>46302</v>
      </c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1790</v>
      </c>
      <c r="AI33" s="264" t="s">
        <v>2300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>
      <c r="A34" s="161">
        <v>121</v>
      </c>
      <c r="B34" s="177" t="s">
        <v>2323</v>
      </c>
      <c r="C34" s="177" t="s">
        <v>2324</v>
      </c>
      <c r="D34" s="177" t="s">
        <v>2288</v>
      </c>
      <c r="E34" s="177"/>
      <c r="F34" s="177"/>
      <c r="G34" s="181" t="s">
        <v>2325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 t="s">
        <v>2384</v>
      </c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1790</v>
      </c>
      <c r="AI34" s="267"/>
      <c r="AJ34" s="251"/>
      <c r="AK34" s="163"/>
      <c r="AL34" s="161"/>
      <c r="AM34" s="161"/>
      <c r="AN34" s="251"/>
      <c r="AO34" s="257"/>
      <c r="AP34" s="161"/>
    </row>
    <row r="35" spans="1:42">
      <c r="A35" s="117">
        <v>122</v>
      </c>
      <c r="B35" s="209" t="s">
        <v>2323</v>
      </c>
      <c r="C35" s="209" t="s">
        <v>2324</v>
      </c>
      <c r="D35" s="209" t="s">
        <v>2296</v>
      </c>
      <c r="E35" s="209" t="s">
        <v>2326</v>
      </c>
      <c r="F35" s="209" t="s">
        <v>2327</v>
      </c>
      <c r="G35" s="212" t="s">
        <v>2299</v>
      </c>
      <c r="H35" s="213">
        <v>1892</v>
      </c>
      <c r="I35" s="144" t="s">
        <v>2276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>
        <v>3</v>
      </c>
      <c r="P35" s="254">
        <f>+L35-O35</f>
        <v>0</v>
      </c>
      <c r="Q35" s="270">
        <v>46302</v>
      </c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1790</v>
      </c>
      <c r="AI35" s="264" t="s">
        <v>2300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>
      <c r="A36" s="161">
        <v>123</v>
      </c>
      <c r="B36" s="177" t="s">
        <v>2328</v>
      </c>
      <c r="C36" s="177" t="s">
        <v>2329</v>
      </c>
      <c r="D36" s="177" t="s">
        <v>2288</v>
      </c>
      <c r="E36" s="177"/>
      <c r="F36" s="177"/>
      <c r="G36" s="181" t="s">
        <v>2330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 t="s">
        <v>2384</v>
      </c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1790</v>
      </c>
      <c r="AI36" s="161"/>
      <c r="AJ36" s="251"/>
      <c r="AK36" s="163"/>
      <c r="AL36" s="161"/>
      <c r="AM36" s="161"/>
      <c r="AN36" s="251"/>
      <c r="AO36" s="257"/>
      <c r="AP36" s="161"/>
    </row>
    <row r="37" spans="1:42">
      <c r="A37" s="117">
        <v>124</v>
      </c>
      <c r="B37" s="209" t="s">
        <v>2328</v>
      </c>
      <c r="C37" s="209" t="s">
        <v>2329</v>
      </c>
      <c r="D37" s="209" t="s">
        <v>2296</v>
      </c>
      <c r="E37" s="209" t="s">
        <v>2331</v>
      </c>
      <c r="F37" s="209" t="s">
        <v>2332</v>
      </c>
      <c r="G37" s="212" t="s">
        <v>2299</v>
      </c>
      <c r="H37" s="213">
        <v>1599</v>
      </c>
      <c r="I37" s="144" t="s">
        <v>2276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>
        <v>3</v>
      </c>
      <c r="P37" s="254">
        <f>+L37-O37</f>
        <v>0</v>
      </c>
      <c r="Q37" s="270">
        <v>46302</v>
      </c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1790</v>
      </c>
      <c r="AI37" s="264" t="s">
        <v>2300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2333</v>
      </c>
      <c r="C38" s="177" t="s">
        <v>2334</v>
      </c>
      <c r="D38" s="177" t="s">
        <v>2288</v>
      </c>
      <c r="E38" s="177"/>
      <c r="F38" s="177"/>
      <c r="G38" s="181" t="s">
        <v>2335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 t="s">
        <v>2385</v>
      </c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1790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2333</v>
      </c>
      <c r="C39" s="209" t="s">
        <v>2334</v>
      </c>
      <c r="D39" s="209" t="s">
        <v>2336</v>
      </c>
      <c r="E39" s="209" t="s">
        <v>2337</v>
      </c>
      <c r="F39" s="209" t="s">
        <v>2338</v>
      </c>
      <c r="G39" s="212" t="s">
        <v>2339</v>
      </c>
      <c r="H39" s="213">
        <v>2100</v>
      </c>
      <c r="I39" s="144" t="s">
        <v>2276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1790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2333</v>
      </c>
      <c r="C40" s="209" t="s">
        <v>2334</v>
      </c>
      <c r="D40" s="209" t="s">
        <v>2336</v>
      </c>
      <c r="E40" s="209" t="s">
        <v>2340</v>
      </c>
      <c r="F40" s="209" t="s">
        <v>2341</v>
      </c>
      <c r="G40" s="212" t="s">
        <v>2339</v>
      </c>
      <c r="H40" s="213">
        <v>985</v>
      </c>
      <c r="I40" s="144" t="s">
        <v>2276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1790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2333</v>
      </c>
      <c r="C41" s="209" t="s">
        <v>2334</v>
      </c>
      <c r="D41" s="209" t="s">
        <v>1296</v>
      </c>
      <c r="E41" s="209" t="s">
        <v>2342</v>
      </c>
      <c r="F41" s="209" t="s">
        <v>2343</v>
      </c>
      <c r="G41" s="212" t="s">
        <v>2344</v>
      </c>
      <c r="H41" s="213">
        <v>120</v>
      </c>
      <c r="I41" s="144" t="s">
        <v>2276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1790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2333</v>
      </c>
      <c r="C42" s="209" t="s">
        <v>2334</v>
      </c>
      <c r="D42" s="209" t="s">
        <v>1296</v>
      </c>
      <c r="E42" s="209" t="s">
        <v>2345</v>
      </c>
      <c r="F42" s="209" t="s">
        <v>2346</v>
      </c>
      <c r="G42" s="212" t="s">
        <v>2347</v>
      </c>
      <c r="H42" s="213">
        <v>133</v>
      </c>
      <c r="I42" s="144" t="s">
        <v>2276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1790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2348</v>
      </c>
      <c r="C43" s="177" t="s">
        <v>2349</v>
      </c>
      <c r="D43" s="177" t="s">
        <v>2288</v>
      </c>
      <c r="E43" s="177"/>
      <c r="F43" s="177"/>
      <c r="G43" s="181" t="s">
        <v>2350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 t="s">
        <v>2385</v>
      </c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1790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2348</v>
      </c>
      <c r="C44" s="209" t="s">
        <v>2349</v>
      </c>
      <c r="D44" s="209" t="s">
        <v>1296</v>
      </c>
      <c r="E44" s="209" t="s">
        <v>2351</v>
      </c>
      <c r="F44" s="209" t="s">
        <v>2352</v>
      </c>
      <c r="G44" s="212" t="s">
        <v>2292</v>
      </c>
      <c r="H44" s="213">
        <v>965</v>
      </c>
      <c r="I44" s="144" t="s">
        <v>2276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>
        <v>1</v>
      </c>
      <c r="P44" s="254">
        <f>+L44-O44</f>
        <v>0</v>
      </c>
      <c r="Q44" s="270">
        <v>46302</v>
      </c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1790</v>
      </c>
      <c r="AI44" s="264" t="s">
        <v>2300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2353</v>
      </c>
      <c r="C45" s="177" t="s">
        <v>2354</v>
      </c>
      <c r="D45" s="177" t="s">
        <v>2288</v>
      </c>
      <c r="E45" s="177"/>
      <c r="F45" s="177"/>
      <c r="G45" s="181" t="s">
        <v>2355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 t="s">
        <v>2385</v>
      </c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1790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2353</v>
      </c>
      <c r="C46" s="209" t="s">
        <v>2354</v>
      </c>
      <c r="D46" s="209" t="s">
        <v>2336</v>
      </c>
      <c r="E46" s="209" t="s">
        <v>2356</v>
      </c>
      <c r="F46" s="209" t="s">
        <v>2357</v>
      </c>
      <c r="G46" s="212" t="s">
        <v>2339</v>
      </c>
      <c r="H46" s="213">
        <v>885</v>
      </c>
      <c r="I46" s="144" t="s">
        <v>2276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1790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2353</v>
      </c>
      <c r="C47" s="209" t="s">
        <v>2354</v>
      </c>
      <c r="D47" s="209" t="s">
        <v>2336</v>
      </c>
      <c r="E47" s="209" t="s">
        <v>2358</v>
      </c>
      <c r="F47" s="209" t="s">
        <v>2359</v>
      </c>
      <c r="G47" s="212" t="s">
        <v>2339</v>
      </c>
      <c r="H47" s="213">
        <v>1900</v>
      </c>
      <c r="I47" s="144" t="s">
        <v>2276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1790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2353</v>
      </c>
      <c r="C48" s="209" t="s">
        <v>2354</v>
      </c>
      <c r="D48" s="209" t="s">
        <v>1296</v>
      </c>
      <c r="E48" s="209" t="s">
        <v>2342</v>
      </c>
      <c r="F48" s="209" t="s">
        <v>2360</v>
      </c>
      <c r="G48" s="212" t="s">
        <v>2344</v>
      </c>
      <c r="H48" s="213">
        <v>120</v>
      </c>
      <c r="I48" s="144" t="s">
        <v>2276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1790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2353</v>
      </c>
      <c r="C49" s="209" t="s">
        <v>2354</v>
      </c>
      <c r="D49" s="209" t="s">
        <v>1296</v>
      </c>
      <c r="E49" s="209" t="s">
        <v>2345</v>
      </c>
      <c r="F49" s="209" t="s">
        <v>2361</v>
      </c>
      <c r="G49" s="212" t="s">
        <v>2347</v>
      </c>
      <c r="H49" s="213">
        <v>133</v>
      </c>
      <c r="I49" s="144" t="s">
        <v>2276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1790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2362</v>
      </c>
      <c r="C50" s="177" t="s">
        <v>2363</v>
      </c>
      <c r="D50" s="177" t="s">
        <v>2288</v>
      </c>
      <c r="E50" s="177"/>
      <c r="F50" s="177"/>
      <c r="G50" s="181" t="s">
        <v>2350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 t="s">
        <v>2385</v>
      </c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1790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2362</v>
      </c>
      <c r="C51" s="209" t="s">
        <v>2363</v>
      </c>
      <c r="D51" s="209" t="s">
        <v>1296</v>
      </c>
      <c r="E51" s="209" t="s">
        <v>2351</v>
      </c>
      <c r="F51" s="209" t="s">
        <v>2364</v>
      </c>
      <c r="G51" s="212" t="s">
        <v>2292</v>
      </c>
      <c r="H51" s="213">
        <v>965</v>
      </c>
      <c r="I51" s="144" t="s">
        <v>2276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>
        <v>1</v>
      </c>
      <c r="P51" s="254">
        <f>+L51-O51</f>
        <v>0</v>
      </c>
      <c r="Q51" s="270">
        <v>46302</v>
      </c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1790</v>
      </c>
      <c r="AI51" s="264" t="s">
        <v>2300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2365</v>
      </c>
      <c r="C52" s="177" t="s">
        <v>2366</v>
      </c>
      <c r="D52" s="177" t="s">
        <v>2288</v>
      </c>
      <c r="E52" s="177"/>
      <c r="F52" s="177"/>
      <c r="G52" s="181" t="s">
        <v>2367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 t="s">
        <v>2385</v>
      </c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1790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2365</v>
      </c>
      <c r="C53" s="209" t="s">
        <v>2366</v>
      </c>
      <c r="D53" s="209" t="s">
        <v>2336</v>
      </c>
      <c r="E53" s="209" t="s">
        <v>2368</v>
      </c>
      <c r="F53" s="209" t="s">
        <v>2369</v>
      </c>
      <c r="G53" s="212" t="s">
        <v>2339</v>
      </c>
      <c r="H53" s="213">
        <v>585</v>
      </c>
      <c r="I53" s="144" t="s">
        <v>2276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1790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2365</v>
      </c>
      <c r="C54" s="209" t="s">
        <v>2366</v>
      </c>
      <c r="D54" s="209" t="s">
        <v>2336</v>
      </c>
      <c r="E54" s="209" t="s">
        <v>2370</v>
      </c>
      <c r="F54" s="209" t="s">
        <v>2371</v>
      </c>
      <c r="G54" s="212" t="s">
        <v>2339</v>
      </c>
      <c r="H54" s="213">
        <v>1300</v>
      </c>
      <c r="I54" s="144" t="s">
        <v>2276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1790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2365</v>
      </c>
      <c r="C55" s="209" t="s">
        <v>2366</v>
      </c>
      <c r="D55" s="209" t="s">
        <v>1296</v>
      </c>
      <c r="E55" s="209" t="s">
        <v>2342</v>
      </c>
      <c r="F55" s="209" t="s">
        <v>2372</v>
      </c>
      <c r="G55" s="212" t="s">
        <v>2344</v>
      </c>
      <c r="H55" s="213">
        <v>120</v>
      </c>
      <c r="I55" s="144" t="s">
        <v>2276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1790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2365</v>
      </c>
      <c r="C56" s="209" t="s">
        <v>2366</v>
      </c>
      <c r="D56" s="209" t="s">
        <v>1296</v>
      </c>
      <c r="E56" s="209" t="s">
        <v>2345</v>
      </c>
      <c r="F56" s="209" t="s">
        <v>2373</v>
      </c>
      <c r="G56" s="212" t="s">
        <v>2347</v>
      </c>
      <c r="H56" s="213">
        <v>133</v>
      </c>
      <c r="I56" s="144" t="s">
        <v>2276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1790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2374</v>
      </c>
      <c r="C57" s="177" t="s">
        <v>2375</v>
      </c>
      <c r="D57" s="177" t="s">
        <v>2288</v>
      </c>
      <c r="E57" s="177"/>
      <c r="F57" s="177"/>
      <c r="G57" s="181" t="s">
        <v>2350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 t="s">
        <v>2385</v>
      </c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1790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2374</v>
      </c>
      <c r="C58" s="209" t="s">
        <v>2375</v>
      </c>
      <c r="D58" s="209" t="s">
        <v>1296</v>
      </c>
      <c r="E58" s="209" t="s">
        <v>2351</v>
      </c>
      <c r="F58" s="209" t="s">
        <v>2376</v>
      </c>
      <c r="G58" s="212" t="s">
        <v>2292</v>
      </c>
      <c r="H58" s="213">
        <v>965</v>
      </c>
      <c r="I58" s="144" t="s">
        <v>2276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>
        <v>1</v>
      </c>
      <c r="P58" s="254">
        <f>+L58-O58</f>
        <v>0</v>
      </c>
      <c r="Q58" s="270">
        <v>46302</v>
      </c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1790</v>
      </c>
      <c r="AI58" s="264" t="s">
        <v>2300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2026-10-13T02:46:53Z</dcterms:modified>
</cp:coreProperties>
</file>