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683C7DAD-8712-4C0F-9A35-86302F1ACFC7}" xr6:coauthVersionLast="47" xr6:coauthVersionMax="47" xr10:uidLastSave="{00000000-0000-0000-0000-000000000000}"/>
  <bookViews>
    <workbookView xWindow="28680" yWindow="-120" windowWidth="29040" windowHeight="15720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'BTP-A320M4120'!$C$29:$BC$332</definedName>
    <definedName name="_xlnm._FilterDatabase" localSheetId="3" hidden="1">'BTP-A320M4130'!$C$29:$BJ$556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2" l="1"/>
  <c r="AW27" i="6" a="1"/>
  <c r="AW28" i="6"/>
  <c r="AV27" i="6" a="1"/>
  <c r="AV28" i="6"/>
  <c r="AU27" i="6" a="1"/>
  <c r="AU28" i="6"/>
  <c r="AP27" i="4" a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H717" i="9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H702" i="9"/>
  <c r="AG702" i="9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W692" i="9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K625" i="9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H624" i="9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AF528" i="9"/>
  <c r="AF529" i="9" s="1"/>
  <c r="AF530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K526" i="9"/>
  <c r="K527" i="9" s="1"/>
  <c r="AV521" i="9"/>
  <c r="AV522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20" i="9"/>
  <c r="L520" i="9" s="1"/>
  <c r="K519" i="9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2" i="9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CF499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H494" i="9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U439" i="9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V434" i="9"/>
  <c r="AV435" i="9" s="1"/>
  <c r="AU434" i="9"/>
  <c r="AU435" i="9" s="1"/>
  <c r="AU436" i="9" s="1"/>
  <c r="AU437" i="9" s="1"/>
  <c r="AU438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R416" i="9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K415" i="9"/>
  <c r="K416" i="9" s="1"/>
  <c r="X414" i="9"/>
  <c r="W414" i="9"/>
  <c r="K414" i="9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K297" i="9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8" i="4"/>
  <c r="AN27" i="4" a="1"/>
  <c r="AN28" i="4"/>
  <c r="AT27" i="6" a="1"/>
  <c r="AT28" i="6"/>
  <c r="AX28" i="6"/>
  <c r="AS27" i="6" a="1"/>
  <c r="AS28" i="6"/>
  <c r="AM27" i="4" a="1"/>
  <c r="AM28" i="4"/>
  <c r="AR27" i="6" a="1"/>
  <c r="AR28" i="6"/>
  <c r="AQ27" i="6" a="1"/>
  <c r="AQ28" i="6"/>
  <c r="AP399" i="6"/>
  <c r="AP324" i="6"/>
  <c r="AP313" i="6"/>
  <c r="AP311" i="6"/>
  <c r="AP245" i="6"/>
  <c r="AP509" i="6"/>
  <c r="AP467" i="6"/>
  <c r="AL27" i="4" a="1"/>
  <c r="AL28" i="4"/>
  <c r="AO27" i="6" a="1"/>
  <c r="AO28" i="6"/>
  <c r="AK27" i="4" a="1"/>
  <c r="AK28" i="4"/>
  <c r="AN250" i="6"/>
  <c r="AN264" i="6"/>
  <c r="AN319" i="6"/>
  <c r="AJ264" i="4"/>
  <c r="AJ27" i="4" a="1"/>
  <c r="AJ28" i="4"/>
  <c r="AH280" i="9"/>
  <c r="AJ280" i="9" s="1"/>
  <c r="AH281" i="9"/>
  <c r="AJ281" i="9" s="1"/>
  <c r="AH282" i="9"/>
  <c r="AJ282" i="9" s="1"/>
  <c r="AH279" i="9"/>
  <c r="AJ279" i="9" s="1"/>
  <c r="AI27" i="4" a="1"/>
  <c r="AI28" i="4"/>
  <c r="AM27" i="6" a="1"/>
  <c r="AM28" i="6"/>
  <c r="BA434" i="6"/>
  <c r="AL27" i="6" a="1"/>
  <c r="AL28" i="6"/>
  <c r="AK27" i="6" a="1"/>
  <c r="AK28" i="6"/>
  <c r="AJ27" i="6" a="1"/>
  <c r="AJ28" i="6"/>
  <c r="AI27" i="6" a="1"/>
  <c r="AI28" i="6"/>
  <c r="AH27" i="4" a="1"/>
  <c r="AH28" i="4"/>
  <c r="AH27" i="6" a="1"/>
  <c r="AH28" i="6"/>
  <c r="AG27" i="6" a="1"/>
  <c r="AG28" i="6"/>
  <c r="J5" i="2"/>
  <c r="T715" i="9"/>
  <c r="AL705" i="9" l="1"/>
  <c r="AM705" i="9" s="1"/>
  <c r="AM511" i="9"/>
  <c r="AL725" i="9"/>
  <c r="AL726" i="9" s="1"/>
  <c r="AL727" i="9" s="1"/>
  <c r="AM727" i="9" s="1"/>
  <c r="AR469" i="9"/>
  <c r="AV660" i="9"/>
  <c r="AV661" i="9" s="1"/>
  <c r="AL513" i="9"/>
  <c r="AM513" i="9" s="1"/>
  <c r="AV528" i="9"/>
  <c r="AW528" i="9" s="1"/>
  <c r="AG454" i="9"/>
  <c r="AH454" i="9" s="1"/>
  <c r="AG485" i="9"/>
  <c r="AG486" i="9" s="1"/>
  <c r="AQ490" i="9"/>
  <c r="AR511" i="9"/>
  <c r="AR454" i="9"/>
  <c r="AV491" i="9"/>
  <c r="AG658" i="9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Q517" i="9"/>
  <c r="AR517" i="9" s="1"/>
  <c r="AR516" i="9"/>
  <c r="AV342" i="9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R494" i="9"/>
  <c r="AR704" i="9"/>
  <c r="AR515" i="9"/>
  <c r="L669" i="9"/>
  <c r="AM687" i="9"/>
  <c r="AR712" i="9"/>
  <c r="AH697" i="9"/>
  <c r="AR724" i="9"/>
  <c r="AH469" i="9"/>
  <c r="AW670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H486" i="9"/>
  <c r="AG487" i="9"/>
  <c r="AH487" i="9" s="1"/>
  <c r="AM416" i="9"/>
  <c r="AL417" i="9"/>
  <c r="L704" i="9"/>
  <c r="N704" i="9" s="1"/>
  <c r="K705" i="9"/>
  <c r="L705" i="9" s="1"/>
  <c r="K516" i="9"/>
  <c r="L515" i="9"/>
  <c r="N515" i="9" s="1"/>
  <c r="AV646" i="9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G455" i="9"/>
  <c r="AH455" i="9" s="1"/>
  <c r="AH468" i="9"/>
  <c r="AH485" i="9"/>
  <c r="AL508" i="9"/>
  <c r="AL645" i="9"/>
  <c r="AL646" i="9" s="1"/>
  <c r="AW658" i="9"/>
  <c r="AG705" i="9"/>
  <c r="AG706" i="9" s="1"/>
  <c r="AH706" i="9" s="1"/>
  <c r="AQ625" i="9"/>
  <c r="AH644" i="9"/>
  <c r="AH719" i="9"/>
  <c r="AM725" i="9"/>
  <c r="AW521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R646" i="9"/>
  <c r="AQ647" i="9"/>
  <c r="AV625" i="9"/>
  <c r="L657" i="9"/>
  <c r="K658" i="9"/>
  <c r="AW660" i="9"/>
  <c r="AG671" i="9"/>
  <c r="AV647" i="9"/>
  <c r="AW646" i="9"/>
  <c r="K673" i="9"/>
  <c r="L672" i="9"/>
  <c r="AQ673" i="9"/>
  <c r="AR687" i="9"/>
  <c r="AQ688" i="9"/>
  <c r="AG659" i="9"/>
  <c r="AH658" i="9"/>
  <c r="L671" i="9"/>
  <c r="AQ693" i="9"/>
  <c r="AR657" i="9"/>
  <c r="AQ658" i="9"/>
  <c r="AV662" i="9"/>
  <c r="AW661" i="9"/>
  <c r="AM670" i="9"/>
  <c r="AL671" i="9"/>
  <c r="AW671" i="9"/>
  <c r="AV672" i="9"/>
  <c r="AV688" i="9"/>
  <c r="K710" i="9"/>
  <c r="L710" i="9" s="1"/>
  <c r="L709" i="9"/>
  <c r="AH712" i="9"/>
  <c r="AG713" i="9"/>
  <c r="AL713" i="9"/>
  <c r="AM712" i="9"/>
  <c r="AL658" i="9"/>
  <c r="AM689" i="9"/>
  <c r="AQ719" i="9"/>
  <c r="AR718" i="9"/>
  <c r="AQ726" i="9"/>
  <c r="AR725" i="9"/>
  <c r="AR64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AL706" i="9"/>
  <c r="AM706" i="9" s="1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K695" i="9"/>
  <c r="L695" i="9" s="1"/>
  <c r="AV298" i="9"/>
  <c r="AW297" i="9"/>
  <c r="AG298" i="9"/>
  <c r="AH297" i="9"/>
  <c r="K341" i="9"/>
  <c r="L340" i="9"/>
  <c r="L297" i="9"/>
  <c r="K298" i="9"/>
  <c r="AM297" i="9"/>
  <c r="AL298" i="9"/>
  <c r="AV343" i="9"/>
  <c r="AW342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AL455" i="9"/>
  <c r="K485" i="9"/>
  <c r="L484" i="9"/>
  <c r="AV455" i="9"/>
  <c r="AW454" i="9"/>
  <c r="AV437" i="9"/>
  <c r="AW491" i="9"/>
  <c r="AV492" i="9"/>
  <c r="AW492" i="9" s="1"/>
  <c r="AM528" i="9"/>
  <c r="AL529" i="9"/>
  <c r="AM485" i="9"/>
  <c r="AL486" i="9"/>
  <c r="AQ456" i="9"/>
  <c r="AR455" i="9"/>
  <c r="L490" i="9"/>
  <c r="K491" i="9"/>
  <c r="K495" i="9"/>
  <c r="L495" i="9" s="1"/>
  <c r="L494" i="9"/>
  <c r="AM435" i="9"/>
  <c r="K470" i="9"/>
  <c r="L469" i="9"/>
  <c r="AR470" i="9"/>
  <c r="AQ471" i="9"/>
  <c r="AQ491" i="9"/>
  <c r="AR490" i="9"/>
  <c r="AV485" i="9"/>
  <c r="AW484" i="9"/>
  <c r="CF505" i="9"/>
  <c r="N505" i="9"/>
  <c r="AV469" i="9"/>
  <c r="AH490" i="9"/>
  <c r="AG491" i="9"/>
  <c r="AQ486" i="9"/>
  <c r="AW522" i="9"/>
  <c r="AV523" i="9"/>
  <c r="AL491" i="9"/>
  <c r="AW512" i="9"/>
  <c r="AV513" i="9"/>
  <c r="AW513" i="9" s="1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V529" i="9"/>
  <c r="AH470" i="9"/>
  <c r="K521" i="9"/>
  <c r="AG508" i="9"/>
  <c r="AL509" i="9"/>
  <c r="AM509" i="9" s="1"/>
  <c r="AM508" i="9"/>
  <c r="K528" i="9"/>
  <c r="L527" i="9"/>
  <c r="AV516" i="9"/>
  <c r="AW515" i="9"/>
  <c r="AQ518" i="9"/>
  <c r="AR518" i="9" s="1"/>
  <c r="AH529" i="9"/>
  <c r="N532" i="9"/>
  <c r="AH515" i="9"/>
  <c r="AG516" i="9"/>
  <c r="AQ522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8" i="6"/>
  <c r="AN27" i="6" a="1"/>
  <c r="AF27" i="6" a="1"/>
  <c r="AF28" i="6"/>
  <c r="AG27" i="4" a="1"/>
  <c r="AG28" i="4"/>
  <c r="AF27" i="4" a="1"/>
  <c r="AF28" i="4"/>
  <c r="AE367" i="6"/>
  <c r="AE360" i="6"/>
  <c r="AE27" i="4" a="1"/>
  <c r="AE28" i="4"/>
  <c r="AD330" i="6"/>
  <c r="AD27" i="4" a="1"/>
  <c r="AD28" i="4"/>
  <c r="AM726" i="9" l="1"/>
  <c r="AG689" i="9"/>
  <c r="AH689" i="9" s="1"/>
  <c r="AG695" i="9"/>
  <c r="AH695" i="9" s="1"/>
  <c r="AM645" i="9"/>
  <c r="AH594" i="9"/>
  <c r="AG726" i="9"/>
  <c r="N687" i="9"/>
  <c r="AG710" i="9"/>
  <c r="AH710" i="9" s="1"/>
  <c r="AR552" i="9"/>
  <c r="CF624" i="9"/>
  <c r="N624" i="9"/>
  <c r="AG456" i="9"/>
  <c r="AH456" i="9" s="1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V673" i="9"/>
  <c r="AW672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695" i="9"/>
  <c r="N717" i="9"/>
  <c r="AL714" i="9"/>
  <c r="AM713" i="9"/>
  <c r="AH671" i="9"/>
  <c r="AG672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H726" i="9"/>
  <c r="AG727" i="9"/>
  <c r="AH727" i="9" s="1"/>
  <c r="AR693" i="9"/>
  <c r="AQ694" i="9"/>
  <c r="AR673" i="9"/>
  <c r="AQ67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G457" i="9"/>
  <c r="AL299" i="9"/>
  <c r="AM298" i="9"/>
  <c r="L512" i="9"/>
  <c r="K513" i="9"/>
  <c r="L513" i="9" s="1"/>
  <c r="AV524" i="9"/>
  <c r="AW523" i="9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AV438" i="9"/>
  <c r="AW437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L456" i="9"/>
  <c r="AM455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N469" i="9"/>
  <c r="CF469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M529" i="9"/>
  <c r="AL530" i="9"/>
  <c r="AM530" i="9" s="1"/>
  <c r="AG437" i="9"/>
  <c r="AH436" i="9"/>
  <c r="AW529" i="9"/>
  <c r="AV530" i="9"/>
  <c r="AW530" i="9" s="1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8" i="6"/>
  <c r="AD27" i="6" a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N706" i="9" l="1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H457" i="9"/>
  <c r="AG458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V525" i="9"/>
  <c r="AW525" i="9" s="1"/>
  <c r="AW524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75" i="9"/>
  <c r="AR274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W192" i="9" l="1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G459" i="9"/>
  <c r="AH458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G100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B458" i="6"/>
  <c r="BA458" i="6"/>
  <c r="L458" i="6"/>
  <c r="AC27" i="6" a="1"/>
  <c r="AC28" i="6"/>
  <c r="AB27" i="6" a="1"/>
  <c r="AB28" i="6"/>
  <c r="AC27" i="4" a="1"/>
  <c r="AC28" i="4"/>
  <c r="AA27" i="6" a="1"/>
  <c r="AA28" i="6"/>
  <c r="Z27" i="6" a="1"/>
  <c r="Z28" i="6"/>
  <c r="AM268" i="9" l="1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H459" i="9"/>
  <c r="AG460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G101" i="9"/>
  <c r="AH100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8" i="6"/>
  <c r="AB27" i="4" a="1"/>
  <c r="AB28" i="4"/>
  <c r="AH215" i="9" l="1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AA27" i="4" a="1"/>
  <c r="AA28" i="4"/>
  <c r="Z27" i="4" a="1"/>
  <c r="Z28" i="4"/>
  <c r="BB549" i="6"/>
  <c r="BA549" i="6"/>
  <c r="L549" i="6"/>
  <c r="BB548" i="6"/>
  <c r="BA548" i="6"/>
  <c r="L548" i="6"/>
  <c r="BB547" i="6"/>
  <c r="BA547" i="6"/>
  <c r="L547" i="6"/>
  <c r="BB546" i="6"/>
  <c r="BA546" i="6"/>
  <c r="L546" i="6"/>
  <c r="BB545" i="6"/>
  <c r="BA545" i="6"/>
  <c r="L545" i="6"/>
  <c r="BB544" i="6"/>
  <c r="BA544" i="6"/>
  <c r="L544" i="6"/>
  <c r="BB543" i="6"/>
  <c r="BA543" i="6"/>
  <c r="L543" i="6"/>
  <c r="BB542" i="6"/>
  <c r="BA542" i="6"/>
  <c r="L542" i="6"/>
  <c r="BB541" i="6"/>
  <c r="BA541" i="6"/>
  <c r="L541" i="6"/>
  <c r="BB540" i="6"/>
  <c r="BA540" i="6"/>
  <c r="L540" i="6"/>
  <c r="BB539" i="6"/>
  <c r="BA539" i="6"/>
  <c r="L539" i="6"/>
  <c r="BB538" i="6"/>
  <c r="BA538" i="6"/>
  <c r="L538" i="6"/>
  <c r="BB537" i="6"/>
  <c r="BA537" i="6"/>
  <c r="L537" i="6"/>
  <c r="BB536" i="6"/>
  <c r="BA536" i="6"/>
  <c r="L536" i="6"/>
  <c r="BB535" i="6"/>
  <c r="BA535" i="6"/>
  <c r="L535" i="6"/>
  <c r="BB534" i="6"/>
  <c r="BA534" i="6"/>
  <c r="L534" i="6"/>
  <c r="M534" i="6" s="1"/>
  <c r="BB533" i="6"/>
  <c r="BA533" i="6"/>
  <c r="L533" i="6"/>
  <c r="M533" i="6" s="1"/>
  <c r="BB532" i="6"/>
  <c r="BA532" i="6"/>
  <c r="L532" i="6"/>
  <c r="M532" i="6" s="1"/>
  <c r="BB531" i="6"/>
  <c r="BA531" i="6"/>
  <c r="L531" i="6"/>
  <c r="M531" i="6" s="1"/>
  <c r="BB530" i="6"/>
  <c r="BA530" i="6"/>
  <c r="L530" i="6"/>
  <c r="M530" i="6" s="1"/>
  <c r="BB529" i="6"/>
  <c r="BA529" i="6"/>
  <c r="L529" i="6"/>
  <c r="M529" i="6" s="1"/>
  <c r="BB528" i="6"/>
  <c r="BA528" i="6"/>
  <c r="L528" i="6"/>
  <c r="M528" i="6" s="1"/>
  <c r="BB527" i="6"/>
  <c r="BA527" i="6"/>
  <c r="L527" i="6"/>
  <c r="BB526" i="6"/>
  <c r="BA526" i="6"/>
  <c r="L526" i="6"/>
  <c r="BB525" i="6"/>
  <c r="BA525" i="6"/>
  <c r="L525" i="6"/>
  <c r="M525" i="6" s="1"/>
  <c r="BB524" i="6"/>
  <c r="BA524" i="6"/>
  <c r="L524" i="6"/>
  <c r="M524" i="6" s="1"/>
  <c r="BB523" i="6"/>
  <c r="BA523" i="6"/>
  <c r="L523" i="6"/>
  <c r="M523" i="6" s="1"/>
  <c r="BB522" i="6"/>
  <c r="BA522" i="6"/>
  <c r="L522" i="6"/>
  <c r="M522" i="6" s="1"/>
  <c r="BB521" i="6"/>
  <c r="BA521" i="6"/>
  <c r="L521" i="6"/>
  <c r="M521" i="6" s="1"/>
  <c r="BB520" i="6"/>
  <c r="BA520" i="6"/>
  <c r="L520" i="6"/>
  <c r="M520" i="6" s="1"/>
  <c r="BB519" i="6"/>
  <c r="BA519" i="6"/>
  <c r="L519" i="6"/>
  <c r="M519" i="6" s="1"/>
  <c r="BB518" i="6"/>
  <c r="BA518" i="6"/>
  <c r="L518" i="6"/>
  <c r="M518" i="6" s="1"/>
  <c r="BB517" i="6"/>
  <c r="BA517" i="6"/>
  <c r="L517" i="6"/>
  <c r="BB516" i="6"/>
  <c r="BA516" i="6"/>
  <c r="L516" i="6"/>
  <c r="M516" i="6" s="1"/>
  <c r="BB515" i="6"/>
  <c r="BA515" i="6"/>
  <c r="L515" i="6"/>
  <c r="BB514" i="6"/>
  <c r="BA514" i="6"/>
  <c r="L514" i="6"/>
  <c r="BB513" i="6"/>
  <c r="BA513" i="6"/>
  <c r="L513" i="6"/>
  <c r="BB512" i="6"/>
  <c r="BA512" i="6"/>
  <c r="L512" i="6"/>
  <c r="BB511" i="6"/>
  <c r="BA511" i="6"/>
  <c r="L511" i="6"/>
  <c r="BB510" i="6"/>
  <c r="BA510" i="6"/>
  <c r="L510" i="6"/>
  <c r="BB509" i="6"/>
  <c r="BA509" i="6"/>
  <c r="L509" i="6"/>
  <c r="BB508" i="6"/>
  <c r="BA508" i="6"/>
  <c r="L508" i="6"/>
  <c r="BB507" i="6"/>
  <c r="BA507" i="6"/>
  <c r="L507" i="6"/>
  <c r="BB506" i="6"/>
  <c r="BA506" i="6"/>
  <c r="L506" i="6"/>
  <c r="BB505" i="6"/>
  <c r="BA505" i="6"/>
  <c r="L505" i="6"/>
  <c r="BB504" i="6"/>
  <c r="BA504" i="6"/>
  <c r="L504" i="6"/>
  <c r="BB503" i="6"/>
  <c r="BA503" i="6"/>
  <c r="L503" i="6"/>
  <c r="BB502" i="6"/>
  <c r="BA502" i="6"/>
  <c r="L502" i="6"/>
  <c r="BB501" i="6"/>
  <c r="BA501" i="6"/>
  <c r="L501" i="6"/>
  <c r="M501" i="6" s="1"/>
  <c r="BB500" i="6"/>
  <c r="BA500" i="6"/>
  <c r="L500" i="6"/>
  <c r="M500" i="6" s="1"/>
  <c r="BB499" i="6"/>
  <c r="BA499" i="6"/>
  <c r="L499" i="6"/>
  <c r="M499" i="6" s="1"/>
  <c r="BB498" i="6"/>
  <c r="BA498" i="6"/>
  <c r="L498" i="6"/>
  <c r="M498" i="6" s="1"/>
  <c r="BB497" i="6"/>
  <c r="BA497" i="6"/>
  <c r="L497" i="6"/>
  <c r="M497" i="6" s="1"/>
  <c r="BB496" i="6"/>
  <c r="BA496" i="6"/>
  <c r="L496" i="6"/>
  <c r="BB495" i="6"/>
  <c r="BA495" i="6"/>
  <c r="L495" i="6"/>
  <c r="BB494" i="6"/>
  <c r="BA494" i="6"/>
  <c r="L494" i="6"/>
  <c r="BB493" i="6"/>
  <c r="BA493" i="6"/>
  <c r="L493" i="6"/>
  <c r="M493" i="6" s="1"/>
  <c r="BB492" i="6"/>
  <c r="BA492" i="6"/>
  <c r="L492" i="6"/>
  <c r="M492" i="6" s="1"/>
  <c r="BB491" i="6"/>
  <c r="BA491" i="6"/>
  <c r="L491" i="6"/>
  <c r="M491" i="6" s="1"/>
  <c r="BB490" i="6"/>
  <c r="BA490" i="6"/>
  <c r="L490" i="6"/>
  <c r="M490" i="6" s="1"/>
  <c r="BB489" i="6"/>
  <c r="BA489" i="6"/>
  <c r="L489" i="6"/>
  <c r="M489" i="6" s="1"/>
  <c r="BB488" i="6"/>
  <c r="BA488" i="6"/>
  <c r="L488" i="6"/>
  <c r="M488" i="6" s="1"/>
  <c r="BB487" i="6"/>
  <c r="BA487" i="6"/>
  <c r="L487" i="6"/>
  <c r="M487" i="6" s="1"/>
  <c r="BB486" i="6"/>
  <c r="BA486" i="6"/>
  <c r="L486" i="6"/>
  <c r="M486" i="6" s="1"/>
  <c r="BB485" i="6"/>
  <c r="BA485" i="6"/>
  <c r="L485" i="6"/>
  <c r="BB484" i="6"/>
  <c r="BA484" i="6"/>
  <c r="L484" i="6"/>
  <c r="M484" i="6" s="1"/>
  <c r="BB483" i="6"/>
  <c r="BA483" i="6"/>
  <c r="L483" i="6"/>
  <c r="BB482" i="6"/>
  <c r="BA482" i="6"/>
  <c r="L482" i="6"/>
  <c r="BB481" i="6"/>
  <c r="BA481" i="6"/>
  <c r="L481" i="6"/>
  <c r="BB480" i="6"/>
  <c r="BA480" i="6"/>
  <c r="L480" i="6"/>
  <c r="BB479" i="6"/>
  <c r="BA479" i="6"/>
  <c r="L479" i="6"/>
  <c r="BB478" i="6"/>
  <c r="BA478" i="6"/>
  <c r="L478" i="6"/>
  <c r="BB477" i="6"/>
  <c r="BA477" i="6"/>
  <c r="L477" i="6"/>
  <c r="BB476" i="6"/>
  <c r="BA476" i="6"/>
  <c r="L476" i="6"/>
  <c r="BB475" i="6"/>
  <c r="BA475" i="6"/>
  <c r="L475" i="6"/>
  <c r="BB474" i="6"/>
  <c r="BA474" i="6"/>
  <c r="L474" i="6"/>
  <c r="BB473" i="6"/>
  <c r="BA473" i="6"/>
  <c r="L473" i="6"/>
  <c r="BB472" i="6"/>
  <c r="BA472" i="6"/>
  <c r="L472" i="6"/>
  <c r="BB471" i="6"/>
  <c r="BA471" i="6"/>
  <c r="L471" i="6"/>
  <c r="BB470" i="6"/>
  <c r="BA470" i="6"/>
  <c r="L470" i="6"/>
  <c r="BB469" i="6"/>
  <c r="BA469" i="6"/>
  <c r="L469" i="6"/>
  <c r="BB468" i="6"/>
  <c r="BA468" i="6"/>
  <c r="L468" i="6"/>
  <c r="BB467" i="6"/>
  <c r="BA467" i="6"/>
  <c r="L467" i="6"/>
  <c r="BB466" i="6"/>
  <c r="BA466" i="6"/>
  <c r="L466" i="6"/>
  <c r="BB465" i="6"/>
  <c r="BA465" i="6"/>
  <c r="L465" i="6"/>
  <c r="M465" i="6" s="1"/>
  <c r="BB464" i="6"/>
  <c r="BA464" i="6"/>
  <c r="L464" i="6"/>
  <c r="M464" i="6" s="1"/>
  <c r="BB463" i="6"/>
  <c r="BA463" i="6"/>
  <c r="L463" i="6"/>
  <c r="M463" i="6" s="1"/>
  <c r="BB462" i="6"/>
  <c r="BA462" i="6"/>
  <c r="L462" i="6"/>
  <c r="M462" i="6" s="1"/>
  <c r="BB461" i="6"/>
  <c r="BA461" i="6"/>
  <c r="L461" i="6"/>
  <c r="M461" i="6" s="1"/>
  <c r="BB460" i="6"/>
  <c r="BA460" i="6"/>
  <c r="L460" i="6"/>
  <c r="BB459" i="6"/>
  <c r="BA459" i="6"/>
  <c r="L459" i="6"/>
  <c r="BB457" i="6"/>
  <c r="BA457" i="6"/>
  <c r="L457" i="6"/>
  <c r="M457" i="6" s="1"/>
  <c r="BB456" i="6"/>
  <c r="BA456" i="6"/>
  <c r="L456" i="6"/>
  <c r="M456" i="6" s="1"/>
  <c r="BB455" i="6"/>
  <c r="BA455" i="6"/>
  <c r="L455" i="6"/>
  <c r="M455" i="6" s="1"/>
  <c r="BB454" i="6"/>
  <c r="BA454" i="6"/>
  <c r="L454" i="6"/>
  <c r="BB453" i="6"/>
  <c r="BA453" i="6"/>
  <c r="L453" i="6"/>
  <c r="M453" i="6" s="1"/>
  <c r="BB452" i="6"/>
  <c r="BA452" i="6"/>
  <c r="L452" i="6"/>
  <c r="M452" i="6" s="1"/>
  <c r="BB451" i="6"/>
  <c r="BA451" i="6"/>
  <c r="L451" i="6"/>
  <c r="M451" i="6" s="1"/>
  <c r="BB450" i="6"/>
  <c r="BA450" i="6"/>
  <c r="L450" i="6"/>
  <c r="M450" i="6" s="1"/>
  <c r="BB449" i="6"/>
  <c r="BA449" i="6"/>
  <c r="L449" i="6"/>
  <c r="BB448" i="6"/>
  <c r="BA448" i="6"/>
  <c r="L448" i="6"/>
  <c r="M448" i="6" s="1"/>
  <c r="BB447" i="6"/>
  <c r="BA447" i="6"/>
  <c r="L447" i="6"/>
  <c r="M447" i="6" s="1"/>
  <c r="BB446" i="6"/>
  <c r="BA446" i="6"/>
  <c r="L446" i="6"/>
  <c r="M446" i="6" s="1"/>
  <c r="BB445" i="6"/>
  <c r="BA445" i="6"/>
  <c r="L445" i="6"/>
  <c r="M445" i="6" s="1"/>
  <c r="BB444" i="6"/>
  <c r="BA444" i="6"/>
  <c r="L444" i="6"/>
  <c r="M444" i="6" s="1"/>
  <c r="BB443" i="6"/>
  <c r="BA443" i="6"/>
  <c r="L443" i="6"/>
  <c r="BB442" i="6"/>
  <c r="BA442" i="6"/>
  <c r="L442" i="6"/>
  <c r="M442" i="6" s="1"/>
  <c r="BB441" i="6"/>
  <c r="BA441" i="6"/>
  <c r="L441" i="6"/>
  <c r="BB440" i="6"/>
  <c r="BA440" i="6"/>
  <c r="L440" i="6"/>
  <c r="BB439" i="6"/>
  <c r="BA439" i="6"/>
  <c r="L439" i="6"/>
  <c r="BB438" i="6"/>
  <c r="BA438" i="6"/>
  <c r="L438" i="6"/>
  <c r="BB437" i="6"/>
  <c r="BA437" i="6"/>
  <c r="L437" i="6"/>
  <c r="BB436" i="6"/>
  <c r="BA436" i="6"/>
  <c r="L436" i="6"/>
  <c r="BB435" i="6"/>
  <c r="BA435" i="6"/>
  <c r="L435" i="6"/>
  <c r="BB434" i="6"/>
  <c r="L434" i="6"/>
  <c r="BB433" i="6"/>
  <c r="BA433" i="6"/>
  <c r="L433" i="6"/>
  <c r="BB432" i="6"/>
  <c r="BA432" i="6"/>
  <c r="L432" i="6"/>
  <c r="BB431" i="6"/>
  <c r="BA431" i="6"/>
  <c r="L431" i="6"/>
  <c r="BB430" i="6"/>
  <c r="BA430" i="6"/>
  <c r="L430" i="6"/>
  <c r="BB429" i="6"/>
  <c r="BA429" i="6"/>
  <c r="L429" i="6"/>
  <c r="BB428" i="6"/>
  <c r="BA428" i="6"/>
  <c r="L428" i="6"/>
  <c r="BB427" i="6"/>
  <c r="BA427" i="6"/>
  <c r="L427" i="6"/>
  <c r="BB426" i="6"/>
  <c r="BA426" i="6"/>
  <c r="L426" i="6"/>
  <c r="M426" i="6" s="1"/>
  <c r="BB425" i="6"/>
  <c r="BA425" i="6"/>
  <c r="L425" i="6"/>
  <c r="M425" i="6" s="1"/>
  <c r="BB424" i="6"/>
  <c r="BA424" i="6"/>
  <c r="L424" i="6"/>
  <c r="M424" i="6" s="1"/>
  <c r="BB423" i="6"/>
  <c r="BA423" i="6"/>
  <c r="L423" i="6"/>
  <c r="M423" i="6" s="1"/>
  <c r="BB422" i="6"/>
  <c r="BA422" i="6"/>
  <c r="L422" i="6"/>
  <c r="M422" i="6" s="1"/>
  <c r="BB421" i="6"/>
  <c r="BA421" i="6"/>
  <c r="L421" i="6"/>
  <c r="M421" i="6" s="1"/>
  <c r="BB420" i="6"/>
  <c r="BA420" i="6"/>
  <c r="L420" i="6"/>
  <c r="M420" i="6" s="1"/>
  <c r="BB419" i="6"/>
  <c r="BA419" i="6"/>
  <c r="L419" i="6"/>
  <c r="M419" i="6" s="1"/>
  <c r="BB418" i="6"/>
  <c r="BA418" i="6"/>
  <c r="L418" i="6"/>
  <c r="M418" i="6" s="1"/>
  <c r="BB417" i="6"/>
  <c r="BA417" i="6"/>
  <c r="L417" i="6"/>
  <c r="M417" i="6" s="1"/>
  <c r="BB416" i="6"/>
  <c r="BA416" i="6"/>
  <c r="L416" i="6"/>
  <c r="M416" i="6" s="1"/>
  <c r="BB415" i="6"/>
  <c r="BA415" i="6"/>
  <c r="L415" i="6"/>
  <c r="M415" i="6" s="1"/>
  <c r="BB414" i="6"/>
  <c r="BA414" i="6"/>
  <c r="L414" i="6"/>
  <c r="M414" i="6" s="1"/>
  <c r="BB413" i="6"/>
  <c r="BA413" i="6"/>
  <c r="L413" i="6"/>
  <c r="M413" i="6" s="1"/>
  <c r="BB412" i="6"/>
  <c r="BA412" i="6"/>
  <c r="L412" i="6"/>
  <c r="BB411" i="6"/>
  <c r="BA411" i="6"/>
  <c r="L411" i="6"/>
  <c r="BB410" i="6"/>
  <c r="BA410" i="6"/>
  <c r="L410" i="6"/>
  <c r="BB409" i="6"/>
  <c r="BA409" i="6"/>
  <c r="L409" i="6"/>
  <c r="M409" i="6" s="1"/>
  <c r="BB408" i="6"/>
  <c r="BA408" i="6"/>
  <c r="L408" i="6"/>
  <c r="BB407" i="6"/>
  <c r="BA407" i="6"/>
  <c r="L407" i="6"/>
  <c r="BB406" i="6"/>
  <c r="BA406" i="6"/>
  <c r="L406" i="6"/>
  <c r="BB405" i="6"/>
  <c r="BA405" i="6"/>
  <c r="L405" i="6"/>
  <c r="BB404" i="6"/>
  <c r="BA404" i="6"/>
  <c r="L404" i="6"/>
  <c r="BB403" i="6"/>
  <c r="BA403" i="6"/>
  <c r="L403" i="6"/>
  <c r="BB402" i="6"/>
  <c r="BA402" i="6"/>
  <c r="L402" i="6"/>
  <c r="BB401" i="6"/>
  <c r="BA401" i="6"/>
  <c r="L401" i="6"/>
  <c r="BB400" i="6"/>
  <c r="BA400" i="6"/>
  <c r="L400" i="6"/>
  <c r="BB399" i="6"/>
  <c r="BA399" i="6"/>
  <c r="L399" i="6"/>
  <c r="BB398" i="6"/>
  <c r="BA398" i="6"/>
  <c r="L398" i="6"/>
  <c r="BB397" i="6"/>
  <c r="BA397" i="6"/>
  <c r="L397" i="6"/>
  <c r="BB396" i="6"/>
  <c r="BA396" i="6"/>
  <c r="L396" i="6"/>
  <c r="BB395" i="6"/>
  <c r="BA395" i="6"/>
  <c r="L395" i="6"/>
  <c r="BB394" i="6"/>
  <c r="BA394" i="6"/>
  <c r="L394" i="6"/>
  <c r="BB393" i="6"/>
  <c r="BA393" i="6"/>
  <c r="L393" i="6"/>
  <c r="BB392" i="6"/>
  <c r="BA392" i="6"/>
  <c r="L392" i="6"/>
  <c r="BB391" i="6"/>
  <c r="BA391" i="6"/>
  <c r="L391" i="6"/>
  <c r="BB390" i="6"/>
  <c r="BA390" i="6"/>
  <c r="L390" i="6"/>
  <c r="BB389" i="6"/>
  <c r="BA389" i="6"/>
  <c r="L389" i="6"/>
  <c r="BB388" i="6"/>
  <c r="BA388" i="6"/>
  <c r="L388" i="6"/>
  <c r="BB387" i="6"/>
  <c r="BA387" i="6"/>
  <c r="L387" i="6"/>
  <c r="BB386" i="6"/>
  <c r="BA386" i="6"/>
  <c r="L386" i="6"/>
  <c r="BB385" i="6"/>
  <c r="BA385" i="6"/>
  <c r="L385" i="6"/>
  <c r="BB384" i="6"/>
  <c r="BA384" i="6"/>
  <c r="L384" i="6"/>
  <c r="BB383" i="6"/>
  <c r="BA383" i="6"/>
  <c r="L383" i="6"/>
  <c r="BB382" i="6"/>
  <c r="BA382" i="6"/>
  <c r="L382" i="6"/>
  <c r="BB381" i="6"/>
  <c r="BA381" i="6"/>
  <c r="L381" i="6"/>
  <c r="BB380" i="6"/>
  <c r="BA380" i="6"/>
  <c r="L380" i="6"/>
  <c r="BB379" i="6"/>
  <c r="BA379" i="6"/>
  <c r="L379" i="6"/>
  <c r="BB378" i="6"/>
  <c r="BA378" i="6"/>
  <c r="L378" i="6"/>
  <c r="BB377" i="6"/>
  <c r="BA377" i="6"/>
  <c r="L377" i="6"/>
  <c r="BB376" i="6"/>
  <c r="BA376" i="6"/>
  <c r="L376" i="6"/>
  <c r="BB375" i="6"/>
  <c r="BA375" i="6"/>
  <c r="L375" i="6"/>
  <c r="BB374" i="6"/>
  <c r="BA374" i="6"/>
  <c r="L374" i="6"/>
  <c r="BB373" i="6"/>
  <c r="BA373" i="6"/>
  <c r="L373" i="6"/>
  <c r="BB372" i="6"/>
  <c r="BA372" i="6"/>
  <c r="L372" i="6"/>
  <c r="BB371" i="6"/>
  <c r="BA371" i="6"/>
  <c r="L371" i="6"/>
  <c r="BB370" i="6"/>
  <c r="BA370" i="6"/>
  <c r="L370" i="6"/>
  <c r="M370" i="6" s="1"/>
  <c r="BB369" i="6"/>
  <c r="BA369" i="6"/>
  <c r="L369" i="6"/>
  <c r="M369" i="6" s="1"/>
  <c r="BB368" i="6"/>
  <c r="BA368" i="6"/>
  <c r="L368" i="6"/>
  <c r="M368" i="6" s="1"/>
  <c r="BB367" i="6"/>
  <c r="BA367" i="6"/>
  <c r="L367" i="6"/>
  <c r="BB366" i="6"/>
  <c r="BA366" i="6"/>
  <c r="L366" i="6"/>
  <c r="M366" i="6" s="1"/>
  <c r="BB365" i="6"/>
  <c r="BA365" i="6"/>
  <c r="L365" i="6"/>
  <c r="M365" i="6" s="1"/>
  <c r="BB364" i="6"/>
  <c r="BA364" i="6"/>
  <c r="L364" i="6"/>
  <c r="M364" i="6" s="1"/>
  <c r="BB363" i="6"/>
  <c r="BA363" i="6"/>
  <c r="L363" i="6"/>
  <c r="M363" i="6" s="1"/>
  <c r="BB362" i="6"/>
  <c r="BA362" i="6"/>
  <c r="L362" i="6"/>
  <c r="M362" i="6" s="1"/>
  <c r="BB361" i="6"/>
  <c r="BA361" i="6"/>
  <c r="L361" i="6"/>
  <c r="M361" i="6" s="1"/>
  <c r="BB360" i="6"/>
  <c r="BA360" i="6"/>
  <c r="L360" i="6"/>
  <c r="BB359" i="6"/>
  <c r="BA359" i="6"/>
  <c r="L359" i="6"/>
  <c r="M359" i="6" s="1"/>
  <c r="BB358" i="6"/>
  <c r="BA358" i="6"/>
  <c r="L358" i="6"/>
  <c r="M358" i="6" s="1"/>
  <c r="BB357" i="6"/>
  <c r="BA357" i="6"/>
  <c r="L357" i="6"/>
  <c r="M357" i="6" s="1"/>
  <c r="BB356" i="6"/>
  <c r="BA356" i="6"/>
  <c r="L356" i="6"/>
  <c r="M356" i="6" s="1"/>
  <c r="BB355" i="6"/>
  <c r="BA355" i="6"/>
  <c r="L355" i="6"/>
  <c r="M355" i="6" s="1"/>
  <c r="BB354" i="6"/>
  <c r="BA354" i="6"/>
  <c r="L354" i="6"/>
  <c r="M354" i="6" s="1"/>
  <c r="BB353" i="6"/>
  <c r="BA353" i="6"/>
  <c r="L353" i="6"/>
  <c r="M353" i="6" s="1"/>
  <c r="BB352" i="6"/>
  <c r="BA352" i="6"/>
  <c r="L352" i="6"/>
  <c r="M352" i="6" s="1"/>
  <c r="BB351" i="6"/>
  <c r="BA351" i="6"/>
  <c r="L351" i="6"/>
  <c r="M351" i="6" s="1"/>
  <c r="BB350" i="6"/>
  <c r="BA350" i="6"/>
  <c r="L350" i="6"/>
  <c r="M350" i="6" s="1"/>
  <c r="BB349" i="6"/>
  <c r="BA349" i="6"/>
  <c r="L349" i="6"/>
  <c r="M349" i="6" s="1"/>
  <c r="BB348" i="6"/>
  <c r="BA348" i="6"/>
  <c r="L348" i="6"/>
  <c r="M348" i="6" s="1"/>
  <c r="BB347" i="6"/>
  <c r="BA347" i="6"/>
  <c r="L347" i="6"/>
  <c r="BB346" i="6"/>
  <c r="BA346" i="6"/>
  <c r="L346" i="6"/>
  <c r="M346" i="6" s="1"/>
  <c r="BB345" i="6"/>
  <c r="BA345" i="6"/>
  <c r="L345" i="6"/>
  <c r="M345" i="6" s="1"/>
  <c r="BB344" i="6"/>
  <c r="BA344" i="6"/>
  <c r="L344" i="6"/>
  <c r="M344" i="6" s="1"/>
  <c r="BB343" i="6"/>
  <c r="BA343" i="6"/>
  <c r="L343" i="6"/>
  <c r="M343" i="6" s="1"/>
  <c r="BB342" i="6"/>
  <c r="BA342" i="6"/>
  <c r="L342" i="6"/>
  <c r="M342" i="6" s="1"/>
  <c r="BB341" i="6"/>
  <c r="BA341" i="6"/>
  <c r="L341" i="6"/>
  <c r="BB340" i="6"/>
  <c r="BA340" i="6"/>
  <c r="L340" i="6"/>
  <c r="M340" i="6" s="1"/>
  <c r="BB339" i="6"/>
  <c r="BA339" i="6"/>
  <c r="L339" i="6"/>
  <c r="M339" i="6" s="1"/>
  <c r="BB338" i="6"/>
  <c r="BA338" i="6"/>
  <c r="L338" i="6"/>
  <c r="M338" i="6" s="1"/>
  <c r="BB337" i="6"/>
  <c r="BA337" i="6"/>
  <c r="L337" i="6"/>
  <c r="M337" i="6" s="1"/>
  <c r="BB336" i="6"/>
  <c r="BA336" i="6"/>
  <c r="L336" i="6"/>
  <c r="BB335" i="6"/>
  <c r="BA335" i="6"/>
  <c r="L335" i="6"/>
  <c r="BB334" i="6"/>
  <c r="BA334" i="6"/>
  <c r="L334" i="6"/>
  <c r="M334" i="6" s="1"/>
  <c r="BB333" i="6"/>
  <c r="BA333" i="6"/>
  <c r="L333" i="6"/>
  <c r="M333" i="6" s="1"/>
  <c r="BB332" i="6"/>
  <c r="BA332" i="6"/>
  <c r="L332" i="6"/>
  <c r="M332" i="6" s="1"/>
  <c r="BB331" i="6"/>
  <c r="BA331" i="6"/>
  <c r="L331" i="6"/>
  <c r="BB330" i="6"/>
  <c r="BA330" i="6"/>
  <c r="L330" i="6"/>
  <c r="BB329" i="6"/>
  <c r="BA329" i="6"/>
  <c r="L329" i="6"/>
  <c r="BB328" i="6"/>
  <c r="BA328" i="6"/>
  <c r="L328" i="6"/>
  <c r="M328" i="6" s="1"/>
  <c r="BB327" i="6"/>
  <c r="BA327" i="6"/>
  <c r="L327" i="6"/>
  <c r="BB326" i="6"/>
  <c r="BA326" i="6"/>
  <c r="L326" i="6"/>
  <c r="BB325" i="6"/>
  <c r="BA325" i="6"/>
  <c r="L325" i="6"/>
  <c r="BB324" i="6"/>
  <c r="BA324" i="6"/>
  <c r="L324" i="6"/>
  <c r="BB323" i="6"/>
  <c r="BA323" i="6"/>
  <c r="L323" i="6"/>
  <c r="BB322" i="6"/>
  <c r="BA322" i="6"/>
  <c r="L322" i="6"/>
  <c r="BB321" i="6"/>
  <c r="BA321" i="6"/>
  <c r="L321" i="6"/>
  <c r="BB320" i="6"/>
  <c r="BA320" i="6"/>
  <c r="L320" i="6"/>
  <c r="BB319" i="6"/>
  <c r="BA319" i="6"/>
  <c r="L319" i="6"/>
  <c r="BB318" i="6"/>
  <c r="BA318" i="6"/>
  <c r="L318" i="6"/>
  <c r="BB317" i="6"/>
  <c r="BA317" i="6"/>
  <c r="L317" i="6"/>
  <c r="BB316" i="6"/>
  <c r="BA316" i="6"/>
  <c r="L316" i="6"/>
  <c r="BB315" i="6"/>
  <c r="BA315" i="6"/>
  <c r="L315" i="6"/>
  <c r="BB314" i="6"/>
  <c r="BA314" i="6"/>
  <c r="L314" i="6"/>
  <c r="BB313" i="6"/>
  <c r="BA313" i="6"/>
  <c r="L313" i="6"/>
  <c r="BB312" i="6"/>
  <c r="BA312" i="6"/>
  <c r="L312" i="6"/>
  <c r="BB311" i="6"/>
  <c r="BA311" i="6"/>
  <c r="L311" i="6"/>
  <c r="BB310" i="6"/>
  <c r="BA310" i="6"/>
  <c r="L310" i="6"/>
  <c r="BB309" i="6"/>
  <c r="BA309" i="6"/>
  <c r="L309" i="6"/>
  <c r="BB308" i="6"/>
  <c r="BA308" i="6"/>
  <c r="L308" i="6"/>
  <c r="BB307" i="6"/>
  <c r="BA307" i="6"/>
  <c r="L307" i="6"/>
  <c r="BB306" i="6"/>
  <c r="BA306" i="6"/>
  <c r="L306" i="6"/>
  <c r="BB305" i="6"/>
  <c r="BA305" i="6"/>
  <c r="L305" i="6"/>
  <c r="BB304" i="6"/>
  <c r="BA304" i="6"/>
  <c r="L304" i="6"/>
  <c r="BB303" i="6"/>
  <c r="BA303" i="6"/>
  <c r="L303" i="6"/>
  <c r="BB302" i="6"/>
  <c r="BA302" i="6"/>
  <c r="L302" i="6"/>
  <c r="BB301" i="6"/>
  <c r="BA301" i="6"/>
  <c r="L301" i="6"/>
  <c r="BB300" i="6"/>
  <c r="BA300" i="6"/>
  <c r="L300" i="6"/>
  <c r="BB299" i="6"/>
  <c r="BA299" i="6"/>
  <c r="L299" i="6"/>
  <c r="M299" i="6" s="1"/>
  <c r="BB298" i="6"/>
  <c r="BA298" i="6"/>
  <c r="L298" i="6"/>
  <c r="BB297" i="6"/>
  <c r="BA297" i="6"/>
  <c r="L297" i="6"/>
  <c r="BB296" i="6"/>
  <c r="BA296" i="6"/>
  <c r="L296" i="6"/>
  <c r="M296" i="6" s="1"/>
  <c r="BB295" i="6"/>
  <c r="BA295" i="6"/>
  <c r="L295" i="6"/>
  <c r="BB294" i="6"/>
  <c r="BA294" i="6"/>
  <c r="L294" i="6"/>
  <c r="M294" i="6" s="1"/>
  <c r="BB293" i="6"/>
  <c r="BA293" i="6"/>
  <c r="L293" i="6"/>
  <c r="M293" i="6" s="1"/>
  <c r="BB292" i="6"/>
  <c r="BA292" i="6"/>
  <c r="L292" i="6"/>
  <c r="M292" i="6" s="1"/>
  <c r="BB291" i="6"/>
  <c r="BA291" i="6"/>
  <c r="L291" i="6"/>
  <c r="M291" i="6" s="1"/>
  <c r="BB290" i="6"/>
  <c r="BA290" i="6"/>
  <c r="L290" i="6"/>
  <c r="M290" i="6" s="1"/>
  <c r="BB289" i="6"/>
  <c r="BA289" i="6"/>
  <c r="L289" i="6"/>
  <c r="BB288" i="6"/>
  <c r="BA288" i="6"/>
  <c r="L288" i="6"/>
  <c r="M288" i="6" s="1"/>
  <c r="BB287" i="6"/>
  <c r="BA287" i="6"/>
  <c r="L287" i="6"/>
  <c r="M287" i="6" s="1"/>
  <c r="BB286" i="6"/>
  <c r="BA286" i="6"/>
  <c r="L286" i="6"/>
  <c r="M286" i="6" s="1"/>
  <c r="BB285" i="6"/>
  <c r="BA285" i="6"/>
  <c r="L285" i="6"/>
  <c r="M285" i="6" s="1"/>
  <c r="BB284" i="6"/>
  <c r="BA284" i="6"/>
  <c r="L284" i="6"/>
  <c r="M284" i="6" s="1"/>
  <c r="BB283" i="6"/>
  <c r="BA283" i="6"/>
  <c r="L283" i="6"/>
  <c r="M283" i="6" s="1"/>
  <c r="BB282" i="6"/>
  <c r="BA282" i="6"/>
  <c r="L282" i="6"/>
  <c r="M282" i="6" s="1"/>
  <c r="BB281" i="6"/>
  <c r="BA281" i="6"/>
  <c r="L281" i="6"/>
  <c r="M281" i="6" s="1"/>
  <c r="BB280" i="6"/>
  <c r="BA280" i="6"/>
  <c r="L280" i="6"/>
  <c r="M280" i="6" s="1"/>
  <c r="BB279" i="6"/>
  <c r="BA279" i="6"/>
  <c r="L279" i="6"/>
  <c r="M279" i="6" s="1"/>
  <c r="BB278" i="6"/>
  <c r="BA278" i="6"/>
  <c r="L278" i="6"/>
  <c r="M278" i="6" s="1"/>
  <c r="BB277" i="6"/>
  <c r="BA277" i="6"/>
  <c r="L277" i="6"/>
  <c r="BB276" i="6"/>
  <c r="BA276" i="6"/>
  <c r="L276" i="6"/>
  <c r="M276" i="6" s="1"/>
  <c r="BB275" i="6"/>
  <c r="BA275" i="6"/>
  <c r="L275" i="6"/>
  <c r="M275" i="6" s="1"/>
  <c r="BB274" i="6"/>
  <c r="BA274" i="6"/>
  <c r="L274" i="6"/>
  <c r="M274" i="6" s="1"/>
  <c r="BB273" i="6"/>
  <c r="BA273" i="6"/>
  <c r="L273" i="6"/>
  <c r="M273" i="6" s="1"/>
  <c r="BB272" i="6"/>
  <c r="BA272" i="6"/>
  <c r="L272" i="6"/>
  <c r="M272" i="6" s="1"/>
  <c r="BB271" i="6"/>
  <c r="BA271" i="6"/>
  <c r="L271" i="6"/>
  <c r="M271" i="6" s="1"/>
  <c r="BB270" i="6"/>
  <c r="BA270" i="6"/>
  <c r="L270" i="6"/>
  <c r="M270" i="6" s="1"/>
  <c r="BB269" i="6"/>
  <c r="BA269" i="6"/>
  <c r="L269" i="6"/>
  <c r="BB268" i="6"/>
  <c r="BA268" i="6"/>
  <c r="L268" i="6"/>
  <c r="BB267" i="6"/>
  <c r="BA267" i="6"/>
  <c r="L267" i="6"/>
  <c r="BB266" i="6"/>
  <c r="BA266" i="6"/>
  <c r="L266" i="6"/>
  <c r="M266" i="6" s="1"/>
  <c r="BB265" i="6"/>
  <c r="BA265" i="6"/>
  <c r="L265" i="6"/>
  <c r="BB264" i="6"/>
  <c r="BA264" i="6"/>
  <c r="L264" i="6"/>
  <c r="BB263" i="6"/>
  <c r="BA263" i="6"/>
  <c r="L263" i="6"/>
  <c r="BB262" i="6"/>
  <c r="BA262" i="6"/>
  <c r="L262" i="6"/>
  <c r="M262" i="6" s="1"/>
  <c r="BB261" i="6"/>
  <c r="BA261" i="6"/>
  <c r="L261" i="6"/>
  <c r="BB260" i="6"/>
  <c r="BA260" i="6"/>
  <c r="L260" i="6"/>
  <c r="BB259" i="6"/>
  <c r="BA259" i="6"/>
  <c r="L259" i="6"/>
  <c r="BB258" i="6"/>
  <c r="BA258" i="6"/>
  <c r="L258" i="6"/>
  <c r="BB257" i="6"/>
  <c r="BA257" i="6"/>
  <c r="L257" i="6"/>
  <c r="BB256" i="6"/>
  <c r="BA256" i="6"/>
  <c r="L256" i="6"/>
  <c r="BB255" i="6"/>
  <c r="BA255" i="6"/>
  <c r="L255" i="6"/>
  <c r="BB254" i="6"/>
  <c r="BA254" i="6"/>
  <c r="L254" i="6"/>
  <c r="BB253" i="6"/>
  <c r="BA253" i="6"/>
  <c r="L253" i="6"/>
  <c r="BB252" i="6"/>
  <c r="BA252" i="6"/>
  <c r="L252" i="6"/>
  <c r="M252" i="6" s="1"/>
  <c r="BB251" i="6"/>
  <c r="BA251" i="6"/>
  <c r="L251" i="6"/>
  <c r="BB250" i="6"/>
  <c r="BA250" i="6"/>
  <c r="L250" i="6"/>
  <c r="BB249" i="6"/>
  <c r="BA249" i="6"/>
  <c r="L249" i="6"/>
  <c r="BB248" i="6"/>
  <c r="BA248" i="6"/>
  <c r="L248" i="6"/>
  <c r="BB247" i="6"/>
  <c r="BA247" i="6"/>
  <c r="L247" i="6"/>
  <c r="BB246" i="6"/>
  <c r="BA246" i="6"/>
  <c r="L246" i="6"/>
  <c r="BB245" i="6"/>
  <c r="BA245" i="6"/>
  <c r="L245" i="6"/>
  <c r="BB244" i="6"/>
  <c r="BA244" i="6"/>
  <c r="L244" i="6"/>
  <c r="M244" i="6" s="1"/>
  <c r="BB243" i="6"/>
  <c r="BA243" i="6"/>
  <c r="L243" i="6"/>
  <c r="BB242" i="6"/>
  <c r="BA242" i="6"/>
  <c r="L242" i="6"/>
  <c r="BB241" i="6"/>
  <c r="BA241" i="6"/>
  <c r="L241" i="6"/>
  <c r="BB240" i="6"/>
  <c r="BA240" i="6"/>
  <c r="L240" i="6"/>
  <c r="BB239" i="6"/>
  <c r="BA239" i="6"/>
  <c r="L239" i="6"/>
  <c r="BB238" i="6"/>
  <c r="BA238" i="6"/>
  <c r="L238" i="6"/>
  <c r="BB237" i="6"/>
  <c r="BA237" i="6"/>
  <c r="L237" i="6"/>
  <c r="BB236" i="6"/>
  <c r="BA236" i="6"/>
  <c r="L236" i="6"/>
  <c r="BB235" i="6"/>
  <c r="BA235" i="6"/>
  <c r="L235" i="6"/>
  <c r="BB234" i="6"/>
  <c r="BA234" i="6"/>
  <c r="L234" i="6"/>
  <c r="BB233" i="6"/>
  <c r="BA233" i="6"/>
  <c r="L233" i="6"/>
  <c r="BB232" i="6"/>
  <c r="BA232" i="6"/>
  <c r="L232" i="6"/>
  <c r="BB231" i="6"/>
  <c r="BA231" i="6"/>
  <c r="L231" i="6"/>
  <c r="BB230" i="6"/>
  <c r="BA230" i="6"/>
  <c r="L230" i="6"/>
  <c r="BB229" i="6"/>
  <c r="BA229" i="6"/>
  <c r="L229" i="6"/>
  <c r="BB228" i="6"/>
  <c r="BA228" i="6"/>
  <c r="L228" i="6"/>
  <c r="BB227" i="6"/>
  <c r="BA227" i="6"/>
  <c r="L227" i="6"/>
  <c r="M227" i="6" s="1"/>
  <c r="BB226" i="6"/>
  <c r="BA226" i="6"/>
  <c r="L226" i="6"/>
  <c r="M226" i="6" s="1"/>
  <c r="BB225" i="6"/>
  <c r="BA225" i="6"/>
  <c r="L225" i="6"/>
  <c r="M225" i="6" s="1"/>
  <c r="BB224" i="6"/>
  <c r="BA224" i="6"/>
  <c r="L224" i="6"/>
  <c r="M224" i="6" s="1"/>
  <c r="BB223" i="6"/>
  <c r="BA223" i="6"/>
  <c r="L223" i="6"/>
  <c r="BB222" i="6"/>
  <c r="BA222" i="6"/>
  <c r="L222" i="6"/>
  <c r="BB221" i="6"/>
  <c r="BA221" i="6"/>
  <c r="L221" i="6"/>
  <c r="BB220" i="6"/>
  <c r="BA220" i="6"/>
  <c r="L220" i="6"/>
  <c r="M220" i="6" s="1"/>
  <c r="BB219" i="6"/>
  <c r="BA219" i="6"/>
  <c r="L219" i="6"/>
  <c r="BB218" i="6"/>
  <c r="BA218" i="6"/>
  <c r="L218" i="6"/>
  <c r="M218" i="6" s="1"/>
  <c r="BB217" i="6"/>
  <c r="BA217" i="6"/>
  <c r="L217" i="6"/>
  <c r="M217" i="6" s="1"/>
  <c r="BB216" i="6"/>
  <c r="BA216" i="6"/>
  <c r="L216" i="6"/>
  <c r="BB215" i="6"/>
  <c r="BA215" i="6"/>
  <c r="L215" i="6"/>
  <c r="BB214" i="6"/>
  <c r="BA214" i="6"/>
  <c r="L214" i="6"/>
  <c r="M214" i="6" s="1"/>
  <c r="BB213" i="6"/>
  <c r="BA213" i="6"/>
  <c r="L213" i="6"/>
  <c r="M213" i="6" s="1"/>
  <c r="BB212" i="6"/>
  <c r="BA212" i="6"/>
  <c r="L212" i="6"/>
  <c r="M212" i="6" s="1"/>
  <c r="BB211" i="6"/>
  <c r="BA211" i="6"/>
  <c r="L211" i="6"/>
  <c r="M211" i="6" s="1"/>
  <c r="BB210" i="6"/>
  <c r="BA210" i="6"/>
  <c r="L210" i="6"/>
  <c r="M210" i="6" s="1"/>
  <c r="BB209" i="6"/>
  <c r="BA209" i="6"/>
  <c r="L209" i="6"/>
  <c r="M209" i="6" s="1"/>
  <c r="BB208" i="6"/>
  <c r="BA208" i="6"/>
  <c r="L208" i="6"/>
  <c r="M208" i="6" s="1"/>
  <c r="BB207" i="6"/>
  <c r="BA207" i="6"/>
  <c r="L207" i="6"/>
  <c r="M207" i="6" s="1"/>
  <c r="BB206" i="6"/>
  <c r="BA206" i="6"/>
  <c r="L206" i="6"/>
  <c r="M206" i="6" s="1"/>
  <c r="BB205" i="6"/>
  <c r="BA205" i="6"/>
  <c r="L205" i="6"/>
  <c r="BB204" i="6"/>
  <c r="BA204" i="6"/>
  <c r="L204" i="6"/>
  <c r="M204" i="6" s="1"/>
  <c r="BB203" i="6"/>
  <c r="BA203" i="6"/>
  <c r="L203" i="6"/>
  <c r="BB202" i="6"/>
  <c r="BA202" i="6"/>
  <c r="L202" i="6"/>
  <c r="M202" i="6" s="1"/>
  <c r="BB201" i="6"/>
  <c r="BA201" i="6"/>
  <c r="L201" i="6"/>
  <c r="M201" i="6" s="1"/>
  <c r="BB200" i="6"/>
  <c r="BA200" i="6"/>
  <c r="L200" i="6"/>
  <c r="M200" i="6" s="1"/>
  <c r="BB199" i="6"/>
  <c r="BA199" i="6"/>
  <c r="L199" i="6"/>
  <c r="M199" i="6" s="1"/>
  <c r="BB198" i="6"/>
  <c r="BA198" i="6"/>
  <c r="L198" i="6"/>
  <c r="M198" i="6" s="1"/>
  <c r="BB197" i="6"/>
  <c r="BA197" i="6"/>
  <c r="L197" i="6"/>
  <c r="M197" i="6" s="1"/>
  <c r="BB196" i="6"/>
  <c r="BA196" i="6"/>
  <c r="L196" i="6"/>
  <c r="BB195" i="6"/>
  <c r="BA195" i="6"/>
  <c r="L195" i="6"/>
  <c r="BB194" i="6"/>
  <c r="BA194" i="6"/>
  <c r="L194" i="6"/>
  <c r="M194" i="6" s="1"/>
  <c r="BB193" i="6"/>
  <c r="BA193" i="6"/>
  <c r="L193" i="6"/>
  <c r="M193" i="6" s="1"/>
  <c r="BB192" i="6"/>
  <c r="BA192" i="6"/>
  <c r="L192" i="6"/>
  <c r="M192" i="6" s="1"/>
  <c r="BB191" i="6"/>
  <c r="BA191" i="6"/>
  <c r="L191" i="6"/>
  <c r="M191" i="6" s="1"/>
  <c r="BB190" i="6"/>
  <c r="BA190" i="6"/>
  <c r="L190" i="6"/>
  <c r="BB189" i="6"/>
  <c r="BA189" i="6"/>
  <c r="L189" i="6"/>
  <c r="BB188" i="6"/>
  <c r="BA188" i="6"/>
  <c r="L188" i="6"/>
  <c r="M188" i="6" s="1"/>
  <c r="BB187" i="6"/>
  <c r="BA187" i="6"/>
  <c r="L187" i="6"/>
  <c r="BB186" i="6"/>
  <c r="BA186" i="6"/>
  <c r="L186" i="6"/>
  <c r="BB185" i="6"/>
  <c r="BA185" i="6"/>
  <c r="L185" i="6"/>
  <c r="BB184" i="6"/>
  <c r="BA184" i="6"/>
  <c r="L184" i="6"/>
  <c r="BB183" i="6"/>
  <c r="BA183" i="6"/>
  <c r="L183" i="6"/>
  <c r="BB182" i="6"/>
  <c r="BA182" i="6"/>
  <c r="L182" i="6"/>
  <c r="BB181" i="6"/>
  <c r="BA181" i="6"/>
  <c r="L181" i="6"/>
  <c r="BB180" i="6"/>
  <c r="BA180" i="6"/>
  <c r="L180" i="6"/>
  <c r="BB179" i="6"/>
  <c r="BA179" i="6"/>
  <c r="L179" i="6"/>
  <c r="BB178" i="6"/>
  <c r="BA178" i="6"/>
  <c r="L178" i="6"/>
  <c r="BB177" i="6"/>
  <c r="BA177" i="6"/>
  <c r="L177" i="6"/>
  <c r="BB176" i="6"/>
  <c r="BA176" i="6"/>
  <c r="L176" i="6"/>
  <c r="BB175" i="6"/>
  <c r="BA175" i="6"/>
  <c r="L175" i="6"/>
  <c r="BB174" i="6"/>
  <c r="BA174" i="6"/>
  <c r="L174" i="6"/>
  <c r="BB173" i="6"/>
  <c r="BA173" i="6"/>
  <c r="L173" i="6"/>
  <c r="BB172" i="6"/>
  <c r="BA172" i="6"/>
  <c r="L172" i="6"/>
  <c r="BB171" i="6"/>
  <c r="BA171" i="6"/>
  <c r="L171" i="6"/>
  <c r="BB170" i="6"/>
  <c r="BA170" i="6"/>
  <c r="L170" i="6"/>
  <c r="BB169" i="6"/>
  <c r="BA169" i="6"/>
  <c r="L169" i="6"/>
  <c r="BB168" i="6"/>
  <c r="BA168" i="6"/>
  <c r="L168" i="6"/>
  <c r="BB167" i="6"/>
  <c r="BA167" i="6"/>
  <c r="L167" i="6"/>
  <c r="BB166" i="6"/>
  <c r="BA166" i="6"/>
  <c r="L166" i="6"/>
  <c r="BB165" i="6"/>
  <c r="BA165" i="6"/>
  <c r="L165" i="6"/>
  <c r="BB164" i="6"/>
  <c r="BA164" i="6"/>
  <c r="L164" i="6"/>
  <c r="BB163" i="6"/>
  <c r="BA163" i="6"/>
  <c r="L163" i="6"/>
  <c r="BB162" i="6"/>
  <c r="BA162" i="6"/>
  <c r="L162" i="6"/>
  <c r="BB161" i="6"/>
  <c r="BA161" i="6"/>
  <c r="L161" i="6"/>
  <c r="BB160" i="6"/>
  <c r="BA160" i="6"/>
  <c r="L160" i="6"/>
  <c r="BB159" i="6"/>
  <c r="BA159" i="6"/>
  <c r="L159" i="6"/>
  <c r="BB158" i="6"/>
  <c r="BA158" i="6"/>
  <c r="L158" i="6"/>
  <c r="BB157" i="6"/>
  <c r="BA157" i="6"/>
  <c r="L157" i="6"/>
  <c r="BB156" i="6"/>
  <c r="BA156" i="6"/>
  <c r="L156" i="6"/>
  <c r="BB155" i="6"/>
  <c r="BA155" i="6"/>
  <c r="L155" i="6"/>
  <c r="BB154" i="6"/>
  <c r="BA154" i="6"/>
  <c r="L154" i="6"/>
  <c r="BB153" i="6"/>
  <c r="BA153" i="6"/>
  <c r="L153" i="6"/>
  <c r="BB152" i="6"/>
  <c r="BA152" i="6"/>
  <c r="L152" i="6"/>
  <c r="BB151" i="6"/>
  <c r="BA151" i="6"/>
  <c r="L151" i="6"/>
  <c r="BB150" i="6"/>
  <c r="BA150" i="6"/>
  <c r="L150" i="6"/>
  <c r="BB149" i="6"/>
  <c r="BA149" i="6"/>
  <c r="L149" i="6"/>
  <c r="BB148" i="6"/>
  <c r="BA148" i="6"/>
  <c r="L148" i="6"/>
  <c r="BB147" i="6"/>
  <c r="BA147" i="6"/>
  <c r="L147" i="6"/>
  <c r="BB146" i="6"/>
  <c r="BA146" i="6"/>
  <c r="L146" i="6"/>
  <c r="BB145" i="6"/>
  <c r="BA145" i="6"/>
  <c r="L145" i="6"/>
  <c r="BB144" i="6"/>
  <c r="BA144" i="6"/>
  <c r="L144" i="6"/>
  <c r="BB143" i="6"/>
  <c r="BA143" i="6"/>
  <c r="L143" i="6"/>
  <c r="BB142" i="6"/>
  <c r="BA142" i="6"/>
  <c r="L142" i="6"/>
  <c r="BB141" i="6"/>
  <c r="BA141" i="6"/>
  <c r="L141" i="6"/>
  <c r="BB140" i="6"/>
  <c r="BA140" i="6"/>
  <c r="L140" i="6"/>
  <c r="BB139" i="6"/>
  <c r="BA139" i="6"/>
  <c r="L139" i="6"/>
  <c r="BB138" i="6"/>
  <c r="BA138" i="6"/>
  <c r="L138" i="6"/>
  <c r="BB137" i="6"/>
  <c r="BA137" i="6"/>
  <c r="L137" i="6"/>
  <c r="BB136" i="6"/>
  <c r="BA136" i="6"/>
  <c r="L136" i="6"/>
  <c r="BB135" i="6"/>
  <c r="BA135" i="6"/>
  <c r="L135" i="6"/>
  <c r="BB134" i="6"/>
  <c r="BA134" i="6"/>
  <c r="L134" i="6"/>
  <c r="BB133" i="6"/>
  <c r="BA133" i="6"/>
  <c r="L133" i="6"/>
  <c r="BB132" i="6"/>
  <c r="BA132" i="6"/>
  <c r="L132" i="6"/>
  <c r="BB131" i="6"/>
  <c r="BA131" i="6"/>
  <c r="L131" i="6"/>
  <c r="M131" i="6" s="1"/>
  <c r="BB130" i="6"/>
  <c r="BA130" i="6"/>
  <c r="L130" i="6"/>
  <c r="BB129" i="6"/>
  <c r="BA129" i="6"/>
  <c r="L129" i="6"/>
  <c r="BB128" i="6"/>
  <c r="BA128" i="6"/>
  <c r="L128" i="6"/>
  <c r="BB127" i="6"/>
  <c r="BA127" i="6"/>
  <c r="L127" i="6"/>
  <c r="BB126" i="6"/>
  <c r="BA126" i="6"/>
  <c r="L126" i="6"/>
  <c r="BB125" i="6"/>
  <c r="BA125" i="6"/>
  <c r="L125" i="6"/>
  <c r="BB124" i="6"/>
  <c r="BA124" i="6"/>
  <c r="L124" i="6"/>
  <c r="BB123" i="6"/>
  <c r="BA123" i="6"/>
  <c r="L123" i="6"/>
  <c r="BB122" i="6"/>
  <c r="BA122" i="6"/>
  <c r="L122" i="6"/>
  <c r="BB121" i="6"/>
  <c r="BA121" i="6"/>
  <c r="L121" i="6"/>
  <c r="BB120" i="6"/>
  <c r="BA120" i="6"/>
  <c r="L120" i="6"/>
  <c r="BB119" i="6"/>
  <c r="BA119" i="6"/>
  <c r="L119" i="6"/>
  <c r="BB118" i="6"/>
  <c r="BA118" i="6"/>
  <c r="L118" i="6"/>
  <c r="BB117" i="6"/>
  <c r="BA117" i="6"/>
  <c r="L117" i="6"/>
  <c r="BB116" i="6"/>
  <c r="BA116" i="6"/>
  <c r="L116" i="6"/>
  <c r="BB115" i="6"/>
  <c r="BA115" i="6"/>
  <c r="L115" i="6"/>
  <c r="BB114" i="6"/>
  <c r="BA114" i="6"/>
  <c r="L114" i="6"/>
  <c r="BB113" i="6"/>
  <c r="BA113" i="6"/>
  <c r="L113" i="6"/>
  <c r="BB112" i="6"/>
  <c r="BA112" i="6"/>
  <c r="L112" i="6"/>
  <c r="BB111" i="6"/>
  <c r="BA111" i="6"/>
  <c r="L111" i="6"/>
  <c r="BB110" i="6"/>
  <c r="BA110" i="6"/>
  <c r="L110" i="6"/>
  <c r="BB109" i="6"/>
  <c r="BA109" i="6"/>
  <c r="L109" i="6"/>
  <c r="BB108" i="6"/>
  <c r="BA108" i="6"/>
  <c r="L108" i="6"/>
  <c r="BB107" i="6"/>
  <c r="BA107" i="6"/>
  <c r="L107" i="6"/>
  <c r="BB106" i="6"/>
  <c r="BA106" i="6"/>
  <c r="L106" i="6"/>
  <c r="BB105" i="6"/>
  <c r="BA105" i="6"/>
  <c r="L105" i="6"/>
  <c r="BB104" i="6"/>
  <c r="BA104" i="6"/>
  <c r="L104" i="6"/>
  <c r="BB103" i="6"/>
  <c r="BA103" i="6"/>
  <c r="L103" i="6"/>
  <c r="BB102" i="6"/>
  <c r="BA102" i="6"/>
  <c r="L102" i="6"/>
  <c r="BB101" i="6"/>
  <c r="BA101" i="6"/>
  <c r="L101" i="6"/>
  <c r="BB100" i="6"/>
  <c r="BA100" i="6"/>
  <c r="L100" i="6"/>
  <c r="BB99" i="6"/>
  <c r="BA99" i="6"/>
  <c r="L99" i="6"/>
  <c r="BB98" i="6"/>
  <c r="BA98" i="6"/>
  <c r="L98" i="6"/>
  <c r="BB97" i="6"/>
  <c r="BA97" i="6"/>
  <c r="L97" i="6"/>
  <c r="BB96" i="6"/>
  <c r="BA96" i="6"/>
  <c r="L96" i="6"/>
  <c r="BB95" i="6"/>
  <c r="BA95" i="6"/>
  <c r="L95" i="6"/>
  <c r="BB94" i="6"/>
  <c r="BA94" i="6"/>
  <c r="L94" i="6"/>
  <c r="BB93" i="6"/>
  <c r="BA93" i="6"/>
  <c r="L93" i="6"/>
  <c r="BB92" i="6"/>
  <c r="BA92" i="6"/>
  <c r="L92" i="6"/>
  <c r="BB91" i="6"/>
  <c r="BA91" i="6"/>
  <c r="L91" i="6"/>
  <c r="BB90" i="6"/>
  <c r="BA90" i="6"/>
  <c r="L90" i="6"/>
  <c r="BB89" i="6"/>
  <c r="BA89" i="6"/>
  <c r="L89" i="6"/>
  <c r="BB88" i="6"/>
  <c r="BA88" i="6"/>
  <c r="L88" i="6"/>
  <c r="BB87" i="6"/>
  <c r="BA87" i="6"/>
  <c r="L87" i="6"/>
  <c r="BB86" i="6"/>
  <c r="BA86" i="6"/>
  <c r="L86" i="6"/>
  <c r="BB85" i="6"/>
  <c r="BA85" i="6"/>
  <c r="L85" i="6"/>
  <c r="BB84" i="6"/>
  <c r="BA84" i="6"/>
  <c r="L84" i="6"/>
  <c r="BB83" i="6"/>
  <c r="BA83" i="6"/>
  <c r="L83" i="6"/>
  <c r="BB82" i="6"/>
  <c r="BA82" i="6"/>
  <c r="L82" i="6"/>
  <c r="BB81" i="6"/>
  <c r="BA81" i="6"/>
  <c r="L81" i="6"/>
  <c r="BB80" i="6"/>
  <c r="BA80" i="6"/>
  <c r="L80" i="6"/>
  <c r="BB79" i="6"/>
  <c r="BA79" i="6"/>
  <c r="L79" i="6"/>
  <c r="BB78" i="6"/>
  <c r="BA78" i="6"/>
  <c r="L78" i="6"/>
  <c r="BB77" i="6"/>
  <c r="BA77" i="6"/>
  <c r="L77" i="6"/>
  <c r="BB76" i="6"/>
  <c r="BA76" i="6"/>
  <c r="L76" i="6"/>
  <c r="BB75" i="6"/>
  <c r="BA75" i="6"/>
  <c r="L75" i="6"/>
  <c r="BB74" i="6"/>
  <c r="BA74" i="6"/>
  <c r="L74" i="6"/>
  <c r="BB73" i="6"/>
  <c r="BA73" i="6"/>
  <c r="L73" i="6"/>
  <c r="BB72" i="6"/>
  <c r="BA72" i="6"/>
  <c r="L72" i="6"/>
  <c r="BB71" i="6"/>
  <c r="BA71" i="6"/>
  <c r="L71" i="6"/>
  <c r="BB70" i="6"/>
  <c r="BA70" i="6"/>
  <c r="L70" i="6"/>
  <c r="BB69" i="6"/>
  <c r="BA69" i="6"/>
  <c r="L69" i="6"/>
  <c r="BB68" i="6"/>
  <c r="BA68" i="6"/>
  <c r="L68" i="6"/>
  <c r="BB67" i="6"/>
  <c r="BA67" i="6"/>
  <c r="L67" i="6"/>
  <c r="BB66" i="6"/>
  <c r="BA66" i="6"/>
  <c r="L66" i="6"/>
  <c r="BB65" i="6"/>
  <c r="BA65" i="6"/>
  <c r="L65" i="6"/>
  <c r="BB64" i="6"/>
  <c r="BA64" i="6"/>
  <c r="L64" i="6"/>
  <c r="BB63" i="6"/>
  <c r="BA63" i="6"/>
  <c r="L63" i="6"/>
  <c r="BB62" i="6"/>
  <c r="BA62" i="6"/>
  <c r="L62" i="6"/>
  <c r="BB61" i="6"/>
  <c r="BA61" i="6"/>
  <c r="L61" i="6"/>
  <c r="BB60" i="6"/>
  <c r="BA60" i="6"/>
  <c r="L60" i="6"/>
  <c r="BB59" i="6"/>
  <c r="BA59" i="6"/>
  <c r="L59" i="6"/>
  <c r="BB58" i="6"/>
  <c r="BA58" i="6"/>
  <c r="L58" i="6"/>
  <c r="BB57" i="6"/>
  <c r="BA57" i="6"/>
  <c r="L57" i="6"/>
  <c r="BB56" i="6"/>
  <c r="BA56" i="6"/>
  <c r="L56" i="6"/>
  <c r="BB55" i="6"/>
  <c r="BA55" i="6"/>
  <c r="L55" i="6"/>
  <c r="BB54" i="6"/>
  <c r="BA54" i="6"/>
  <c r="L54" i="6"/>
  <c r="BB53" i="6"/>
  <c r="BA53" i="6"/>
  <c r="L53" i="6"/>
  <c r="BB52" i="6"/>
  <c r="BA52" i="6"/>
  <c r="L52" i="6"/>
  <c r="BB51" i="6"/>
  <c r="BA51" i="6"/>
  <c r="L51" i="6"/>
  <c r="BB50" i="6"/>
  <c r="BA50" i="6"/>
  <c r="L50" i="6"/>
  <c r="BB49" i="6"/>
  <c r="BA49" i="6"/>
  <c r="L49" i="6"/>
  <c r="BB48" i="6"/>
  <c r="BA48" i="6"/>
  <c r="L48" i="6"/>
  <c r="BB47" i="6"/>
  <c r="BA47" i="6"/>
  <c r="L47" i="6"/>
  <c r="BB46" i="6"/>
  <c r="BA46" i="6"/>
  <c r="L46" i="6"/>
  <c r="BB45" i="6"/>
  <c r="BA45" i="6"/>
  <c r="L45" i="6"/>
  <c r="BB44" i="6"/>
  <c r="BA44" i="6"/>
  <c r="L44" i="6"/>
  <c r="BB43" i="6"/>
  <c r="BA43" i="6"/>
  <c r="L43" i="6"/>
  <c r="BB42" i="6"/>
  <c r="BA42" i="6"/>
  <c r="L42" i="6"/>
  <c r="BB41" i="6"/>
  <c r="BA41" i="6"/>
  <c r="L41" i="6"/>
  <c r="BB40" i="6"/>
  <c r="BA40" i="6"/>
  <c r="L40" i="6"/>
  <c r="BB39" i="6"/>
  <c r="BA39" i="6"/>
  <c r="L39" i="6"/>
  <c r="BB38" i="6"/>
  <c r="BA38" i="6"/>
  <c r="L38" i="6"/>
  <c r="BB37" i="6"/>
  <c r="BA37" i="6"/>
  <c r="L37" i="6"/>
  <c r="BB36" i="6"/>
  <c r="BA36" i="6"/>
  <c r="L36" i="6"/>
  <c r="BB35" i="6"/>
  <c r="BA35" i="6"/>
  <c r="L35" i="6"/>
  <c r="BB34" i="6"/>
  <c r="BA34" i="6"/>
  <c r="L34" i="6"/>
  <c r="BB33" i="6"/>
  <c r="BA33" i="6"/>
  <c r="L33" i="6"/>
  <c r="BB32" i="6"/>
  <c r="BA32" i="6"/>
  <c r="L32" i="6"/>
  <c r="BB31" i="6"/>
  <c r="BA31" i="6"/>
  <c r="L31" i="6"/>
  <c r="BB30" i="6"/>
  <c r="BA30" i="6"/>
  <c r="L30" i="6"/>
  <c r="X28" i="6"/>
  <c r="W28" i="6"/>
  <c r="V28" i="6"/>
  <c r="U28" i="6"/>
  <c r="T28" i="6"/>
  <c r="S28" i="6"/>
  <c r="R28" i="6"/>
  <c r="Q28" i="6"/>
  <c r="P28" i="6"/>
  <c r="O28" i="6"/>
  <c r="N28" i="6"/>
  <c r="AX27" i="6" a="1"/>
  <c r="X27" i="6" a="1"/>
  <c r="W27" i="6" a="1"/>
  <c r="V27" i="6" a="1"/>
  <c r="U27" i="6" a="1"/>
  <c r="T27" i="6" a="1"/>
  <c r="S27" i="6" a="1"/>
  <c r="R27" i="6" a="1"/>
  <c r="Q27" i="6" a="1"/>
  <c r="P27" i="6" a="1"/>
  <c r="O27" i="6" a="1"/>
  <c r="N27" i="6" a="1"/>
  <c r="R13" i="6" a="1"/>
  <c r="Q13" i="6" a="1"/>
  <c r="P13" i="6" a="1"/>
  <c r="O13" i="6" a="1"/>
  <c r="N13" i="6" a="1"/>
  <c r="R12" i="6" a="1"/>
  <c r="Q12" i="6" a="1"/>
  <c r="P12" i="6" a="1"/>
  <c r="O12" i="6" a="1"/>
  <c r="N12" i="6" a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G5" i="6" a="1"/>
  <c r="F8" i="6"/>
  <c r="E5" i="2" s="1"/>
  <c r="M33" i="6"/>
  <c r="P14" i="6" a="1"/>
  <c r="G6" i="6" a="1"/>
  <c r="H7" i="6" a="1"/>
  <c r="R14" i="6" a="1"/>
  <c r="E8" i="6"/>
  <c r="H5" i="6" a="1"/>
  <c r="Q14" i="6" a="1"/>
  <c r="N15" i="6" a="1"/>
  <c r="R15" i="6" a="1"/>
  <c r="M44" i="6"/>
  <c r="G7" i="6" a="1"/>
  <c r="P15" i="6" a="1"/>
  <c r="Q15" i="6" a="1"/>
  <c r="N14" i="6" a="1"/>
  <c r="H6" i="6" a="1"/>
  <c r="O14" i="6" a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U68" i="4"/>
  <c r="AT68" i="4"/>
  <c r="L68" i="4"/>
  <c r="M68" i="4" s="1"/>
  <c r="AU67" i="4"/>
  <c r="AT67" i="4"/>
  <c r="L67" i="4"/>
  <c r="M67" i="4" s="1"/>
  <c r="AU66" i="4"/>
  <c r="AT66" i="4"/>
  <c r="L66" i="4"/>
  <c r="M66" i="4" s="1"/>
  <c r="AU65" i="4"/>
  <c r="AT65" i="4"/>
  <c r="L65" i="4"/>
  <c r="M65" i="4" s="1"/>
  <c r="AU64" i="4"/>
  <c r="AT64" i="4"/>
  <c r="L64" i="4"/>
  <c r="M64" i="4" s="1"/>
  <c r="AU63" i="4"/>
  <c r="AT63" i="4"/>
  <c r="L63" i="4"/>
  <c r="M63" i="4" s="1"/>
  <c r="AU62" i="4"/>
  <c r="AT62" i="4"/>
  <c r="L62" i="4"/>
  <c r="M62" i="4" s="1"/>
  <c r="AU61" i="4"/>
  <c r="AT61" i="4"/>
  <c r="L61" i="4"/>
  <c r="M61" i="4" s="1"/>
  <c r="AU60" i="4"/>
  <c r="AT60" i="4"/>
  <c r="L60" i="4"/>
  <c r="M60" i="4" s="1"/>
  <c r="AU59" i="4"/>
  <c r="AT59" i="4"/>
  <c r="L59" i="4"/>
  <c r="M59" i="4" s="1"/>
  <c r="AU58" i="4"/>
  <c r="AT58" i="4"/>
  <c r="L58" i="4"/>
  <c r="M58" i="4" s="1"/>
  <c r="AU55" i="4"/>
  <c r="AT55" i="4"/>
  <c r="L55" i="4"/>
  <c r="M55" i="4" s="1"/>
  <c r="AU54" i="4"/>
  <c r="AT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O16" i="6" a="1"/>
  <c r="R17" i="6" a="1"/>
  <c r="G8" i="6"/>
  <c r="M5" i="6" s="1"/>
  <c r="Q16" i="6" a="1"/>
  <c r="P18" i="6" a="1"/>
  <c r="Q18" i="6" a="1"/>
  <c r="N17" i="6" a="1"/>
  <c r="I6" i="6" a="1"/>
  <c r="I5" i="6" a="1"/>
  <c r="J7" i="6" a="1"/>
  <c r="P16" i="6" a="1"/>
  <c r="I7" i="6" a="1"/>
  <c r="R18" i="6" a="1"/>
  <c r="J5" i="6" a="1"/>
  <c r="J6" i="6" a="1"/>
  <c r="E11" i="6" a="1"/>
  <c r="N16" i="6" a="1"/>
  <c r="H8" i="6"/>
  <c r="O17" i="6" a="1"/>
  <c r="E21" i="6" a="1"/>
  <c r="R16" i="6" a="1"/>
  <c r="P17" i="6" a="1"/>
  <c r="N18" i="6" a="1"/>
  <c r="O18" i="6" a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U325" i="4"/>
  <c r="AT325" i="4"/>
  <c r="L325" i="4"/>
  <c r="AU324" i="4"/>
  <c r="AT324" i="4"/>
  <c r="L324" i="4"/>
  <c r="AU323" i="4"/>
  <c r="AT323" i="4"/>
  <c r="L323" i="4"/>
  <c r="AU322" i="4"/>
  <c r="AT322" i="4"/>
  <c r="L322" i="4"/>
  <c r="AU321" i="4"/>
  <c r="AT321" i="4"/>
  <c r="L321" i="4"/>
  <c r="AU320" i="4"/>
  <c r="AT320" i="4"/>
  <c r="L320" i="4"/>
  <c r="AU319" i="4"/>
  <c r="AT319" i="4"/>
  <c r="L319" i="4"/>
  <c r="AU318" i="4"/>
  <c r="AT318" i="4"/>
  <c r="L318" i="4"/>
  <c r="AU317" i="4"/>
  <c r="AT317" i="4"/>
  <c r="L317" i="4"/>
  <c r="AU316" i="4"/>
  <c r="AT316" i="4"/>
  <c r="L316" i="4"/>
  <c r="AU315" i="4"/>
  <c r="AT315" i="4"/>
  <c r="L315" i="4"/>
  <c r="AU314" i="4"/>
  <c r="AT314" i="4"/>
  <c r="L314" i="4"/>
  <c r="AU313" i="4"/>
  <c r="AT313" i="4"/>
  <c r="L313" i="4"/>
  <c r="AU312" i="4"/>
  <c r="AT312" i="4"/>
  <c r="L312" i="4"/>
  <c r="AU311" i="4"/>
  <c r="AT311" i="4"/>
  <c r="L311" i="4"/>
  <c r="AU310" i="4"/>
  <c r="AT310" i="4"/>
  <c r="L310" i="4"/>
  <c r="AU309" i="4"/>
  <c r="AT309" i="4"/>
  <c r="L309" i="4"/>
  <c r="AU308" i="4"/>
  <c r="AT308" i="4"/>
  <c r="L308" i="4"/>
  <c r="AU307" i="4"/>
  <c r="AT307" i="4"/>
  <c r="L307" i="4"/>
  <c r="AU306" i="4"/>
  <c r="AT306" i="4"/>
  <c r="L306" i="4"/>
  <c r="AU305" i="4"/>
  <c r="AT305" i="4"/>
  <c r="L305" i="4"/>
  <c r="AU304" i="4"/>
  <c r="AT304" i="4"/>
  <c r="L304" i="4"/>
  <c r="AU303" i="4"/>
  <c r="AT303" i="4"/>
  <c r="L303" i="4"/>
  <c r="AU302" i="4"/>
  <c r="AT302" i="4"/>
  <c r="L302" i="4"/>
  <c r="AU301" i="4"/>
  <c r="AT301" i="4"/>
  <c r="L301" i="4"/>
  <c r="AU300" i="4"/>
  <c r="AT300" i="4"/>
  <c r="L300" i="4"/>
  <c r="AU299" i="4"/>
  <c r="AT299" i="4"/>
  <c r="L299" i="4"/>
  <c r="AU298" i="4"/>
  <c r="AT298" i="4"/>
  <c r="L298" i="4"/>
  <c r="AU297" i="4"/>
  <c r="AT297" i="4"/>
  <c r="L297" i="4"/>
  <c r="AU296" i="4"/>
  <c r="AT296" i="4"/>
  <c r="L296" i="4"/>
  <c r="AU295" i="4"/>
  <c r="AT295" i="4"/>
  <c r="L295" i="4"/>
  <c r="AU294" i="4"/>
  <c r="AT294" i="4"/>
  <c r="L294" i="4"/>
  <c r="AU293" i="4"/>
  <c r="AT293" i="4"/>
  <c r="L293" i="4"/>
  <c r="AU292" i="4"/>
  <c r="AT292" i="4"/>
  <c r="L292" i="4"/>
  <c r="AU291" i="4"/>
  <c r="AT291" i="4"/>
  <c r="L291" i="4"/>
  <c r="AU290" i="4"/>
  <c r="AT290" i="4"/>
  <c r="L290" i="4"/>
  <c r="AU289" i="4"/>
  <c r="AT289" i="4"/>
  <c r="L289" i="4"/>
  <c r="AU288" i="4"/>
  <c r="AT288" i="4"/>
  <c r="L288" i="4"/>
  <c r="M288" i="4" s="1"/>
  <c r="AU287" i="4"/>
  <c r="AT287" i="4"/>
  <c r="L287" i="4"/>
  <c r="AU286" i="4"/>
  <c r="AT286" i="4"/>
  <c r="L286" i="4"/>
  <c r="M286" i="4" s="1"/>
  <c r="AU285" i="4"/>
  <c r="AT285" i="4"/>
  <c r="L285" i="4"/>
  <c r="M285" i="4" s="1"/>
  <c r="AU284" i="4"/>
  <c r="AT284" i="4"/>
  <c r="L284" i="4"/>
  <c r="AU283" i="4"/>
  <c r="AT283" i="4"/>
  <c r="L283" i="4"/>
  <c r="AU282" i="4"/>
  <c r="AT282" i="4"/>
  <c r="L282" i="4"/>
  <c r="AU281" i="4"/>
  <c r="AT281" i="4"/>
  <c r="L281" i="4"/>
  <c r="AU280" i="4"/>
  <c r="AT280" i="4"/>
  <c r="L280" i="4"/>
  <c r="AU279" i="4"/>
  <c r="AT279" i="4"/>
  <c r="L279" i="4"/>
  <c r="AU278" i="4"/>
  <c r="AT278" i="4"/>
  <c r="L278" i="4"/>
  <c r="AU277" i="4"/>
  <c r="AT277" i="4"/>
  <c r="L277" i="4"/>
  <c r="AU276" i="4"/>
  <c r="AT276" i="4"/>
  <c r="L276" i="4"/>
  <c r="AU275" i="4"/>
  <c r="AT275" i="4"/>
  <c r="L275" i="4"/>
  <c r="AU274" i="4"/>
  <c r="AT274" i="4"/>
  <c r="L274" i="4"/>
  <c r="AU273" i="4"/>
  <c r="AT273" i="4"/>
  <c r="L273" i="4"/>
  <c r="AU272" i="4"/>
  <c r="AT272" i="4"/>
  <c r="L272" i="4"/>
  <c r="AU271" i="4"/>
  <c r="AT271" i="4"/>
  <c r="L271" i="4"/>
  <c r="AU270" i="4"/>
  <c r="AT270" i="4"/>
  <c r="L270" i="4"/>
  <c r="AU269" i="4"/>
  <c r="AT269" i="4"/>
  <c r="L269" i="4"/>
  <c r="AU268" i="4"/>
  <c r="AT268" i="4"/>
  <c r="L268" i="4"/>
  <c r="AU267" i="4"/>
  <c r="AT267" i="4"/>
  <c r="L267" i="4"/>
  <c r="AU266" i="4"/>
  <c r="AT266" i="4"/>
  <c r="L266" i="4"/>
  <c r="AU265" i="4"/>
  <c r="AT265" i="4"/>
  <c r="L265" i="4"/>
  <c r="AU264" i="4"/>
  <c r="AT264" i="4"/>
  <c r="L264" i="4"/>
  <c r="AU263" i="4"/>
  <c r="AT263" i="4"/>
  <c r="L263" i="4"/>
  <c r="AU262" i="4"/>
  <c r="AT262" i="4"/>
  <c r="L262" i="4"/>
  <c r="AU261" i="4"/>
  <c r="AT261" i="4"/>
  <c r="L261" i="4"/>
  <c r="AU260" i="4"/>
  <c r="AT260" i="4"/>
  <c r="L260" i="4"/>
  <c r="AU259" i="4"/>
  <c r="AT259" i="4"/>
  <c r="L259" i="4"/>
  <c r="AU258" i="4"/>
  <c r="AT258" i="4"/>
  <c r="L258" i="4"/>
  <c r="AU257" i="4"/>
  <c r="AT257" i="4"/>
  <c r="L257" i="4"/>
  <c r="AU256" i="4"/>
  <c r="AT256" i="4"/>
  <c r="L256" i="4"/>
  <c r="AU255" i="4"/>
  <c r="AT255" i="4"/>
  <c r="L255" i="4"/>
  <c r="AU254" i="4"/>
  <c r="AT254" i="4"/>
  <c r="L254" i="4"/>
  <c r="AU253" i="4"/>
  <c r="AT253" i="4"/>
  <c r="L253" i="4"/>
  <c r="AU252" i="4"/>
  <c r="AT252" i="4"/>
  <c r="L252" i="4"/>
  <c r="AU251" i="4"/>
  <c r="AT251" i="4"/>
  <c r="L251" i="4"/>
  <c r="AU250" i="4"/>
  <c r="AT250" i="4"/>
  <c r="L250" i="4"/>
  <c r="AU249" i="4"/>
  <c r="AT249" i="4"/>
  <c r="L249" i="4"/>
  <c r="AU248" i="4"/>
  <c r="AT248" i="4"/>
  <c r="L248" i="4"/>
  <c r="AU247" i="4"/>
  <c r="AT247" i="4"/>
  <c r="L247" i="4"/>
  <c r="AU246" i="4"/>
  <c r="AT246" i="4"/>
  <c r="L246" i="4"/>
  <c r="AU245" i="4"/>
  <c r="AT245" i="4"/>
  <c r="L245" i="4"/>
  <c r="AU244" i="4"/>
  <c r="AT244" i="4"/>
  <c r="L244" i="4"/>
  <c r="AU243" i="4"/>
  <c r="AT243" i="4"/>
  <c r="L243" i="4"/>
  <c r="AU242" i="4"/>
  <c r="AT242" i="4"/>
  <c r="L242" i="4"/>
  <c r="AU241" i="4"/>
  <c r="AT241" i="4"/>
  <c r="L241" i="4"/>
  <c r="AU240" i="4"/>
  <c r="AT240" i="4"/>
  <c r="L240" i="4"/>
  <c r="AU239" i="4"/>
  <c r="AT239" i="4"/>
  <c r="L239" i="4"/>
  <c r="AU238" i="4"/>
  <c r="AT238" i="4"/>
  <c r="L238" i="4"/>
  <c r="AU237" i="4"/>
  <c r="AT237" i="4"/>
  <c r="L237" i="4"/>
  <c r="AU236" i="4"/>
  <c r="AT236" i="4"/>
  <c r="L236" i="4"/>
  <c r="AU235" i="4"/>
  <c r="AT235" i="4"/>
  <c r="L235" i="4"/>
  <c r="AU234" i="4"/>
  <c r="AT234" i="4"/>
  <c r="L234" i="4"/>
  <c r="AU233" i="4"/>
  <c r="AT233" i="4"/>
  <c r="L233" i="4"/>
  <c r="AU232" i="4"/>
  <c r="AT232" i="4"/>
  <c r="L232" i="4"/>
  <c r="AU231" i="4"/>
  <c r="AT231" i="4"/>
  <c r="L231" i="4"/>
  <c r="AU230" i="4"/>
  <c r="AT230" i="4"/>
  <c r="L230" i="4"/>
  <c r="AU229" i="4"/>
  <c r="AT229" i="4"/>
  <c r="L229" i="4"/>
  <c r="AU228" i="4"/>
  <c r="AT228" i="4"/>
  <c r="L228" i="4"/>
  <c r="AU227" i="4"/>
  <c r="AT227" i="4"/>
  <c r="L227" i="4"/>
  <c r="AU226" i="4"/>
  <c r="AT226" i="4"/>
  <c r="L226" i="4"/>
  <c r="AU225" i="4"/>
  <c r="AT225" i="4"/>
  <c r="L225" i="4"/>
  <c r="AU224" i="4"/>
  <c r="AT224" i="4"/>
  <c r="L224" i="4"/>
  <c r="AU223" i="4"/>
  <c r="AT223" i="4"/>
  <c r="L223" i="4"/>
  <c r="AU222" i="4"/>
  <c r="AT222" i="4"/>
  <c r="L222" i="4"/>
  <c r="AU221" i="4"/>
  <c r="AT221" i="4"/>
  <c r="L221" i="4"/>
  <c r="AU220" i="4"/>
  <c r="AT220" i="4"/>
  <c r="L220" i="4"/>
  <c r="AU219" i="4"/>
  <c r="AT219" i="4"/>
  <c r="L219" i="4"/>
  <c r="AU218" i="4"/>
  <c r="AT218" i="4"/>
  <c r="L218" i="4"/>
  <c r="AU217" i="4"/>
  <c r="AT217" i="4"/>
  <c r="L217" i="4"/>
  <c r="AU216" i="4"/>
  <c r="AT216" i="4"/>
  <c r="L216" i="4"/>
  <c r="AU215" i="4"/>
  <c r="AT215" i="4"/>
  <c r="L215" i="4"/>
  <c r="AU214" i="4"/>
  <c r="AT214" i="4"/>
  <c r="L214" i="4"/>
  <c r="AU213" i="4"/>
  <c r="AT213" i="4"/>
  <c r="L213" i="4"/>
  <c r="AU212" i="4"/>
  <c r="AT212" i="4"/>
  <c r="L212" i="4"/>
  <c r="AU211" i="4"/>
  <c r="AT211" i="4"/>
  <c r="L211" i="4"/>
  <c r="AU210" i="4"/>
  <c r="AT210" i="4"/>
  <c r="L210" i="4"/>
  <c r="AU209" i="4"/>
  <c r="AT209" i="4"/>
  <c r="L209" i="4"/>
  <c r="AU208" i="4"/>
  <c r="AT208" i="4"/>
  <c r="L208" i="4"/>
  <c r="AU207" i="4"/>
  <c r="AT207" i="4"/>
  <c r="L207" i="4"/>
  <c r="AU206" i="4"/>
  <c r="AT206" i="4"/>
  <c r="L206" i="4"/>
  <c r="AU205" i="4"/>
  <c r="AT205" i="4"/>
  <c r="L205" i="4"/>
  <c r="AU204" i="4"/>
  <c r="AT204" i="4"/>
  <c r="L204" i="4"/>
  <c r="AU203" i="4"/>
  <c r="AT203" i="4"/>
  <c r="L203" i="4"/>
  <c r="AU202" i="4"/>
  <c r="AT202" i="4"/>
  <c r="L202" i="4"/>
  <c r="AU201" i="4"/>
  <c r="AT201" i="4"/>
  <c r="L201" i="4"/>
  <c r="AU200" i="4"/>
  <c r="AT200" i="4"/>
  <c r="L200" i="4"/>
  <c r="AU199" i="4"/>
  <c r="AT199" i="4"/>
  <c r="L199" i="4"/>
  <c r="AU198" i="4"/>
  <c r="AT198" i="4"/>
  <c r="L198" i="4"/>
  <c r="AU197" i="4"/>
  <c r="AT197" i="4"/>
  <c r="L197" i="4"/>
  <c r="AU196" i="4"/>
  <c r="AT196" i="4"/>
  <c r="L196" i="4"/>
  <c r="AU195" i="4"/>
  <c r="AT195" i="4"/>
  <c r="L195" i="4"/>
  <c r="AU194" i="4"/>
  <c r="AT194" i="4"/>
  <c r="L194" i="4"/>
  <c r="AU193" i="4"/>
  <c r="AT193" i="4"/>
  <c r="L193" i="4"/>
  <c r="AU192" i="4"/>
  <c r="AT192" i="4"/>
  <c r="L192" i="4"/>
  <c r="AU191" i="4"/>
  <c r="AT191" i="4"/>
  <c r="L191" i="4"/>
  <c r="AU190" i="4"/>
  <c r="AT190" i="4"/>
  <c r="L190" i="4"/>
  <c r="AU189" i="4"/>
  <c r="AT189" i="4"/>
  <c r="L189" i="4"/>
  <c r="M189" i="4" s="1"/>
  <c r="AU188" i="4"/>
  <c r="AT188" i="4"/>
  <c r="L188" i="4"/>
  <c r="AU187" i="4"/>
  <c r="AT187" i="4"/>
  <c r="L187" i="4"/>
  <c r="AU186" i="4"/>
  <c r="AT186" i="4"/>
  <c r="L186" i="4"/>
  <c r="AU185" i="4"/>
  <c r="AT185" i="4"/>
  <c r="L185" i="4"/>
  <c r="AU184" i="4"/>
  <c r="AT184" i="4"/>
  <c r="L184" i="4"/>
  <c r="AU183" i="4"/>
  <c r="AT183" i="4"/>
  <c r="L183" i="4"/>
  <c r="AU182" i="4"/>
  <c r="AT182" i="4"/>
  <c r="L182" i="4"/>
  <c r="AU181" i="4"/>
  <c r="AT181" i="4"/>
  <c r="L181" i="4"/>
  <c r="AU180" i="4"/>
  <c r="AT180" i="4"/>
  <c r="L180" i="4"/>
  <c r="AU179" i="4"/>
  <c r="AT179" i="4"/>
  <c r="L179" i="4"/>
  <c r="AU178" i="4"/>
  <c r="AT178" i="4"/>
  <c r="L178" i="4"/>
  <c r="AU177" i="4"/>
  <c r="AT177" i="4"/>
  <c r="L177" i="4"/>
  <c r="M177" i="4" s="1"/>
  <c r="AU176" i="4"/>
  <c r="AT176" i="4"/>
  <c r="L176" i="4"/>
  <c r="AU175" i="4"/>
  <c r="AT175" i="4"/>
  <c r="L175" i="4"/>
  <c r="AU174" i="4"/>
  <c r="AT174" i="4"/>
  <c r="L174" i="4"/>
  <c r="AU173" i="4"/>
  <c r="AT173" i="4"/>
  <c r="L173" i="4"/>
  <c r="AU172" i="4"/>
  <c r="AT172" i="4"/>
  <c r="L172" i="4"/>
  <c r="AU171" i="4"/>
  <c r="AT171" i="4"/>
  <c r="L171" i="4"/>
  <c r="AU170" i="4"/>
  <c r="AT170" i="4"/>
  <c r="L170" i="4"/>
  <c r="AU169" i="4"/>
  <c r="AT169" i="4"/>
  <c r="L169" i="4"/>
  <c r="AU168" i="4"/>
  <c r="AT168" i="4"/>
  <c r="L168" i="4"/>
  <c r="AU167" i="4"/>
  <c r="AT167" i="4"/>
  <c r="L167" i="4"/>
  <c r="AU166" i="4"/>
  <c r="AT166" i="4"/>
  <c r="L166" i="4"/>
  <c r="AU165" i="4"/>
  <c r="AT165" i="4"/>
  <c r="L165" i="4"/>
  <c r="AU164" i="4"/>
  <c r="AT164" i="4"/>
  <c r="L164" i="4"/>
  <c r="AU163" i="4"/>
  <c r="AT163" i="4"/>
  <c r="L163" i="4"/>
  <c r="M163" i="4" s="1"/>
  <c r="AU162" i="4"/>
  <c r="AT162" i="4"/>
  <c r="L162" i="4"/>
  <c r="AU161" i="4"/>
  <c r="AT161" i="4"/>
  <c r="L161" i="4"/>
  <c r="AU160" i="4"/>
  <c r="AT160" i="4"/>
  <c r="L160" i="4"/>
  <c r="AU159" i="4"/>
  <c r="AT159" i="4"/>
  <c r="L159" i="4"/>
  <c r="M159" i="4" s="1"/>
  <c r="AU158" i="4"/>
  <c r="AT158" i="4"/>
  <c r="L158" i="4"/>
  <c r="AU157" i="4"/>
  <c r="AT157" i="4"/>
  <c r="L157" i="4"/>
  <c r="AU156" i="4"/>
  <c r="AT156" i="4"/>
  <c r="L156" i="4"/>
  <c r="AU155" i="4"/>
  <c r="AT155" i="4"/>
  <c r="L155" i="4"/>
  <c r="AU154" i="4"/>
  <c r="AT154" i="4"/>
  <c r="L154" i="4"/>
  <c r="AU153" i="4"/>
  <c r="AT153" i="4"/>
  <c r="L153" i="4"/>
  <c r="AU152" i="4"/>
  <c r="AT152" i="4"/>
  <c r="L152" i="4"/>
  <c r="AU151" i="4"/>
  <c r="AT151" i="4"/>
  <c r="L151" i="4"/>
  <c r="AU150" i="4"/>
  <c r="AT150" i="4"/>
  <c r="L150" i="4"/>
  <c r="AU149" i="4"/>
  <c r="AT149" i="4"/>
  <c r="L149" i="4"/>
  <c r="AU148" i="4"/>
  <c r="AT148" i="4"/>
  <c r="L148" i="4"/>
  <c r="M148" i="4" s="1"/>
  <c r="AU147" i="4"/>
  <c r="AT147" i="4"/>
  <c r="L147" i="4"/>
  <c r="AU146" i="4"/>
  <c r="AT146" i="4"/>
  <c r="L146" i="4"/>
  <c r="AU145" i="4"/>
  <c r="AT145" i="4"/>
  <c r="L145" i="4"/>
  <c r="AU144" i="4"/>
  <c r="AT144" i="4"/>
  <c r="L144" i="4"/>
  <c r="M144" i="4" s="1"/>
  <c r="AU143" i="4"/>
  <c r="AT143" i="4"/>
  <c r="L143" i="4"/>
  <c r="AU142" i="4"/>
  <c r="AT142" i="4"/>
  <c r="L142" i="4"/>
  <c r="AU141" i="4"/>
  <c r="AT141" i="4"/>
  <c r="L141" i="4"/>
  <c r="AU140" i="4"/>
  <c r="AT140" i="4"/>
  <c r="L140" i="4"/>
  <c r="AU139" i="4"/>
  <c r="AT139" i="4"/>
  <c r="L139" i="4"/>
  <c r="AU138" i="4"/>
  <c r="AT138" i="4"/>
  <c r="L138" i="4"/>
  <c r="M138" i="4" s="1"/>
  <c r="AU137" i="4"/>
  <c r="AT137" i="4"/>
  <c r="L137" i="4"/>
  <c r="AU136" i="4"/>
  <c r="AT136" i="4"/>
  <c r="L136" i="4"/>
  <c r="AU135" i="4"/>
  <c r="AT135" i="4"/>
  <c r="L135" i="4"/>
  <c r="AU134" i="4"/>
  <c r="AT134" i="4"/>
  <c r="L134" i="4"/>
  <c r="AU133" i="4"/>
  <c r="AT133" i="4"/>
  <c r="L133" i="4"/>
  <c r="AU132" i="4"/>
  <c r="AT132" i="4"/>
  <c r="L132" i="4"/>
  <c r="M132" i="4" s="1"/>
  <c r="AU131" i="4"/>
  <c r="AT131" i="4"/>
  <c r="L131" i="4"/>
  <c r="AU130" i="4"/>
  <c r="AT130" i="4"/>
  <c r="L130" i="4"/>
  <c r="AU129" i="4"/>
  <c r="AT129" i="4"/>
  <c r="L129" i="4"/>
  <c r="AU128" i="4"/>
  <c r="AT128" i="4"/>
  <c r="L128" i="4"/>
  <c r="AU127" i="4"/>
  <c r="AT127" i="4"/>
  <c r="L127" i="4"/>
  <c r="AU126" i="4"/>
  <c r="AT126" i="4"/>
  <c r="L126" i="4"/>
  <c r="AU125" i="4"/>
  <c r="AT125" i="4"/>
  <c r="L125" i="4"/>
  <c r="AU124" i="4"/>
  <c r="AT124" i="4"/>
  <c r="L124" i="4"/>
  <c r="AU123" i="4"/>
  <c r="AT123" i="4"/>
  <c r="L123" i="4"/>
  <c r="AU122" i="4"/>
  <c r="AT122" i="4"/>
  <c r="L122" i="4"/>
  <c r="AU121" i="4"/>
  <c r="AT121" i="4"/>
  <c r="L121" i="4"/>
  <c r="AU120" i="4"/>
  <c r="AT120" i="4"/>
  <c r="L120" i="4"/>
  <c r="M120" i="4" s="1"/>
  <c r="AU119" i="4"/>
  <c r="AT119" i="4"/>
  <c r="L119" i="4"/>
  <c r="AU118" i="4"/>
  <c r="AT118" i="4"/>
  <c r="L118" i="4"/>
  <c r="M118" i="4" s="1"/>
  <c r="AU117" i="4"/>
  <c r="AT117" i="4"/>
  <c r="L117" i="4"/>
  <c r="AU116" i="4"/>
  <c r="AT116" i="4"/>
  <c r="L116" i="4"/>
  <c r="AU115" i="4"/>
  <c r="AT115" i="4"/>
  <c r="L115" i="4"/>
  <c r="AU114" i="4"/>
  <c r="AT114" i="4"/>
  <c r="L114" i="4"/>
  <c r="AU113" i="4"/>
  <c r="AT113" i="4"/>
  <c r="L113" i="4"/>
  <c r="AU112" i="4"/>
  <c r="AT112" i="4"/>
  <c r="L112" i="4"/>
  <c r="M112" i="4" s="1"/>
  <c r="AU111" i="4"/>
  <c r="AT111" i="4"/>
  <c r="L111" i="4"/>
  <c r="AU110" i="4"/>
  <c r="AT110" i="4"/>
  <c r="L110" i="4"/>
  <c r="AU109" i="4"/>
  <c r="AT109" i="4"/>
  <c r="L109" i="4"/>
  <c r="AU108" i="4"/>
  <c r="AT108" i="4"/>
  <c r="L108" i="4"/>
  <c r="AU107" i="4"/>
  <c r="AT107" i="4"/>
  <c r="L107" i="4"/>
  <c r="AU106" i="4"/>
  <c r="AT106" i="4"/>
  <c r="L106" i="4"/>
  <c r="AU105" i="4"/>
  <c r="AT105" i="4"/>
  <c r="L105" i="4"/>
  <c r="AU104" i="4"/>
  <c r="AT104" i="4"/>
  <c r="L104" i="4"/>
  <c r="AU103" i="4"/>
  <c r="AT103" i="4"/>
  <c r="L103" i="4"/>
  <c r="M103" i="4" s="1"/>
  <c r="AU102" i="4"/>
  <c r="AT102" i="4"/>
  <c r="L102" i="4"/>
  <c r="AU101" i="4"/>
  <c r="AT101" i="4"/>
  <c r="L101" i="4"/>
  <c r="AU100" i="4"/>
  <c r="AT100" i="4"/>
  <c r="L100" i="4"/>
  <c r="AU99" i="4"/>
  <c r="AT99" i="4"/>
  <c r="L99" i="4"/>
  <c r="M99" i="4" s="1"/>
  <c r="AU98" i="4"/>
  <c r="AT98" i="4"/>
  <c r="L98" i="4"/>
  <c r="AU97" i="4"/>
  <c r="AT97" i="4"/>
  <c r="L97" i="4"/>
  <c r="AU96" i="4"/>
  <c r="AT96" i="4"/>
  <c r="L96" i="4"/>
  <c r="M96" i="4" s="1"/>
  <c r="AU95" i="4"/>
  <c r="AT95" i="4"/>
  <c r="L95" i="4"/>
  <c r="AU94" i="4"/>
  <c r="AT94" i="4"/>
  <c r="L94" i="4"/>
  <c r="AU93" i="4"/>
  <c r="AT93" i="4"/>
  <c r="L93" i="4"/>
  <c r="M93" i="4" s="1"/>
  <c r="AU92" i="4"/>
  <c r="AT92" i="4"/>
  <c r="L92" i="4"/>
  <c r="AU91" i="4"/>
  <c r="AT91" i="4"/>
  <c r="L91" i="4"/>
  <c r="AU90" i="4"/>
  <c r="AT90" i="4"/>
  <c r="L90" i="4"/>
  <c r="M90" i="4" s="1"/>
  <c r="AU89" i="4"/>
  <c r="AT89" i="4"/>
  <c r="L89" i="4"/>
  <c r="AU88" i="4"/>
  <c r="AT88" i="4"/>
  <c r="L88" i="4"/>
  <c r="AU87" i="4"/>
  <c r="AT87" i="4"/>
  <c r="L87" i="4"/>
  <c r="M87" i="4" s="1"/>
  <c r="AU86" i="4"/>
  <c r="AT86" i="4"/>
  <c r="L86" i="4"/>
  <c r="AU85" i="4"/>
  <c r="AT85" i="4"/>
  <c r="L85" i="4"/>
  <c r="AU84" i="4"/>
  <c r="AT84" i="4"/>
  <c r="L84" i="4"/>
  <c r="AU83" i="4"/>
  <c r="AT83" i="4"/>
  <c r="L83" i="4"/>
  <c r="AU82" i="4"/>
  <c r="AT82" i="4"/>
  <c r="L82" i="4"/>
  <c r="M82" i="4" s="1"/>
  <c r="AU81" i="4"/>
  <c r="AT81" i="4"/>
  <c r="L81" i="4"/>
  <c r="AU80" i="4"/>
  <c r="AT80" i="4"/>
  <c r="L80" i="4"/>
  <c r="AU79" i="4"/>
  <c r="AT79" i="4"/>
  <c r="L79" i="4"/>
  <c r="AU78" i="4"/>
  <c r="AT78" i="4"/>
  <c r="L78" i="4"/>
  <c r="AU77" i="4"/>
  <c r="AT77" i="4"/>
  <c r="L77" i="4"/>
  <c r="AU76" i="4"/>
  <c r="AT76" i="4"/>
  <c r="L76" i="4"/>
  <c r="AU75" i="4"/>
  <c r="AT75" i="4"/>
  <c r="L75" i="4"/>
  <c r="AU74" i="4"/>
  <c r="AT74" i="4"/>
  <c r="L74" i="4"/>
  <c r="AU73" i="4"/>
  <c r="AT73" i="4"/>
  <c r="L73" i="4"/>
  <c r="AU72" i="4"/>
  <c r="AT72" i="4"/>
  <c r="L72" i="4"/>
  <c r="AU71" i="4"/>
  <c r="AT71" i="4"/>
  <c r="L71" i="4"/>
  <c r="AU70" i="4"/>
  <c r="AT70" i="4"/>
  <c r="L70" i="4"/>
  <c r="AU69" i="4"/>
  <c r="AT69" i="4"/>
  <c r="L69" i="4"/>
  <c r="AU57" i="4"/>
  <c r="AT57" i="4"/>
  <c r="L57" i="4"/>
  <c r="AU56" i="4"/>
  <c r="AT56" i="4"/>
  <c r="L56" i="4"/>
  <c r="AU53" i="4"/>
  <c r="AT53" i="4"/>
  <c r="L53" i="4"/>
  <c r="AU52" i="4"/>
  <c r="AT52" i="4"/>
  <c r="L52" i="4"/>
  <c r="AU51" i="4"/>
  <c r="AT51" i="4"/>
  <c r="L51" i="4"/>
  <c r="AU50" i="4"/>
  <c r="AT50" i="4"/>
  <c r="L50" i="4"/>
  <c r="AU49" i="4"/>
  <c r="AT49" i="4"/>
  <c r="L49" i="4"/>
  <c r="AU48" i="4"/>
  <c r="AT48" i="4"/>
  <c r="L48" i="4"/>
  <c r="AU47" i="4"/>
  <c r="AT47" i="4"/>
  <c r="L47" i="4"/>
  <c r="M47" i="4" s="1"/>
  <c r="AU46" i="4"/>
  <c r="AT46" i="4"/>
  <c r="L46" i="4"/>
  <c r="AU45" i="4"/>
  <c r="AT45" i="4"/>
  <c r="L45" i="4"/>
  <c r="AU44" i="4"/>
  <c r="AT44" i="4"/>
  <c r="L44" i="4"/>
  <c r="AU43" i="4"/>
  <c r="AT43" i="4"/>
  <c r="L43" i="4"/>
  <c r="AU42" i="4"/>
  <c r="AT42" i="4"/>
  <c r="L42" i="4"/>
  <c r="AU41" i="4"/>
  <c r="AT41" i="4"/>
  <c r="L41" i="4"/>
  <c r="AU40" i="4"/>
  <c r="AT40" i="4"/>
  <c r="L40" i="4"/>
  <c r="AU39" i="4"/>
  <c r="AT39" i="4"/>
  <c r="L39" i="4"/>
  <c r="AU38" i="4"/>
  <c r="AT38" i="4"/>
  <c r="L38" i="4"/>
  <c r="AU37" i="4"/>
  <c r="AT37" i="4"/>
  <c r="L37" i="4"/>
  <c r="AU36" i="4"/>
  <c r="AT36" i="4"/>
  <c r="L36" i="4"/>
  <c r="AU35" i="4"/>
  <c r="AT35" i="4"/>
  <c r="L35" i="4"/>
  <c r="AU34" i="4"/>
  <c r="AT34" i="4"/>
  <c r="L34" i="4"/>
  <c r="AU33" i="4"/>
  <c r="AT33" i="4"/>
  <c r="L33" i="4"/>
  <c r="AU32" i="4"/>
  <c r="AT32" i="4"/>
  <c r="L32" i="4"/>
  <c r="AU31" i="4"/>
  <c r="AT31" i="4"/>
  <c r="L31" i="4"/>
  <c r="AT30" i="4"/>
  <c r="L30" i="4"/>
  <c r="AQ28" i="4"/>
  <c r="X28" i="4"/>
  <c r="W28" i="4"/>
  <c r="V28" i="4"/>
  <c r="U28" i="4"/>
  <c r="T28" i="4"/>
  <c r="S28" i="4"/>
  <c r="R28" i="4"/>
  <c r="Q28" i="4"/>
  <c r="P28" i="4"/>
  <c r="O28" i="4"/>
  <c r="N28" i="4"/>
  <c r="AQ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R13" i="4" a="1"/>
  <c r="Q13" i="4" a="1"/>
  <c r="P13" i="4" a="1"/>
  <c r="O13" i="4" a="1"/>
  <c r="N13" i="4" a="1"/>
  <c r="M13" i="4" a="1"/>
  <c r="L13" i="4" a="1"/>
  <c r="K13" i="4" a="1"/>
  <c r="J13" i="4" a="1"/>
  <c r="I13" i="4" a="1"/>
  <c r="H13" i="4" a="1"/>
  <c r="G13" i="4" a="1"/>
  <c r="F13" i="4" a="1"/>
  <c r="R12" i="4" a="1"/>
  <c r="Q12" i="4" a="1"/>
  <c r="P12" i="4" a="1"/>
  <c r="O12" i="4" a="1"/>
  <c r="N12" i="4" a="1"/>
  <c r="M12" i="4" a="1"/>
  <c r="L12" i="4" a="1"/>
  <c r="K12" i="4" a="1"/>
  <c r="J12" i="4" a="1"/>
  <c r="I12" i="4" a="1"/>
  <c r="H12" i="4" a="1"/>
  <c r="G12" i="4" a="1"/>
  <c r="F12" i="4" a="1"/>
  <c r="F7" i="4"/>
  <c r="E7" i="4"/>
  <c r="F6" i="4"/>
  <c r="E6" i="4"/>
  <c r="F5" i="4"/>
  <c r="E5" i="4"/>
  <c r="T581" i="9"/>
  <c r="T347" i="9"/>
  <c r="T192" i="9"/>
  <c r="T388" i="9"/>
  <c r="T355" i="9"/>
  <c r="T638" i="9"/>
  <c r="T300" i="9"/>
  <c r="T599" i="9"/>
  <c r="T403" i="9"/>
  <c r="T576" i="9"/>
  <c r="T195" i="9"/>
  <c r="T456" i="9"/>
  <c r="T340" i="5"/>
  <c r="T325" i="9"/>
  <c r="T249" i="9"/>
  <c r="T149" i="9"/>
  <c r="T309" i="9"/>
  <c r="T605" i="9"/>
  <c r="T551" i="9"/>
  <c r="T469" i="9"/>
  <c r="T580" i="9"/>
  <c r="T553" i="9"/>
  <c r="T318" i="9"/>
  <c r="T438" i="9"/>
  <c r="T373" i="9"/>
  <c r="T639" i="9"/>
  <c r="T458" i="9"/>
  <c r="T634" i="9"/>
  <c r="T683" i="9"/>
  <c r="T448" i="9"/>
  <c r="T641" i="9"/>
  <c r="T602" i="9"/>
  <c r="T416" i="9"/>
  <c r="T595" i="9"/>
  <c r="T336" i="9"/>
  <c r="T150" i="9"/>
  <c r="T352" i="5"/>
  <c r="T479" i="9"/>
  <c r="T682" i="9"/>
  <c r="T637" i="9"/>
  <c r="T615" i="9"/>
  <c r="T663" i="9"/>
  <c r="T606" i="9"/>
  <c r="T363" i="9"/>
  <c r="T622" i="9"/>
  <c r="T635" i="9"/>
  <c r="T594" i="9"/>
  <c r="T101" i="9"/>
  <c r="T612" i="9"/>
  <c r="T319" i="9"/>
  <c r="T552" i="9"/>
  <c r="T674" i="9"/>
  <c r="T420" i="9"/>
  <c r="T569" i="9"/>
  <c r="T684" i="9"/>
  <c r="T191" i="9"/>
  <c r="T102" i="9"/>
  <c r="T640" i="9"/>
  <c r="T631" i="9"/>
  <c r="T607" i="9"/>
  <c r="T434" i="9"/>
  <c r="T345" i="9"/>
  <c r="T653" i="9"/>
  <c r="T626" i="9"/>
  <c r="T422" i="9"/>
  <c r="T676" i="9"/>
  <c r="T341" i="5"/>
  <c r="T675" i="9"/>
  <c r="T597" i="9"/>
  <c r="T409" i="9"/>
  <c r="T358" i="5"/>
  <c r="T451" i="9"/>
  <c r="T608" i="9"/>
  <c r="T672" i="9"/>
  <c r="T654" i="9"/>
  <c r="T367" i="9"/>
  <c r="T404" i="9"/>
  <c r="T194" i="9"/>
  <c r="T633" i="9"/>
  <c r="T359" i="9"/>
  <c r="T619" i="9"/>
  <c r="T310" i="9"/>
  <c r="T652" i="9"/>
  <c r="T417" i="9"/>
  <c r="T476" i="9"/>
  <c r="T394" i="9"/>
  <c r="T559" i="9"/>
  <c r="T632" i="9"/>
  <c r="T168" i="9"/>
  <c r="T629" i="9"/>
  <c r="T98" i="9"/>
  <c r="T587" i="9"/>
  <c r="T211" i="9"/>
  <c r="T15" i="9"/>
  <c r="T382" i="9"/>
  <c r="T585" i="9"/>
  <c r="T297" i="9"/>
  <c r="T251" i="9"/>
  <c r="T299" i="9"/>
  <c r="T435" i="9"/>
  <c r="T248" i="9"/>
  <c r="T678" i="9"/>
  <c r="T616" i="9"/>
  <c r="T374" i="9"/>
  <c r="T655" i="9"/>
  <c r="T369" i="9"/>
  <c r="T562" i="9"/>
  <c r="T575" i="9"/>
  <c r="T593" i="9"/>
  <c r="T661" i="9"/>
  <c r="T646" i="9"/>
  <c r="T61" i="9"/>
  <c r="T645" i="9"/>
  <c r="T364" i="5"/>
  <c r="T475" i="9"/>
  <c r="T463" i="9"/>
  <c r="T196" i="9"/>
  <c r="T477" i="9"/>
  <c r="T481" i="9"/>
  <c r="T473" i="9"/>
  <c r="T465" i="9"/>
  <c r="T354" i="5"/>
  <c r="T649" i="9"/>
  <c r="T169" i="9"/>
  <c r="T97" i="9"/>
  <c r="T583" i="9"/>
  <c r="T378" i="9"/>
  <c r="T148" i="9"/>
  <c r="T579" i="9"/>
  <c r="T324" i="9"/>
  <c r="T323" i="9"/>
  <c r="T589" i="9"/>
  <c r="T100" i="9"/>
  <c r="T350" i="5"/>
  <c r="T304" i="9"/>
  <c r="T604" i="9"/>
  <c r="T170" i="9"/>
  <c r="T555" i="9"/>
  <c r="T556" i="9"/>
  <c r="T167" i="9"/>
  <c r="T454" i="9"/>
  <c r="T630" i="9"/>
  <c r="T362" i="5"/>
  <c r="T669" i="9"/>
  <c r="T455" i="9"/>
  <c r="T457" i="9"/>
  <c r="T380" i="9"/>
  <c r="T601" i="9"/>
  <c r="T12" i="9"/>
  <c r="T657" i="9"/>
  <c r="T624" i="9"/>
  <c r="T210" i="9"/>
  <c r="T411" i="9"/>
  <c r="T316" i="9"/>
  <c r="T171" i="9"/>
  <c r="T302" i="9"/>
  <c r="T215" i="9"/>
  <c r="T480" i="9"/>
  <c r="T346" i="9"/>
  <c r="T574" i="9"/>
  <c r="T212" i="9"/>
  <c r="T213" i="9"/>
  <c r="T561" i="9"/>
  <c r="T677" i="9"/>
  <c r="T660" i="9"/>
  <c r="T642" i="9"/>
  <c r="T147" i="9"/>
  <c r="T572" i="9"/>
  <c r="T146" i="9"/>
  <c r="T384" i="9"/>
  <c r="T586" i="9"/>
  <c r="T166" i="9"/>
  <c r="T311" i="9"/>
  <c r="T472" i="9"/>
  <c r="T298" i="9"/>
  <c r="T197" i="9"/>
  <c r="T439" i="9"/>
  <c r="T62" i="9"/>
  <c r="T387" i="9"/>
  <c r="T557" i="9"/>
  <c r="T584" i="9"/>
  <c r="T662" i="9"/>
  <c r="T664" i="9"/>
  <c r="T444" i="9"/>
  <c r="T413" i="9"/>
  <c r="T342" i="9"/>
  <c r="T621" i="9"/>
  <c r="T401" i="9"/>
  <c r="T618" i="9"/>
  <c r="T636" i="9"/>
  <c r="T558" i="9"/>
  <c r="T670" i="9"/>
  <c r="T301" i="9"/>
  <c r="T436" i="9"/>
  <c r="T193" i="9"/>
  <c r="T172" i="9"/>
  <c r="T437" i="9"/>
  <c r="T611" i="9"/>
  <c r="T625" i="9"/>
  <c r="T478" i="9"/>
  <c r="T453" i="9"/>
  <c r="T63" i="9"/>
  <c r="T685" i="9"/>
  <c r="T644" i="9"/>
  <c r="T665" i="9"/>
  <c r="T340" i="9"/>
  <c r="T651" i="9"/>
  <c r="T596" i="9"/>
  <c r="T667" i="9"/>
  <c r="T366" i="5"/>
  <c r="T375" i="9"/>
  <c r="T681" i="9"/>
  <c r="T578" i="9"/>
  <c r="T588" i="9"/>
  <c r="T628" i="9"/>
  <c r="T60" i="9"/>
  <c r="T322" i="9"/>
  <c r="T563" i="9"/>
  <c r="T353" i="9"/>
  <c r="T446" i="9"/>
  <c r="T99" i="9"/>
  <c r="R5" i="6" a="1"/>
  <c r="T659" i="9"/>
  <c r="T13" i="9"/>
  <c r="T370" i="9"/>
  <c r="T567" i="9"/>
  <c r="T350" i="9"/>
  <c r="T598" i="9"/>
  <c r="T418" i="9"/>
  <c r="T360" i="5"/>
  <c r="T466" i="9"/>
  <c r="T317" i="9"/>
  <c r="T647" i="9"/>
  <c r="T58" i="9"/>
  <c r="T648" i="9"/>
  <c r="T356" i="9"/>
  <c r="T462" i="9"/>
  <c r="T614" i="9"/>
  <c r="T474" i="9"/>
  <c r="T566" i="9"/>
  <c r="T658" i="9"/>
  <c r="T303" i="9"/>
  <c r="T590" i="9"/>
  <c r="T560" i="9"/>
  <c r="T145" i="9"/>
  <c r="T680" i="9"/>
  <c r="T666" i="9"/>
  <c r="T564" i="9"/>
  <c r="T679" i="9"/>
  <c r="T468" i="9"/>
  <c r="T441" i="9"/>
  <c r="T554" i="9"/>
  <c r="T17" i="9"/>
  <c r="T346" i="5"/>
  <c r="T59" i="9"/>
  <c r="T627" i="9"/>
  <c r="T461" i="9"/>
  <c r="T613" i="9"/>
  <c r="T471" i="9"/>
  <c r="T14" i="9"/>
  <c r="T600" i="9"/>
  <c r="T650" i="9"/>
  <c r="T376" i="9"/>
  <c r="T16" i="9"/>
  <c r="T341" i="9"/>
  <c r="T356" i="5"/>
  <c r="T470" i="9"/>
  <c r="T383" i="9"/>
  <c r="T392" i="9"/>
  <c r="T610" i="9"/>
  <c r="T419" i="9"/>
  <c r="T377" i="9"/>
  <c r="T343" i="9"/>
  <c r="T620" i="9"/>
  <c r="T671" i="9"/>
  <c r="T673" i="9"/>
  <c r="T344" i="9"/>
  <c r="T421" i="9"/>
  <c r="T214" i="9"/>
  <c r="T348" i="5"/>
  <c r="T570" i="9"/>
  <c r="T573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446" i="9"/>
  <c r="V448" i="9"/>
  <c r="V586" i="9"/>
  <c r="U676" i="9"/>
  <c r="AI676" i="9"/>
  <c r="AJ676" i="9" s="1"/>
  <c r="V676" i="9"/>
  <c r="V310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V462" i="9"/>
  <c r="AI596" i="9"/>
  <c r="AJ596" i="9" s="1"/>
  <c r="V596" i="9"/>
  <c r="U596" i="9"/>
  <c r="AI16" i="9"/>
  <c r="AJ16" i="9" s="1"/>
  <c r="U16" i="9"/>
  <c r="V16" i="9"/>
  <c r="V350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U192" i="9"/>
  <c r="AI192" i="9"/>
  <c r="AJ192" i="9" s="1"/>
  <c r="V192" i="9"/>
  <c r="AI468" i="9"/>
  <c r="AJ468" i="9" s="1"/>
  <c r="U468" i="9"/>
  <c r="V468" i="9"/>
  <c r="V562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V639" i="9"/>
  <c r="X355" i="5"/>
  <c r="V356" i="5"/>
  <c r="W355" i="5" s="1"/>
  <c r="U356" i="5"/>
  <c r="V481" i="9"/>
  <c r="AI461" i="9"/>
  <c r="AN461" i="9" s="1"/>
  <c r="AO461" i="9" s="1"/>
  <c r="V461" i="9"/>
  <c r="V478" i="9"/>
  <c r="AI478" i="9"/>
  <c r="AJ478" i="9" s="1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363" i="9"/>
  <c r="V685" i="9"/>
  <c r="AI211" i="9"/>
  <c r="AJ211" i="9" s="1"/>
  <c r="V211" i="9"/>
  <c r="U211" i="9"/>
  <c r="V98" i="9"/>
  <c r="AI98" i="9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V318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336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466" i="9"/>
  <c r="V12" i="9"/>
  <c r="AI12" i="9"/>
  <c r="AJ12" i="9" s="1"/>
  <c r="U12" i="9"/>
  <c r="V317" i="9"/>
  <c r="V574" i="9"/>
  <c r="AI595" i="9"/>
  <c r="AJ595" i="9" s="1"/>
  <c r="V595" i="9"/>
  <c r="U595" i="9"/>
  <c r="V382" i="9"/>
  <c r="V316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637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V388" i="9"/>
  <c r="AI674" i="9"/>
  <c r="AJ674" i="9" s="1"/>
  <c r="V674" i="9"/>
  <c r="U674" i="9"/>
  <c r="V604" i="9"/>
  <c r="V322" i="9"/>
  <c r="V392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23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1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V319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463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479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U100" i="9"/>
  <c r="V100" i="9"/>
  <c r="AI100" i="9"/>
  <c r="AJ100" i="9" s="1"/>
  <c r="U196" i="9"/>
  <c r="V196" i="9"/>
  <c r="U352" i="5"/>
  <c r="V352" i="5"/>
  <c r="W351" i="5" s="1"/>
  <c r="X351" i="5"/>
  <c r="V601" i="9"/>
  <c r="AI301" i="9"/>
  <c r="AJ301" i="9" s="1"/>
  <c r="V301" i="9"/>
  <c r="U301" i="9"/>
  <c r="V465" i="9"/>
  <c r="V576" i="9"/>
  <c r="V588" i="9"/>
  <c r="V480" i="9"/>
  <c r="V370" i="9"/>
  <c r="AI647" i="9"/>
  <c r="AJ647" i="9" s="1"/>
  <c r="V647" i="9"/>
  <c r="U647" i="9"/>
  <c r="U627" i="9"/>
  <c r="V627" i="9"/>
  <c r="AI627" i="9"/>
  <c r="AJ627" i="9" s="1"/>
  <c r="V652" i="9"/>
  <c r="X357" i="5"/>
  <c r="V358" i="5"/>
  <c r="W357" i="5" s="1"/>
  <c r="U358" i="5"/>
  <c r="V642" i="9"/>
  <c r="V387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W603" i="9" s="1"/>
  <c r="V622" i="9"/>
  <c r="AI469" i="9"/>
  <c r="AJ469" i="9" s="1"/>
  <c r="V469" i="9"/>
  <c r="U469" i="9"/>
  <c r="V404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09" i="9"/>
  <c r="V356" i="9"/>
  <c r="V665" i="9"/>
  <c r="W656" i="9" s="1"/>
  <c r="AI375" i="9"/>
  <c r="AJ375" i="9" s="1"/>
  <c r="U375" i="9"/>
  <c r="V375" i="9"/>
  <c r="V409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652" i="9"/>
  <c r="AJ652" i="9" s="1"/>
  <c r="AI196" i="9"/>
  <c r="AN196" i="9" s="1"/>
  <c r="AO196" i="9" s="1"/>
  <c r="AI364" i="5"/>
  <c r="AJ364" i="5" s="1"/>
  <c r="AI358" i="5"/>
  <c r="AJ358" i="5" s="1"/>
  <c r="AI356" i="5"/>
  <c r="AJ356" i="5" s="1"/>
  <c r="AI462" i="9"/>
  <c r="AJ462" i="9" s="1"/>
  <c r="AI354" i="5"/>
  <c r="AJ354" i="5" s="1"/>
  <c r="AI601" i="9"/>
  <c r="AN601" i="9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479" i="9"/>
  <c r="AJ479" i="9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AJ600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N5" i="6"/>
  <c r="F5" i="2"/>
  <c r="K25" i="6" a="1"/>
  <c r="F24" i="6" a="1"/>
  <c r="H22" i="6" a="1"/>
  <c r="J25" i="6" a="1"/>
  <c r="G22" i="6" a="1"/>
  <c r="I26" i="6" a="1"/>
  <c r="K24" i="6" a="1"/>
  <c r="F23" i="6" a="1"/>
  <c r="I25" i="6" a="1"/>
  <c r="K23" i="6" a="1"/>
  <c r="F22" i="6" a="1"/>
  <c r="H26" i="6" a="1"/>
  <c r="J24" i="6" a="1"/>
  <c r="H25" i="6" a="1"/>
  <c r="J23" i="6" a="1"/>
  <c r="G26" i="6" a="1"/>
  <c r="I24" i="6" a="1"/>
  <c r="K22" i="6" a="1"/>
  <c r="G25" i="6" a="1"/>
  <c r="I23" i="6" a="1"/>
  <c r="F26" i="6" a="1"/>
  <c r="H24" i="6" a="1"/>
  <c r="J22" i="6" a="1"/>
  <c r="J26" i="6" a="1"/>
  <c r="G23" i="6" a="1"/>
  <c r="G24" i="6" a="1"/>
  <c r="H23" i="6" a="1"/>
  <c r="I22" i="6" a="1"/>
  <c r="K26" i="6" a="1"/>
  <c r="F25" i="6" a="1"/>
  <c r="K18" i="6" a="1"/>
  <c r="G17" i="6" a="1"/>
  <c r="I16" i="6" a="1"/>
  <c r="J18" i="6" a="1"/>
  <c r="L17" i="6" a="1"/>
  <c r="F17" i="6" a="1"/>
  <c r="H16" i="6" a="1"/>
  <c r="I18" i="6" a="1"/>
  <c r="K17" i="6" a="1"/>
  <c r="M16" i="6" a="1"/>
  <c r="H18" i="6" a="1"/>
  <c r="J17" i="6" a="1"/>
  <c r="L16" i="6" a="1"/>
  <c r="F16" i="6" a="1"/>
  <c r="G18" i="6" a="1"/>
  <c r="I17" i="6" a="1"/>
  <c r="K16" i="6" a="1"/>
  <c r="M15" i="6" a="1"/>
  <c r="M18" i="6" a="1"/>
  <c r="M17" i="6" a="1"/>
  <c r="F14" i="6" a="1"/>
  <c r="J13" i="6" a="1"/>
  <c r="L15" i="6" a="1"/>
  <c r="I13" i="6" a="1"/>
  <c r="H17" i="6" a="1"/>
  <c r="K15" i="6" a="1"/>
  <c r="H13" i="6" a="1"/>
  <c r="L12" i="6" a="1"/>
  <c r="K13" i="6" a="1"/>
  <c r="J15" i="6" a="1"/>
  <c r="G13" i="6" a="1"/>
  <c r="K12" i="6" a="1"/>
  <c r="F13" i="6" a="1"/>
  <c r="H14" i="6" a="1"/>
  <c r="I15" i="6" a="1"/>
  <c r="M14" i="6" a="1"/>
  <c r="J12" i="6" a="1"/>
  <c r="H15" i="6" a="1"/>
  <c r="L14" i="6" a="1"/>
  <c r="I12" i="6" a="1"/>
  <c r="H12" i="6" a="1"/>
  <c r="J16" i="6" a="1"/>
  <c r="G15" i="6" a="1"/>
  <c r="K14" i="6" a="1"/>
  <c r="G16" i="6" a="1"/>
  <c r="J14" i="6" a="1"/>
  <c r="G12" i="6" a="1"/>
  <c r="L18" i="6" a="1"/>
  <c r="F15" i="6" a="1"/>
  <c r="I14" i="6" a="1"/>
  <c r="M13" i="6" a="1"/>
  <c r="L13" i="6" a="1"/>
  <c r="F12" i="6" a="1"/>
  <c r="F18" i="6" a="1"/>
  <c r="G14" i="6" a="1"/>
  <c r="M12" i="6" a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O14" i="4" a="1"/>
  <c r="L14" i="4" a="1"/>
  <c r="Q15" i="4" a="1"/>
  <c r="O15" i="4" a="1"/>
  <c r="H6" i="4" a="1"/>
  <c r="H5" i="4" a="1"/>
  <c r="G7" i="4" a="1"/>
  <c r="H7" i="4" a="1"/>
  <c r="N14" i="4" a="1"/>
  <c r="P15" i="4" a="1"/>
  <c r="P14" i="4" a="1"/>
  <c r="R15" i="4" a="1"/>
  <c r="M46" i="4"/>
  <c r="Q14" i="4" a="1"/>
  <c r="F14" i="4" a="1"/>
  <c r="R14" i="4" a="1"/>
  <c r="G14" i="4" a="1"/>
  <c r="F15" i="4" a="1"/>
  <c r="H14" i="4" a="1"/>
  <c r="H15" i="4" a="1"/>
  <c r="I14" i="4" a="1"/>
  <c r="I15" i="4" a="1"/>
  <c r="J14" i="4" a="1"/>
  <c r="J15" i="4" a="1"/>
  <c r="K14" i="4" a="1"/>
  <c r="K15" i="4" a="1"/>
  <c r="M15" i="4" a="1"/>
  <c r="N15" i="4" a="1"/>
  <c r="M14" i="4" a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133" i="5"/>
  <c r="T269" i="5"/>
  <c r="T212" i="5"/>
  <c r="T217" i="5"/>
  <c r="T197" i="5"/>
  <c r="T238" i="9"/>
  <c r="T273" i="9"/>
  <c r="T300" i="5"/>
  <c r="T292" i="5"/>
  <c r="T99" i="5"/>
  <c r="T233" i="5"/>
  <c r="T163" i="5"/>
  <c r="T213" i="5"/>
  <c r="T236" i="5"/>
  <c r="T164" i="5"/>
  <c r="T177" i="5"/>
  <c r="T142" i="5"/>
  <c r="T241" i="5"/>
  <c r="T71" i="5"/>
  <c r="T216" i="5"/>
  <c r="T459" i="9"/>
  <c r="R5" i="4" a="1"/>
  <c r="T310" i="5"/>
  <c r="T62" i="5"/>
  <c r="T505" i="9"/>
  <c r="T78" i="5"/>
  <c r="T235" i="9"/>
  <c r="T182" i="5"/>
  <c r="T134" i="5"/>
  <c r="T233" i="9"/>
  <c r="T61" i="5"/>
  <c r="T155" i="5"/>
  <c r="T178" i="5"/>
  <c r="T29" i="5"/>
  <c r="T41" i="5"/>
  <c r="T23" i="5"/>
  <c r="T19" i="5"/>
  <c r="T267" i="5"/>
  <c r="T37" i="5"/>
  <c r="T207" i="5"/>
  <c r="T100" i="5"/>
  <c r="T266" i="9"/>
  <c r="T235" i="5"/>
  <c r="T169" i="5"/>
  <c r="T13" i="5"/>
  <c r="T123" i="5"/>
  <c r="T158" i="5"/>
  <c r="T149" i="5"/>
  <c r="T66" i="5"/>
  <c r="T152" i="5"/>
  <c r="T317" i="5"/>
  <c r="T148" i="5"/>
  <c r="T224" i="5"/>
  <c r="T241" i="9"/>
  <c r="T57" i="5"/>
  <c r="T16" i="5"/>
  <c r="T315" i="5"/>
  <c r="T156" i="5"/>
  <c r="T63" i="5"/>
  <c r="T311" i="5"/>
  <c r="T159" i="5"/>
  <c r="T206" i="5"/>
  <c r="T85" i="5"/>
  <c r="T124" i="5"/>
  <c r="T106" i="5"/>
  <c r="T325" i="5"/>
  <c r="T31" i="5"/>
  <c r="T304" i="5"/>
  <c r="T51" i="5"/>
  <c r="T330" i="5"/>
  <c r="T257" i="5"/>
  <c r="T20" i="5"/>
  <c r="T111" i="5"/>
  <c r="T337" i="5"/>
  <c r="T18" i="9"/>
  <c r="T33" i="5"/>
  <c r="T32" i="5"/>
  <c r="T331" i="5"/>
  <c r="T90" i="5"/>
  <c r="T113" i="5"/>
  <c r="T222" i="5"/>
  <c r="T28" i="5"/>
  <c r="T263" i="9"/>
  <c r="T210" i="5"/>
  <c r="T75" i="5"/>
  <c r="T232" i="9"/>
  <c r="T174" i="5"/>
  <c r="T21" i="5"/>
  <c r="T81" i="5"/>
  <c r="T319" i="5"/>
  <c r="T165" i="5"/>
  <c r="T262" i="5"/>
  <c r="T243" i="5"/>
  <c r="T293" i="5"/>
  <c r="T98" i="5"/>
  <c r="T234" i="5"/>
  <c r="T145" i="5"/>
  <c r="T271" i="9"/>
  <c r="T265" i="5"/>
  <c r="T56" i="5"/>
  <c r="T137" i="5"/>
  <c r="T247" i="5"/>
  <c r="T141" i="5"/>
  <c r="T26" i="5"/>
  <c r="T237" i="5"/>
  <c r="T240" i="9"/>
  <c r="T270" i="5"/>
  <c r="T117" i="5"/>
  <c r="T22" i="5"/>
  <c r="T338" i="5"/>
  <c r="T151" i="5"/>
  <c r="T27" i="5"/>
  <c r="T253" i="9"/>
  <c r="T273" i="5"/>
  <c r="T269" i="9"/>
  <c r="T43" i="5"/>
  <c r="T211" i="5"/>
  <c r="T229" i="5"/>
  <c r="T240" i="5"/>
  <c r="T321" i="5"/>
  <c r="T189" i="5"/>
  <c r="T108" i="5"/>
  <c r="T335" i="5"/>
  <c r="T105" i="5"/>
  <c r="T147" i="5"/>
  <c r="T42" i="5"/>
  <c r="T239" i="5"/>
  <c r="T179" i="5"/>
  <c r="T110" i="5"/>
  <c r="T76" i="5"/>
  <c r="T139" i="5"/>
  <c r="T231" i="5"/>
  <c r="T50" i="5"/>
  <c r="T91" i="5"/>
  <c r="T67" i="5"/>
  <c r="T104" i="5"/>
  <c r="T183" i="5"/>
  <c r="T70" i="5"/>
  <c r="T236" i="9"/>
  <c r="T73" i="5"/>
  <c r="T198" i="5"/>
  <c r="T122" i="5"/>
  <c r="T201" i="5"/>
  <c r="T205" i="5"/>
  <c r="T170" i="5"/>
  <c r="T297" i="5"/>
  <c r="T84" i="5"/>
  <c r="T101" i="5"/>
  <c r="T230" i="9"/>
  <c r="T323" i="5"/>
  <c r="T102" i="5"/>
  <c r="T64" i="9"/>
  <c r="T83" i="5"/>
  <c r="T288" i="5"/>
  <c r="T173" i="9"/>
  <c r="T258" i="9"/>
  <c r="T203" i="5"/>
  <c r="T88" i="5"/>
  <c r="T221" i="5"/>
  <c r="T191" i="5"/>
  <c r="T53" i="5"/>
  <c r="T237" i="9"/>
  <c r="T209" i="5"/>
  <c r="T115" i="5"/>
  <c r="T150" i="5"/>
  <c r="T89" i="5"/>
  <c r="T272" i="5"/>
  <c r="T298" i="5"/>
  <c r="T17" i="5"/>
  <c r="T242" i="5"/>
  <c r="T48" i="5"/>
  <c r="T245" i="9"/>
  <c r="T301" i="5"/>
  <c r="T132" i="5"/>
  <c r="T162" i="5"/>
  <c r="T305" i="9"/>
  <c r="T188" i="5"/>
  <c r="T175" i="5"/>
  <c r="T45" i="5"/>
  <c r="T268" i="9"/>
  <c r="T192" i="5"/>
  <c r="T259" i="5"/>
  <c r="T121" i="5"/>
  <c r="T103" i="9"/>
  <c r="T120" i="5"/>
  <c r="T287" i="5"/>
  <c r="T306" i="5"/>
  <c r="T46" i="5"/>
  <c r="T136" i="5"/>
  <c r="T172" i="5"/>
  <c r="T291" i="5"/>
  <c r="T25" i="5"/>
  <c r="T327" i="5"/>
  <c r="T151" i="9"/>
  <c r="T275" i="9"/>
  <c r="T225" i="5"/>
  <c r="T231" i="9"/>
  <c r="T261" i="5"/>
  <c r="T329" i="5"/>
  <c r="T302" i="5"/>
  <c r="T308" i="5"/>
  <c r="T44" i="5"/>
  <c r="T193" i="5"/>
  <c r="T248" i="5"/>
  <c r="T54" i="5"/>
  <c r="T126" i="5"/>
  <c r="T344" i="5"/>
  <c r="T252" i="5"/>
  <c r="T228" i="5"/>
  <c r="T257" i="9"/>
  <c r="T130" i="5"/>
  <c r="T285" i="5"/>
  <c r="T140" i="5"/>
  <c r="T266" i="5"/>
  <c r="T127" i="5"/>
  <c r="T249" i="5"/>
  <c r="T157" i="5"/>
  <c r="T289" i="5"/>
  <c r="T93" i="5"/>
  <c r="T68" i="5"/>
  <c r="T36" i="5"/>
  <c r="T72" i="5"/>
  <c r="T262" i="9"/>
  <c r="T166" i="5"/>
  <c r="T223" i="5"/>
  <c r="T12" i="5"/>
  <c r="T259" i="9"/>
  <c r="T218" i="5"/>
  <c r="T87" i="5"/>
  <c r="T198" i="9"/>
  <c r="T112" i="5"/>
  <c r="T128" i="5"/>
  <c r="T270" i="9"/>
  <c r="T268" i="5"/>
  <c r="T129" i="5"/>
  <c r="T440" i="9"/>
  <c r="T11" i="5"/>
  <c r="T107" i="5"/>
  <c r="T286" i="5"/>
  <c r="T146" i="5"/>
  <c r="T109" i="5"/>
  <c r="T82" i="5"/>
  <c r="T40" i="5"/>
  <c r="T502" i="9"/>
  <c r="T343" i="5"/>
  <c r="T60" i="5"/>
  <c r="T185" i="5"/>
  <c r="T14" i="5"/>
  <c r="T260" i="5"/>
  <c r="T254" i="5"/>
  <c r="T47" i="5"/>
  <c r="T173" i="5"/>
  <c r="T18" i="5"/>
  <c r="T97" i="5"/>
  <c r="T55" i="5"/>
  <c r="T215" i="5"/>
  <c r="T131" i="5"/>
  <c r="T276" i="9"/>
  <c r="T316" i="5"/>
  <c r="T77" i="5"/>
  <c r="T263" i="5"/>
  <c r="T333" i="5"/>
  <c r="T216" i="9"/>
  <c r="T258" i="5"/>
  <c r="T187" i="5"/>
  <c r="T144" i="5"/>
  <c r="T251" i="5"/>
  <c r="T30" i="5"/>
  <c r="T186" i="5"/>
  <c r="T86" i="5"/>
  <c r="T274" i="9"/>
  <c r="T161" i="5"/>
  <c r="T52" i="5"/>
  <c r="T264" i="5"/>
  <c r="T135" i="5"/>
  <c r="T35" i="5"/>
  <c r="T267" i="9"/>
  <c r="T245" i="5"/>
  <c r="T194" i="5"/>
  <c r="T295" i="5"/>
  <c r="T125" i="5"/>
  <c r="T168" i="5"/>
  <c r="T180" i="5"/>
  <c r="T313" i="5"/>
  <c r="T246" i="5"/>
  <c r="T278" i="9"/>
  <c r="T532" i="9" s="1"/>
  <c r="T38" i="5"/>
  <c r="T503" i="9"/>
  <c r="T290" i="5"/>
  <c r="T95" i="5"/>
  <c r="T195" i="5"/>
  <c r="T294" i="5"/>
  <c r="T204" i="5"/>
  <c r="T171" i="5"/>
  <c r="T160" i="5"/>
  <c r="T116" i="5"/>
  <c r="T96" i="5"/>
  <c r="T65" i="5"/>
  <c r="T219" i="5"/>
  <c r="T94" i="5"/>
  <c r="T255" i="5"/>
  <c r="T227" i="5"/>
  <c r="T154" i="5"/>
  <c r="T254" i="9"/>
  <c r="T143" i="5"/>
  <c r="T176" i="5"/>
  <c r="T153" i="5"/>
  <c r="T119" i="5"/>
  <c r="T253" i="5"/>
  <c r="T181" i="5"/>
  <c r="T255" i="9"/>
  <c r="T80" i="5"/>
  <c r="T58" i="5"/>
  <c r="T379" i="9"/>
  <c r="T296" i="5"/>
  <c r="AJ98" i="9" l="1"/>
  <c r="AN98" i="9"/>
  <c r="AJ167" i="9"/>
  <c r="AN167" i="9"/>
  <c r="AN626" i="9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S461" i="9"/>
  <c r="AT461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2" i="9"/>
  <c r="AS462" i="9" s="1"/>
  <c r="AT462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652" i="9"/>
  <c r="AS652" i="9" s="1"/>
  <c r="AT652" i="9" s="1"/>
  <c r="AN366" i="5"/>
  <c r="AO366" i="5" s="1"/>
  <c r="AN148" i="9"/>
  <c r="AO148" i="9" s="1"/>
  <c r="AN677" i="9"/>
  <c r="AO677" i="9" s="1"/>
  <c r="W592" i="9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W623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W643" i="9"/>
  <c r="W550" i="9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J601" i="9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J461" i="9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26" i="9"/>
  <c r="AT626" i="9" s="1"/>
  <c r="AS600" i="9"/>
  <c r="V305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S601" i="9"/>
  <c r="AX601" i="9" s="1"/>
  <c r="AY601" i="9" s="1"/>
  <c r="AQ634" i="9"/>
  <c r="AR633" i="9"/>
  <c r="N442" i="9"/>
  <c r="CF442" i="9"/>
  <c r="U665" i="9"/>
  <c r="CF665" i="9"/>
  <c r="N665" i="9"/>
  <c r="AI678" i="9"/>
  <c r="AJ678" i="9" s="1"/>
  <c r="L561" i="9"/>
  <c r="K562" i="9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O601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532" i="9"/>
  <c r="AJ532" i="9" s="1"/>
  <c r="V532" i="9"/>
  <c r="U532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I463" i="9"/>
  <c r="AJ463" i="9" s="1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AI480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3" i="6" a="1"/>
  <c r="E22" i="6" a="1"/>
  <c r="E25" i="6" a="1"/>
  <c r="E26" i="6" a="1"/>
  <c r="E18" i="6" a="1"/>
  <c r="E17" i="6" a="1"/>
  <c r="E16" i="6" a="1"/>
  <c r="E14" i="6" a="1"/>
  <c r="E12" i="6" a="1"/>
  <c r="E13" i="6" a="1"/>
  <c r="E15" i="6" a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K18" i="4" a="1"/>
  <c r="M17" i="4" a="1"/>
  <c r="O16" i="4" a="1"/>
  <c r="I7" i="4" a="1"/>
  <c r="J18" i="4" a="1"/>
  <c r="L17" i="4" a="1"/>
  <c r="N16" i="4" a="1"/>
  <c r="I18" i="4" a="1"/>
  <c r="K17" i="4" a="1"/>
  <c r="M16" i="4" a="1"/>
  <c r="H18" i="4" a="1"/>
  <c r="J17" i="4" a="1"/>
  <c r="L16" i="4" a="1"/>
  <c r="I5" i="4" a="1"/>
  <c r="E21" i="4" a="1"/>
  <c r="G18" i="4" a="1"/>
  <c r="I17" i="4" a="1"/>
  <c r="K16" i="4" a="1"/>
  <c r="R18" i="4" a="1"/>
  <c r="F18" i="4" a="1"/>
  <c r="H17" i="4" a="1"/>
  <c r="J16" i="4" a="1"/>
  <c r="Q18" i="4" a="1"/>
  <c r="G17" i="4" a="1"/>
  <c r="I16" i="4" a="1"/>
  <c r="I6" i="4" a="1"/>
  <c r="P18" i="4" a="1"/>
  <c r="R17" i="4" a="1"/>
  <c r="F17" i="4" a="1"/>
  <c r="H16" i="4" a="1"/>
  <c r="E11" i="4" a="1"/>
  <c r="O18" i="4" a="1"/>
  <c r="Q17" i="4" a="1"/>
  <c r="G16" i="4" a="1"/>
  <c r="N18" i="4" a="1"/>
  <c r="P17" i="4" a="1"/>
  <c r="R16" i="4" a="1"/>
  <c r="F16" i="4" a="1"/>
  <c r="M18" i="4" a="1"/>
  <c r="O17" i="4" a="1"/>
  <c r="Q16" i="4" a="1"/>
  <c r="J5" i="4" a="1"/>
  <c r="J7" i="4" a="1"/>
  <c r="L18" i="4" a="1"/>
  <c r="N17" i="4" a="1"/>
  <c r="P16" i="4" a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525" i="9"/>
  <c r="T460" i="9"/>
  <c r="T523" i="9"/>
  <c r="T199" i="9"/>
  <c r="T199" i="5"/>
  <c r="T489" i="9"/>
  <c r="T217" i="9"/>
  <c r="T729" i="9"/>
  <c r="T19" i="9"/>
  <c r="T486" i="9"/>
  <c r="T348" i="9"/>
  <c r="T529" i="9"/>
  <c r="T509" i="9"/>
  <c r="T491" i="9"/>
  <c r="T65" i="9"/>
  <c r="T513" i="9"/>
  <c r="T261" i="9"/>
  <c r="T174" i="9"/>
  <c r="T424" i="9"/>
  <c r="T495" i="9"/>
  <c r="T698" i="9" s="1"/>
  <c r="T153" i="9"/>
  <c r="T512" i="9"/>
  <c r="T517" i="9"/>
  <c r="T499" i="9"/>
  <c r="T521" i="9"/>
  <c r="T104" i="9"/>
  <c r="T487" i="9"/>
  <c r="T507" i="9"/>
  <c r="T508" i="9"/>
  <c r="T530" i="9"/>
  <c r="T274" i="5"/>
  <c r="T516" i="9"/>
  <c r="T690" i="9"/>
  <c r="T485" i="9"/>
  <c r="T713" i="9"/>
  <c r="T527" i="9"/>
  <c r="T306" i="9"/>
  <c r="T490" i="9"/>
  <c r="T494" i="9"/>
  <c r="T697" i="9" s="1"/>
  <c r="T511" i="9"/>
  <c r="T520" i="9"/>
  <c r="T528" i="9"/>
  <c r="T492" i="9"/>
  <c r="T484" i="9"/>
  <c r="T522" i="9"/>
  <c r="T524" i="9"/>
  <c r="AO98" i="9" l="1"/>
  <c r="AS98" i="9"/>
  <c r="AS167" i="9"/>
  <c r="AT167" i="9" s="1"/>
  <c r="AX167" i="9"/>
  <c r="AY167" i="9" s="1"/>
  <c r="AO167" i="9"/>
  <c r="AS555" i="9"/>
  <c r="AT555" i="9" s="1"/>
  <c r="AX342" i="9"/>
  <c r="AY342" i="9" s="1"/>
  <c r="AO342" i="9"/>
  <c r="AX441" i="9"/>
  <c r="AY441" i="9" s="1"/>
  <c r="AS624" i="9"/>
  <c r="AT624" i="9" s="1"/>
  <c r="V495" i="9"/>
  <c r="AI495" i="9"/>
  <c r="AJ495" i="9" s="1"/>
  <c r="U495" i="9"/>
  <c r="AS472" i="9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652" i="9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O462" i="9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X461" i="9"/>
  <c r="AY461" i="9" s="1"/>
  <c r="AS418" i="9"/>
  <c r="AT418" i="9" s="1"/>
  <c r="AS437" i="9"/>
  <c r="AX437" i="9" s="1"/>
  <c r="AY437" i="9" s="1"/>
  <c r="AS362" i="5"/>
  <c r="AT362" i="5" s="1"/>
  <c r="AS434" i="9"/>
  <c r="AT434" i="9" s="1"/>
  <c r="AX652" i="9"/>
  <c r="AY652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X462" i="9"/>
  <c r="AY462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AI729" i="9"/>
  <c r="AJ729" i="9" s="1"/>
  <c r="X277" i="9"/>
  <c r="V729" i="9"/>
  <c r="W531" i="9" s="1"/>
  <c r="X531" i="9"/>
  <c r="U729" i="9"/>
  <c r="X728" i="9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AX436" i="9"/>
  <c r="AY436" i="9" s="1"/>
  <c r="W504" i="9"/>
  <c r="AN502" i="9"/>
  <c r="AX477" i="9"/>
  <c r="AY477" i="9" s="1"/>
  <c r="AN503" i="9"/>
  <c r="AO503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V697" i="9"/>
  <c r="AI697" i="9"/>
  <c r="AJ697" i="9" s="1"/>
  <c r="U697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AI509" i="9"/>
  <c r="AJ509" i="9" s="1"/>
  <c r="U509" i="9"/>
  <c r="V509" i="9"/>
  <c r="V486" i="9"/>
  <c r="U486" i="9"/>
  <c r="AI486" i="9"/>
  <c r="AJ486" i="9" s="1"/>
  <c r="W501" i="9"/>
  <c r="AN505" i="9"/>
  <c r="AO505" i="9" s="1"/>
  <c r="AX626" i="9"/>
  <c r="AY626" i="9" s="1"/>
  <c r="AI713" i="9"/>
  <c r="AJ713" i="9" s="1"/>
  <c r="V713" i="9"/>
  <c r="U713" i="9"/>
  <c r="AI690" i="9"/>
  <c r="AJ690" i="9" s="1"/>
  <c r="V690" i="9"/>
  <c r="U690" i="9"/>
  <c r="X239" i="9"/>
  <c r="AI698" i="9"/>
  <c r="AJ698" i="9" s="1"/>
  <c r="V698" i="9"/>
  <c r="X696" i="9"/>
  <c r="X493" i="9"/>
  <c r="U698" i="9"/>
  <c r="AT601" i="9"/>
  <c r="AX662" i="9"/>
  <c r="AY662" i="9" s="1"/>
  <c r="AX551" i="9"/>
  <c r="AY551" i="9" s="1"/>
  <c r="AT600" i="9"/>
  <c r="AX600" i="9"/>
  <c r="AY600" i="9" s="1"/>
  <c r="AS558" i="9"/>
  <c r="AT558" i="9" s="1"/>
  <c r="V306" i="9"/>
  <c r="AN532" i="9"/>
  <c r="AO532" i="9" s="1"/>
  <c r="AH350" i="9"/>
  <c r="AI350" i="9" s="1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N478" i="9"/>
  <c r="AS478" i="9" s="1"/>
  <c r="AT478" i="9" s="1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I481" i="9"/>
  <c r="AL384" i="9"/>
  <c r="AM383" i="9"/>
  <c r="AN46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J480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4" i="4" a="1"/>
  <c r="E13" i="4" a="1"/>
  <c r="E18" i="4" a="1"/>
  <c r="E12" i="4" a="1"/>
  <c r="E17" i="4" a="1"/>
  <c r="E16" i="4" a="1"/>
  <c r="J8" i="4"/>
  <c r="K26" i="4" a="1"/>
  <c r="J26" i="4" a="1"/>
  <c r="I26" i="4" a="1"/>
  <c r="H26" i="4" a="1"/>
  <c r="G26" i="4" a="1"/>
  <c r="F26" i="4" a="1"/>
  <c r="J25" i="4" a="1"/>
  <c r="I25" i="4" a="1"/>
  <c r="H25" i="4" a="1"/>
  <c r="G25" i="4" a="1"/>
  <c r="F25" i="4" a="1"/>
  <c r="K24" i="4" a="1"/>
  <c r="K25" i="4" a="1"/>
  <c r="F24" i="4" a="1"/>
  <c r="H22" i="4" a="1"/>
  <c r="G22" i="4" a="1"/>
  <c r="K23" i="4" a="1"/>
  <c r="F22" i="4" a="1"/>
  <c r="J23" i="4" a="1"/>
  <c r="I23" i="4" a="1"/>
  <c r="H23" i="4" a="1"/>
  <c r="G23" i="4" a="1"/>
  <c r="F23" i="4" a="1"/>
  <c r="J24" i="4" a="1"/>
  <c r="I24" i="4" a="1"/>
  <c r="K22" i="4" a="1"/>
  <c r="H24" i="4" a="1"/>
  <c r="J22" i="4" a="1"/>
  <c r="G24" i="4" a="1"/>
  <c r="I22" i="4" a="1"/>
  <c r="I8" i="4"/>
  <c r="I23" i="2"/>
  <c r="I7" i="2"/>
  <c r="G7" i="2"/>
  <c r="I6" i="2"/>
  <c r="G6" i="2"/>
  <c r="I5" i="2"/>
  <c r="G5" i="2"/>
  <c r="E3" i="2"/>
  <c r="J3" i="2"/>
  <c r="T714" i="9"/>
  <c r="T717" i="9"/>
  <c r="T694" i="9"/>
  <c r="T692" i="9"/>
  <c r="T709" i="9"/>
  <c r="T722" i="9"/>
  <c r="T381" i="9"/>
  <c r="T218" i="9"/>
  <c r="T693" i="9"/>
  <c r="T705" i="9"/>
  <c r="T710" i="9"/>
  <c r="T725" i="9"/>
  <c r="T702" i="9"/>
  <c r="T687" i="9"/>
  <c r="T718" i="9"/>
  <c r="T695" i="9"/>
  <c r="T66" i="9"/>
  <c r="T200" i="9"/>
  <c r="T724" i="9"/>
  <c r="T727" i="9"/>
  <c r="T200" i="5"/>
  <c r="T515" i="9"/>
  <c r="T721" i="9"/>
  <c r="T349" i="9"/>
  <c r="T706" i="9"/>
  <c r="T307" i="9"/>
  <c r="T275" i="5"/>
  <c r="T704" i="9"/>
  <c r="T719" i="9"/>
  <c r="T689" i="9"/>
  <c r="T105" i="9"/>
  <c r="T175" i="9"/>
  <c r="T230" i="5"/>
  <c r="T720" i="9"/>
  <c r="T154" i="9"/>
  <c r="T726" i="9"/>
  <c r="T442" i="9"/>
  <c r="T688" i="9"/>
  <c r="T708" i="9"/>
  <c r="T20" i="9"/>
  <c r="T425" i="9"/>
  <c r="AT98" i="9" l="1"/>
  <c r="AX98" i="9"/>
  <c r="AY98" i="9" s="1"/>
  <c r="AT299" i="9"/>
  <c r="AX299" i="9"/>
  <c r="AY299" i="9" s="1"/>
  <c r="AX555" i="9"/>
  <c r="AY555" i="9" s="1"/>
  <c r="U714" i="9"/>
  <c r="AI714" i="9"/>
  <c r="AJ714" i="9" s="1"/>
  <c r="V714" i="9"/>
  <c r="AX624" i="9"/>
  <c r="AY624" i="9" s="1"/>
  <c r="AX474" i="9"/>
  <c r="AY474" i="9" s="1"/>
  <c r="V688" i="9"/>
  <c r="AI688" i="9"/>
  <c r="AJ688" i="9" s="1"/>
  <c r="U688" i="9"/>
  <c r="X244" i="9"/>
  <c r="V702" i="9"/>
  <c r="W701" i="9" s="1"/>
  <c r="X498" i="9"/>
  <c r="U702" i="9"/>
  <c r="X701" i="9"/>
  <c r="AI702" i="9"/>
  <c r="AJ702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N495" i="9"/>
  <c r="AO495" i="9" s="1"/>
  <c r="AX472" i="9"/>
  <c r="AY472" i="9" s="1"/>
  <c r="AX377" i="9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W728" i="9"/>
  <c r="W277" i="9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N729" i="9"/>
  <c r="AO729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522" i="9"/>
  <c r="AO522" i="9" s="1"/>
  <c r="AS503" i="9"/>
  <c r="AX503" i="9" s="1"/>
  <c r="AY503" i="9" s="1"/>
  <c r="AN527" i="9"/>
  <c r="AO527" i="9" s="1"/>
  <c r="AN529" i="9"/>
  <c r="AO529" i="9" s="1"/>
  <c r="AN513" i="9"/>
  <c r="AO513" i="9" s="1"/>
  <c r="AN507" i="9"/>
  <c r="AO507" i="9" s="1"/>
  <c r="AN489" i="9"/>
  <c r="AO489" i="9" s="1"/>
  <c r="AN490" i="9"/>
  <c r="AS490" i="9" s="1"/>
  <c r="AT490" i="9" s="1"/>
  <c r="AN511" i="9"/>
  <c r="AS511" i="9" s="1"/>
  <c r="AT511" i="9" s="1"/>
  <c r="AN521" i="9"/>
  <c r="AO521" i="9" s="1"/>
  <c r="AN697" i="9"/>
  <c r="AO697" i="9" s="1"/>
  <c r="AS505" i="9"/>
  <c r="AT505" i="9" s="1"/>
  <c r="AN530" i="9"/>
  <c r="AO530" i="9" s="1"/>
  <c r="AN713" i="9"/>
  <c r="AO713" i="9" s="1"/>
  <c r="AN487" i="9"/>
  <c r="AO487" i="9" s="1"/>
  <c r="AN523" i="9"/>
  <c r="AO523" i="9" s="1"/>
  <c r="AN509" i="9"/>
  <c r="AO509" i="9" s="1"/>
  <c r="AN524" i="9"/>
  <c r="AS524" i="9" s="1"/>
  <c r="AT524" i="9" s="1"/>
  <c r="AN698" i="9"/>
  <c r="AS698" i="9" s="1"/>
  <c r="AT698" i="9" s="1"/>
  <c r="W493" i="9"/>
  <c r="AN491" i="9"/>
  <c r="AO491" i="9" s="1"/>
  <c r="W239" i="9"/>
  <c r="AN486" i="9"/>
  <c r="AO486" i="9" s="1"/>
  <c r="AN520" i="9"/>
  <c r="AO520" i="9" s="1"/>
  <c r="W696" i="9"/>
  <c r="AO502" i="9"/>
  <c r="AS502" i="9"/>
  <c r="AN484" i="9"/>
  <c r="AO484" i="9" s="1"/>
  <c r="AN690" i="9"/>
  <c r="AO690" i="9" s="1"/>
  <c r="AS532" i="9"/>
  <c r="AT532" i="9" s="1"/>
  <c r="AX478" i="9"/>
  <c r="AY478" i="9" s="1"/>
  <c r="AO478" i="9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J350" i="9"/>
  <c r="AN350" i="9"/>
  <c r="AS350" i="9" s="1"/>
  <c r="AQ431" i="9"/>
  <c r="AR430" i="9"/>
  <c r="AS667" i="9"/>
  <c r="AT667" i="9" s="1"/>
  <c r="AN479" i="9"/>
  <c r="AS479" i="9" s="1"/>
  <c r="AT479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O463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AI466" i="9"/>
  <c r="AJ466" i="9" s="1"/>
  <c r="CF463" i="9"/>
  <c r="N463" i="9"/>
  <c r="U463" i="9"/>
  <c r="AV480" i="9"/>
  <c r="AW479" i="9"/>
  <c r="U383" i="9"/>
  <c r="N383" i="9"/>
  <c r="CF383" i="9"/>
  <c r="AS463" i="9"/>
  <c r="AT463" i="9" s="1"/>
  <c r="AN460" i="9"/>
  <c r="AO460" i="9" s="1"/>
  <c r="AM448" i="9"/>
  <c r="AL449" i="9"/>
  <c r="AI465" i="9"/>
  <c r="K465" i="9"/>
  <c r="L464" i="9"/>
  <c r="L384" i="9"/>
  <c r="K385" i="9"/>
  <c r="AJ481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4" i="4" a="1"/>
  <c r="E22" i="4" a="1"/>
  <c r="E26" i="4" a="1"/>
  <c r="E23" i="4" a="1"/>
  <c r="F3" i="2"/>
  <c r="I3" i="2" s="1"/>
  <c r="G4" i="2"/>
  <c r="G3" i="2" s="1"/>
  <c r="T426" i="9"/>
  <c r="T201" i="9"/>
  <c r="T219" i="9"/>
  <c r="T176" i="9"/>
  <c r="T518" i="9"/>
  <c r="T712" i="9" s="1"/>
  <c r="T276" i="5"/>
  <c r="T21" i="9"/>
  <c r="T308" i="9"/>
  <c r="T106" i="9"/>
  <c r="T443" i="9"/>
  <c r="T67" i="9"/>
  <c r="T155" i="9"/>
  <c r="AN714" i="9" l="1"/>
  <c r="AO714" i="9" s="1"/>
  <c r="W498" i="9"/>
  <c r="AN705" i="9"/>
  <c r="AO705" i="9" s="1"/>
  <c r="W244" i="9"/>
  <c r="AN688" i="9"/>
  <c r="AO688" i="9" s="1"/>
  <c r="AS494" i="9"/>
  <c r="AT494" i="9" s="1"/>
  <c r="AN702" i="9"/>
  <c r="AO702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08" i="9"/>
  <c r="AS708" i="9" s="1"/>
  <c r="AT708" i="9" s="1"/>
  <c r="AN722" i="9"/>
  <c r="AS722" i="9" s="1"/>
  <c r="AT722" i="9" s="1"/>
  <c r="AS495" i="9"/>
  <c r="AT495" i="9" s="1"/>
  <c r="AS516" i="9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729" i="9"/>
  <c r="AT729" i="9" s="1"/>
  <c r="AS517" i="9"/>
  <c r="AT517" i="9" s="1"/>
  <c r="W716" i="9"/>
  <c r="W272" i="9"/>
  <c r="AN724" i="9"/>
  <c r="AS724" i="9" s="1"/>
  <c r="AT724" i="9" s="1"/>
  <c r="W506" i="9"/>
  <c r="X711" i="9"/>
  <c r="AI712" i="9"/>
  <c r="AJ712" i="9" s="1"/>
  <c r="U712" i="9"/>
  <c r="X260" i="9"/>
  <c r="V712" i="9"/>
  <c r="X514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529" i="9"/>
  <c r="AT529" i="9" s="1"/>
  <c r="AT503" i="9"/>
  <c r="AS527" i="9"/>
  <c r="AT527" i="9" s="1"/>
  <c r="AS491" i="9"/>
  <c r="AT491" i="9" s="1"/>
  <c r="AO698" i="9"/>
  <c r="AX698" i="9"/>
  <c r="AY698" i="9" s="1"/>
  <c r="AX490" i="9"/>
  <c r="AY490" i="9" s="1"/>
  <c r="AO490" i="9"/>
  <c r="AS713" i="9"/>
  <c r="AT713" i="9" s="1"/>
  <c r="AO511" i="9"/>
  <c r="AS697" i="9"/>
  <c r="AT697" i="9" s="1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S721" i="9"/>
  <c r="AT721" i="9" s="1"/>
  <c r="AX722" i="9"/>
  <c r="AY722" i="9" s="1"/>
  <c r="AS486" i="9"/>
  <c r="AS520" i="9"/>
  <c r="AT520" i="9" s="1"/>
  <c r="AT502" i="9"/>
  <c r="AX502" i="9"/>
  <c r="AY502" i="9" s="1"/>
  <c r="AS690" i="9"/>
  <c r="AT690" i="9" s="1"/>
  <c r="AS484" i="9"/>
  <c r="AJ307" i="9"/>
  <c r="AX532" i="9"/>
  <c r="AY532" i="9" s="1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X350" i="9"/>
  <c r="AY350" i="9" s="1"/>
  <c r="AT350" i="9"/>
  <c r="AS679" i="9"/>
  <c r="AT679" i="9" s="1"/>
  <c r="AO350" i="9"/>
  <c r="AM480" i="9"/>
  <c r="AL481" i="9"/>
  <c r="AN480" i="9"/>
  <c r="AS480" i="9" s="1"/>
  <c r="AT480" i="9" s="1"/>
  <c r="AH353" i="9"/>
  <c r="AG354" i="9"/>
  <c r="AO479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AO307" i="9"/>
  <c r="N563" i="9"/>
  <c r="CF563" i="9"/>
  <c r="U563" i="9"/>
  <c r="X550" i="9"/>
  <c r="AL683" i="9"/>
  <c r="AM682" i="9"/>
  <c r="CF683" i="9"/>
  <c r="N683" i="9"/>
  <c r="U683" i="9"/>
  <c r="X668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AN466" i="9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465" i="9"/>
  <c r="AO465" i="9" s="1"/>
  <c r="AN383" i="9"/>
  <c r="AO383" i="9" s="1"/>
  <c r="L353" i="9"/>
  <c r="K354" i="9"/>
  <c r="AJ465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AI446" i="9"/>
  <c r="AX479" i="9"/>
  <c r="AY479" i="9" s="1"/>
  <c r="L309" i="9"/>
  <c r="K310" i="9"/>
  <c r="AM353" i="9"/>
  <c r="AL354" i="9"/>
  <c r="AV432" i="9"/>
  <c r="AW432" i="9" s="1"/>
  <c r="AW431" i="9"/>
  <c r="AX459" i="9"/>
  <c r="AY459" i="9" s="1"/>
  <c r="AG448" i="9"/>
  <c r="AH447" i="9"/>
  <c r="AX463" i="9"/>
  <c r="AY463" i="9" s="1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68" i="9"/>
  <c r="T202" i="9"/>
  <c r="T220" i="9"/>
  <c r="T277" i="5"/>
  <c r="T427" i="9"/>
  <c r="T22" i="9"/>
  <c r="T177" i="9"/>
  <c r="T156" i="9"/>
  <c r="T107" i="9"/>
  <c r="T352" i="9"/>
  <c r="AS705" i="9" l="1"/>
  <c r="AT705" i="9" s="1"/>
  <c r="AS714" i="9"/>
  <c r="AT714" i="9" s="1"/>
  <c r="AS688" i="9"/>
  <c r="AT688" i="9" s="1"/>
  <c r="AS709" i="9"/>
  <c r="AT709" i="9" s="1"/>
  <c r="AX494" i="9"/>
  <c r="AY494" i="9" s="1"/>
  <c r="AS702" i="9"/>
  <c r="AT702" i="9" s="1"/>
  <c r="AO695" i="9"/>
  <c r="W711" i="9"/>
  <c r="AX695" i="9"/>
  <c r="AY695" i="9" s="1"/>
  <c r="AX495" i="9"/>
  <c r="AY495" i="9" s="1"/>
  <c r="AO725" i="9"/>
  <c r="AX725" i="9"/>
  <c r="AY725" i="9" s="1"/>
  <c r="AN518" i="9"/>
  <c r="AO518" i="9" s="1"/>
  <c r="AX516" i="9"/>
  <c r="AY516" i="9" s="1"/>
  <c r="AX708" i="9"/>
  <c r="AY708" i="9" s="1"/>
  <c r="AS717" i="9"/>
  <c r="AT717" i="9" s="1"/>
  <c r="AO708" i="9"/>
  <c r="AO722" i="9"/>
  <c r="AX525" i="9"/>
  <c r="AY525" i="9" s="1"/>
  <c r="AS693" i="9"/>
  <c r="AT693" i="9" s="1"/>
  <c r="AX729" i="9"/>
  <c r="AY729" i="9" s="1"/>
  <c r="AX515" i="9"/>
  <c r="AY515" i="9" s="1"/>
  <c r="AO515" i="9"/>
  <c r="AX517" i="9"/>
  <c r="AY517" i="9" s="1"/>
  <c r="AX528" i="9"/>
  <c r="AY528" i="9" s="1"/>
  <c r="W260" i="9"/>
  <c r="AO724" i="9"/>
  <c r="AX724" i="9"/>
  <c r="AY724" i="9" s="1"/>
  <c r="AX689" i="9"/>
  <c r="AY689" i="9" s="1"/>
  <c r="W514" i="9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N712" i="9"/>
  <c r="AO71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X719" i="9" s="1"/>
  <c r="AY719" i="9" s="1"/>
  <c r="AS718" i="9"/>
  <c r="AT718" i="9" s="1"/>
  <c r="AT508" i="9"/>
  <c r="AX499" i="9"/>
  <c r="AY499" i="9" s="1"/>
  <c r="AX522" i="9"/>
  <c r="AY522" i="9" s="1"/>
  <c r="AS687" i="9"/>
  <c r="AT687" i="9" s="1"/>
  <c r="AO710" i="9"/>
  <c r="AX491" i="9"/>
  <c r="AY491" i="9" s="1"/>
  <c r="AX529" i="9"/>
  <c r="AY529" i="9" s="1"/>
  <c r="AX527" i="9"/>
  <c r="AY527" i="9" s="1"/>
  <c r="AX713" i="9"/>
  <c r="AY713" i="9" s="1"/>
  <c r="AX507" i="9"/>
  <c r="AY507" i="9" s="1"/>
  <c r="AX513" i="9"/>
  <c r="AY513" i="9" s="1"/>
  <c r="AX523" i="9"/>
  <c r="AY523" i="9" s="1"/>
  <c r="AX721" i="9"/>
  <c r="AY721" i="9" s="1"/>
  <c r="AX697" i="9"/>
  <c r="AY697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520" i="9"/>
  <c r="AY520" i="9" s="1"/>
  <c r="AT486" i="9"/>
  <c r="AX486" i="9"/>
  <c r="AY486" i="9" s="1"/>
  <c r="AX690" i="9"/>
  <c r="AY690" i="9" s="1"/>
  <c r="AT484" i="9"/>
  <c r="AX484" i="9"/>
  <c r="AY484" i="9" s="1"/>
  <c r="AX444" i="9"/>
  <c r="AY444" i="9" s="1"/>
  <c r="AO480" i="9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N481" i="9"/>
  <c r="AS481" i="9" s="1"/>
  <c r="AT481" i="9" s="1"/>
  <c r="AM481" i="9"/>
  <c r="AS465" i="9"/>
  <c r="AT465" i="9" s="1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466" i="9"/>
  <c r="AT466" i="9" s="1"/>
  <c r="AO4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N446" i="9"/>
  <c r="AO446" i="9" s="1"/>
  <c r="AQ387" i="9"/>
  <c r="AR386" i="9"/>
  <c r="AJ44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AX480" i="9"/>
  <c r="AY480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178" i="9"/>
  <c r="T158" i="9"/>
  <c r="T108" i="9"/>
  <c r="T70" i="9"/>
  <c r="T278" i="5"/>
  <c r="T429" i="9"/>
  <c r="T221" i="9"/>
  <c r="T23" i="9"/>
  <c r="T445" i="9"/>
  <c r="T203" i="9"/>
  <c r="T464" i="9"/>
  <c r="AX705" i="9" l="1"/>
  <c r="AY705" i="9" s="1"/>
  <c r="AX714" i="9"/>
  <c r="AY714" i="9" s="1"/>
  <c r="AX688" i="9"/>
  <c r="AY688" i="9" s="1"/>
  <c r="AX709" i="9"/>
  <c r="AY709" i="9" s="1"/>
  <c r="AX702" i="9"/>
  <c r="AY702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S712" i="9"/>
  <c r="AT712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X465" i="9"/>
  <c r="AY465" i="9" s="1"/>
  <c r="AT605" i="9"/>
  <c r="AO481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X603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X466" i="9"/>
  <c r="AY466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I448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X481" i="9"/>
  <c r="AY481" i="9" s="1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109" i="9"/>
  <c r="T159" i="9"/>
  <c r="T179" i="9"/>
  <c r="T204" i="9"/>
  <c r="T385" i="9"/>
  <c r="T71" i="9"/>
  <c r="T354" i="9"/>
  <c r="T24" i="9"/>
  <c r="T430" i="9"/>
  <c r="T279" i="5"/>
  <c r="T222" i="9"/>
  <c r="AX518" i="9" l="1"/>
  <c r="AY518" i="9" s="1"/>
  <c r="AX712" i="9"/>
  <c r="AY712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N448" i="9"/>
  <c r="AO448" i="9" s="1"/>
  <c r="AS309" i="9"/>
  <c r="AT309" i="9" s="1"/>
  <c r="AJ448" i="9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568" i="9"/>
  <c r="T72" i="9"/>
  <c r="T280" i="5"/>
  <c r="T223" i="9"/>
  <c r="T482" i="9"/>
  <c r="T160" i="9"/>
  <c r="T110" i="9"/>
  <c r="T313" i="9"/>
  <c r="T431" i="9"/>
  <c r="T180" i="9"/>
  <c r="T432" i="9"/>
  <c r="T447" i="9"/>
  <c r="T205" i="9"/>
  <c r="T386" i="9"/>
  <c r="T25" i="9"/>
  <c r="AX352" i="9" l="1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I451" i="9"/>
  <c r="AJ451" i="9" s="1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S448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161" i="9"/>
  <c r="T26" i="9"/>
  <c r="T281" i="5"/>
  <c r="T73" i="9"/>
  <c r="T206" i="9"/>
  <c r="T314" i="9"/>
  <c r="T181" i="9"/>
  <c r="T111" i="9"/>
  <c r="T224" i="9"/>
  <c r="W428" i="9" l="1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T448" i="9"/>
  <c r="AX448" i="9"/>
  <c r="AY448" i="9" s="1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N451" i="9"/>
  <c r="AO451" i="9" s="1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28" i="9"/>
  <c r="T283" i="5"/>
  <c r="T315" i="9"/>
  <c r="T112" i="9"/>
  <c r="T358" i="9"/>
  <c r="T207" i="9"/>
  <c r="T182" i="9"/>
  <c r="T162" i="9"/>
  <c r="T208" i="9"/>
  <c r="T225" i="9"/>
  <c r="T449" i="9"/>
  <c r="T74" i="9"/>
  <c r="T282" i="5"/>
  <c r="AX430" i="9" l="1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S451" i="9"/>
  <c r="AT451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164" i="9"/>
  <c r="T450" i="9"/>
  <c r="T114" i="9"/>
  <c r="T29" i="9"/>
  <c r="T183" i="9"/>
  <c r="T163" i="9"/>
  <c r="T390" i="9"/>
  <c r="T226" i="9"/>
  <c r="T76" i="9"/>
  <c r="AX482" i="9" l="1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X451" i="9"/>
  <c r="AY451" i="9" s="1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228" i="9"/>
  <c r="T360" i="9"/>
  <c r="T184" i="9"/>
  <c r="T77" i="9"/>
  <c r="T30" i="9"/>
  <c r="T391" i="9"/>
  <c r="T115" i="9"/>
  <c r="T227" i="9"/>
  <c r="AX642" i="9" l="1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78" i="9"/>
  <c r="T185" i="9"/>
  <c r="T31" i="9"/>
  <c r="T361" i="9"/>
  <c r="T116" i="9"/>
  <c r="AX358" i="9" l="1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362" i="9"/>
  <c r="T32" i="9"/>
  <c r="T79" i="9"/>
  <c r="T186" i="9"/>
  <c r="T117" i="9"/>
  <c r="T393" i="9"/>
  <c r="AX316" i="9" l="1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20" i="9"/>
  <c r="T187" i="9"/>
  <c r="T118" i="9"/>
  <c r="T33" i="9"/>
  <c r="T80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119" i="9"/>
  <c r="T81" i="9"/>
  <c r="T188" i="9"/>
  <c r="T364" i="9"/>
  <c r="T395" i="9"/>
  <c r="T321" i="9"/>
  <c r="T34" i="9"/>
  <c r="T189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96" i="9"/>
  <c r="T82" i="9"/>
  <c r="T120" i="9"/>
  <c r="T35" i="9"/>
  <c r="T366" i="9"/>
  <c r="W165" i="9" l="1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X617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36" i="9"/>
  <c r="T122" i="9"/>
  <c r="T84" i="9"/>
  <c r="T398" i="9"/>
  <c r="AN396" i="9" l="1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68" i="9"/>
  <c r="T123" i="9"/>
  <c r="T399" i="9"/>
  <c r="T85" i="9"/>
  <c r="T37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86" i="9"/>
  <c r="T400" i="9"/>
  <c r="T38" i="9"/>
  <c r="T582" i="9"/>
  <c r="T124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125" i="9"/>
  <c r="T87" i="9"/>
  <c r="T327" i="9"/>
  <c r="T39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88" i="9"/>
  <c r="T126" i="9"/>
  <c r="T40" i="9"/>
  <c r="T402" i="9"/>
  <c r="AJ327" i="9" l="1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329" i="9"/>
  <c r="T42" i="9"/>
  <c r="T127" i="9"/>
  <c r="T89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90" i="9"/>
  <c r="T128" i="9"/>
  <c r="T43" i="9"/>
  <c r="T330" i="9"/>
  <c r="T328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405" i="9"/>
  <c r="T91" i="9"/>
  <c r="T129" i="9"/>
  <c r="T44" i="9"/>
  <c r="T331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333" i="9"/>
  <c r="T131" i="9"/>
  <c r="T92" i="9"/>
  <c r="T407" i="9"/>
  <c r="T45" i="9"/>
  <c r="AN331" i="9" l="1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94" i="9"/>
  <c r="T132" i="9"/>
  <c r="T334" i="9"/>
  <c r="T93" i="9"/>
  <c r="T408" i="9"/>
  <c r="T46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133" i="9"/>
  <c r="T48" i="9"/>
  <c r="T335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49" i="9"/>
  <c r="T134" i="9"/>
  <c r="T337" i="9"/>
  <c r="T410" i="9"/>
  <c r="AX407" i="9" l="1"/>
  <c r="AY407" i="9" s="1"/>
  <c r="AX587" i="9"/>
  <c r="AY587" i="9" s="1"/>
  <c r="X332" i="9"/>
  <c r="V337" i="9"/>
  <c r="W332" i="9" s="1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AX408" i="9" l="1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51" i="9"/>
  <c r="T136" i="9"/>
  <c r="T412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53" i="9"/>
  <c r="T138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55" i="9"/>
  <c r="T139" i="9"/>
  <c r="T54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AY458" i="6" l="1"/>
  <c r="AY373" i="6"/>
  <c r="AR237" i="4"/>
  <c r="AY424" i="6"/>
  <c r="AY520" i="6"/>
  <c r="AR170" i="4"/>
  <c r="AY353" i="6"/>
  <c r="AY522" i="6"/>
  <c r="AY81" i="6"/>
  <c r="AY457" i="6"/>
  <c r="AR39" i="4"/>
  <c r="AR100" i="4"/>
  <c r="AY459" i="6"/>
  <c r="AY53" i="6"/>
  <c r="AY548" i="6"/>
  <c r="AY360" i="6"/>
  <c r="AY296" i="6"/>
  <c r="AY441" i="6"/>
  <c r="AR289" i="4"/>
  <c r="AY427" i="6"/>
  <c r="AR179" i="4"/>
  <c r="AY144" i="6"/>
  <c r="AY437" i="6"/>
  <c r="AY78" i="6"/>
  <c r="AY526" i="6"/>
  <c r="AR281" i="4"/>
  <c r="AY374" i="6"/>
  <c r="AY151" i="6"/>
  <c r="AY282" i="6"/>
  <c r="AY442" i="6"/>
  <c r="AY155" i="6"/>
  <c r="AY206" i="6"/>
  <c r="AY321" i="6"/>
  <c r="AY344" i="6"/>
  <c r="AR66" i="4"/>
  <c r="AR184" i="4"/>
  <c r="AR314" i="4"/>
  <c r="AY44" i="6"/>
  <c r="AY356" i="6"/>
  <c r="AY131" i="6"/>
  <c r="AY191" i="6"/>
  <c r="AY546" i="6"/>
  <c r="AR123" i="4"/>
  <c r="AR244" i="4"/>
  <c r="AR38" i="4"/>
  <c r="AR252" i="4"/>
  <c r="AY184" i="6"/>
  <c r="AR220" i="4"/>
  <c r="AY404" i="6"/>
  <c r="AR273" i="4"/>
  <c r="AR231" i="4"/>
  <c r="AY256" i="6"/>
  <c r="AY84" i="6"/>
  <c r="AR300" i="4"/>
  <c r="AY133" i="6"/>
  <c r="AR134" i="4"/>
  <c r="AY72" i="6"/>
  <c r="AY474" i="6"/>
  <c r="AY531" i="6"/>
  <c r="AY217" i="6"/>
  <c r="AR93" i="4"/>
  <c r="AY200" i="6"/>
  <c r="AY464" i="6"/>
  <c r="AR70" i="4"/>
  <c r="AR148" i="4"/>
  <c r="AY180" i="6"/>
  <c r="AR152" i="4"/>
  <c r="AY172" i="6"/>
  <c r="AY433" i="6"/>
  <c r="AY102" i="6"/>
  <c r="AY394" i="6"/>
  <c r="AY514" i="6"/>
  <c r="AR278" i="4"/>
  <c r="AY207" i="6"/>
  <c r="AY173" i="6"/>
  <c r="AY362" i="6"/>
  <c r="AR202" i="4"/>
  <c r="AY60" i="6"/>
  <c r="AY293" i="6"/>
  <c r="AR95" i="4"/>
  <c r="AY368" i="6"/>
  <c r="AY335" i="6"/>
  <c r="AY428" i="6"/>
  <c r="AR49" i="4"/>
  <c r="AY494" i="6"/>
  <c r="AY271" i="6"/>
  <c r="AR294" i="4"/>
  <c r="AY456" i="6"/>
  <c r="AY401" i="6"/>
  <c r="AY98" i="6"/>
  <c r="AY248" i="6"/>
  <c r="AR290" i="4"/>
  <c r="AR291" i="4"/>
  <c r="AR276" i="4"/>
  <c r="AY537" i="6"/>
  <c r="AR101" i="4"/>
  <c r="AY306" i="6"/>
  <c r="AY288" i="6"/>
  <c r="AR155" i="4"/>
  <c r="AR277" i="4"/>
  <c r="AY104" i="6"/>
  <c r="AY149" i="6"/>
  <c r="AY488" i="6"/>
  <c r="AY34" i="6"/>
  <c r="AY245" i="6"/>
  <c r="AR90" i="4"/>
  <c r="AY38" i="6"/>
  <c r="AY495" i="6"/>
  <c r="AY303" i="6"/>
  <c r="AR286" i="4"/>
  <c r="AY398" i="6"/>
  <c r="AY467" i="6"/>
  <c r="AY80" i="6"/>
  <c r="AR162" i="4"/>
  <c r="AR180" i="4"/>
  <c r="AR216" i="4"/>
  <c r="AY255" i="6"/>
  <c r="AR264" i="4"/>
  <c r="AR63" i="4"/>
  <c r="AR173" i="4"/>
  <c r="AY346" i="6"/>
  <c r="AY336" i="6"/>
  <c r="AY145" i="6"/>
  <c r="AY337" i="6"/>
  <c r="AY536" i="6"/>
  <c r="AY213" i="6"/>
  <c r="AY33" i="6"/>
  <c r="AY113" i="6"/>
  <c r="AY192" i="6"/>
  <c r="AY228" i="6"/>
  <c r="AR313" i="4"/>
  <c r="AY118" i="6"/>
  <c r="AR51" i="4"/>
  <c r="AY175" i="6"/>
  <c r="AY235" i="6"/>
  <c r="AY421" i="6"/>
  <c r="AY236" i="6"/>
  <c r="AY447" i="6"/>
  <c r="AY159" i="6"/>
  <c r="AR239" i="4"/>
  <c r="AY119" i="6"/>
  <c r="AR246" i="4"/>
  <c r="AY477" i="6"/>
  <c r="AR188" i="4"/>
  <c r="AY199" i="6"/>
  <c r="AY130" i="6"/>
  <c r="AY47" i="6"/>
  <c r="AY253" i="6"/>
  <c r="AY501" i="6"/>
  <c r="AY504" i="6"/>
  <c r="AY407" i="6"/>
  <c r="AY429" i="6"/>
  <c r="AY181" i="6"/>
  <c r="AY35" i="6"/>
  <c r="AR301" i="4"/>
  <c r="AY277" i="6"/>
  <c r="AY238" i="6"/>
  <c r="AY530" i="6"/>
  <c r="AR283" i="4"/>
  <c r="AY174" i="6"/>
  <c r="AR108" i="4"/>
  <c r="AY106" i="6"/>
  <c r="AY274" i="6"/>
  <c r="AR47" i="4"/>
  <c r="AY348" i="6"/>
  <c r="AY137" i="6"/>
  <c r="AY224" i="6"/>
  <c r="AR128" i="4"/>
  <c r="AY510" i="6"/>
  <c r="AR109" i="4"/>
  <c r="AY326" i="6"/>
  <c r="AY123" i="6"/>
  <c r="AR223" i="4"/>
  <c r="AY77" i="6"/>
  <c r="AY347" i="6"/>
  <c r="AR76" i="4"/>
  <c r="AR309" i="4"/>
  <c r="AY355" i="6"/>
  <c r="AR307" i="4"/>
  <c r="AR156" i="4"/>
  <c r="AY462" i="6"/>
  <c r="AR217" i="4"/>
  <c r="AR86" i="4"/>
  <c r="AY309" i="6"/>
  <c r="AY179" i="6"/>
  <c r="AR284" i="4"/>
  <c r="AY454" i="6"/>
  <c r="AY393" i="6"/>
  <c r="AY519" i="6"/>
  <c r="AY230" i="6"/>
  <c r="AY95" i="6"/>
  <c r="AY319" i="6"/>
  <c r="AY188" i="6"/>
  <c r="AR150" i="4"/>
  <c r="AY443" i="6"/>
  <c r="AY322" i="6"/>
  <c r="AR245" i="4"/>
  <c r="AR64" i="4"/>
  <c r="AY310" i="6"/>
  <c r="AY198" i="6"/>
  <c r="AR88" i="4"/>
  <c r="AY345" i="6"/>
  <c r="AY265" i="6"/>
  <c r="AR262" i="4"/>
  <c r="AR116" i="4"/>
  <c r="AY382" i="6"/>
  <c r="AY263" i="6"/>
  <c r="AR211" i="4"/>
  <c r="AY482" i="6"/>
  <c r="AY239" i="6"/>
  <c r="AR105" i="4"/>
  <c r="AY330" i="6"/>
  <c r="AY410" i="6"/>
  <c r="AY69" i="6"/>
  <c r="AY423" i="6"/>
  <c r="AR265" i="4"/>
  <c r="AR168" i="4"/>
  <c r="AR149" i="4"/>
  <c r="AY278" i="6"/>
  <c r="AY100" i="6"/>
  <c r="AY176" i="6"/>
  <c r="AR203" i="4"/>
  <c r="AY549" i="6"/>
  <c r="AY41" i="6"/>
  <c r="AR133" i="4"/>
  <c r="AY369" i="6"/>
  <c r="AR37" i="4"/>
  <c r="AR305" i="4"/>
  <c r="AY261" i="6"/>
  <c r="AR158" i="4"/>
  <c r="AR259" i="4"/>
  <c r="AY205" i="6"/>
  <c r="AR140" i="4"/>
  <c r="AY444" i="6"/>
  <c r="AR81" i="4"/>
  <c r="AR117" i="4"/>
  <c r="AY73" i="6"/>
  <c r="AR306" i="4"/>
  <c r="AR232" i="4"/>
  <c r="AY493" i="6"/>
  <c r="AY161" i="6"/>
  <c r="AY327" i="6"/>
  <c r="AY311" i="6"/>
  <c r="AY308" i="6"/>
  <c r="AY85" i="6"/>
  <c r="AY52" i="6"/>
  <c r="AY109" i="6"/>
  <c r="AR193" i="4"/>
  <c r="AR189" i="4"/>
  <c r="AY30" i="6"/>
  <c r="AY108" i="6"/>
  <c r="AY165" i="6"/>
  <c r="AY129" i="6"/>
  <c r="AY499" i="6"/>
  <c r="AY289" i="6"/>
  <c r="AY391" i="6"/>
  <c r="AY349" i="6"/>
  <c r="AY357" i="6"/>
  <c r="AY269" i="6"/>
  <c r="AY266" i="6"/>
  <c r="AY134" i="6"/>
  <c r="AY333" i="6"/>
  <c r="AY338" i="6"/>
  <c r="AY249" i="6"/>
  <c r="AR141" i="4"/>
  <c r="AY481" i="6"/>
  <c r="AR186" i="4"/>
  <c r="AR91" i="4"/>
  <c r="AR271" i="4"/>
  <c r="AR41" i="4"/>
  <c r="AY409" i="6"/>
  <c r="AY352" i="6"/>
  <c r="AY461" i="6"/>
  <c r="AY63" i="6"/>
  <c r="AY82" i="6"/>
  <c r="AY465" i="6"/>
  <c r="AR60" i="4"/>
  <c r="AY257" i="6"/>
  <c r="AY250" i="6"/>
  <c r="AR243" i="4"/>
  <c r="AY523" i="6"/>
  <c r="AY55" i="6"/>
  <c r="AY64" i="6"/>
  <c r="AY512" i="6"/>
  <c r="AY312" i="6"/>
  <c r="AR53" i="4"/>
  <c r="AR181" i="4"/>
  <c r="AR138" i="4"/>
  <c r="AY273" i="6"/>
  <c r="AY490" i="6"/>
  <c r="AR84" i="4"/>
  <c r="AR107" i="4"/>
  <c r="AR92" i="4"/>
  <c r="AY412" i="6"/>
  <c r="AY182" i="6"/>
  <c r="AR177" i="4"/>
  <c r="AR208" i="4"/>
  <c r="AY183" i="6"/>
  <c r="AY381" i="6"/>
  <c r="AY83" i="6"/>
  <c r="AY110" i="6"/>
  <c r="AY380" i="6"/>
  <c r="AR222" i="4"/>
  <c r="AR256" i="4"/>
  <c r="AR282" i="4"/>
  <c r="AR147" i="4"/>
  <c r="AR212" i="4"/>
  <c r="AY489" i="6"/>
  <c r="AY411" i="6"/>
  <c r="AY233" i="6"/>
  <c r="AR228" i="4"/>
  <c r="AR34" i="4"/>
  <c r="AY505" i="6"/>
  <c r="AY471" i="6"/>
  <c r="AY243" i="6"/>
  <c r="AY470" i="6"/>
  <c r="AY221" i="6"/>
  <c r="AR200" i="4"/>
  <c r="AR137" i="4"/>
  <c r="AR324" i="4"/>
  <c r="AR165" i="4"/>
  <c r="AY297" i="6"/>
  <c r="AY350" i="6"/>
  <c r="AY227" i="6"/>
  <c r="AY56" i="6"/>
  <c r="AR241" i="4"/>
  <c r="AY197" i="6"/>
  <c r="AR183" i="4"/>
  <c r="AR46" i="4"/>
  <c r="AY74" i="6"/>
  <c r="AR151" i="4"/>
  <c r="AR253" i="4"/>
  <c r="AR196" i="4"/>
  <c r="AY540" i="6"/>
  <c r="AR272" i="4"/>
  <c r="AY445" i="6"/>
  <c r="AR267" i="4"/>
  <c r="AY125" i="6"/>
  <c r="AY396" i="6"/>
  <c r="AY378" i="6"/>
  <c r="AY511" i="6"/>
  <c r="AY533" i="6"/>
  <c r="AY496" i="6"/>
  <c r="AY90" i="6"/>
  <c r="AR233" i="4"/>
  <c r="AR304" i="4"/>
  <c r="AY302" i="6"/>
  <c r="AY469" i="6"/>
  <c r="AY295" i="6"/>
  <c r="AY426" i="6"/>
  <c r="AY478" i="6"/>
  <c r="AY201" i="6"/>
  <c r="AY219" i="6"/>
  <c r="AR190" i="4"/>
  <c r="AR103" i="4"/>
  <c r="AY341" i="6"/>
  <c r="AY425" i="6"/>
  <c r="AY516" i="6"/>
  <c r="AY54" i="6"/>
  <c r="AY529" i="6"/>
  <c r="AR308" i="4"/>
  <c r="AR310" i="4"/>
  <c r="AR197" i="4"/>
  <c r="AR302" i="4"/>
  <c r="AY305" i="6"/>
  <c r="AY413" i="6"/>
  <c r="AY37" i="6"/>
  <c r="AY500" i="6"/>
  <c r="AR167" i="4"/>
  <c r="AY39" i="6"/>
  <c r="AY316" i="6"/>
  <c r="AY376" i="6"/>
  <c r="AY340" i="6"/>
  <c r="AY452" i="6"/>
  <c r="AY48" i="6"/>
  <c r="AR209" i="4"/>
  <c r="AY453" i="6"/>
  <c r="AR113" i="4"/>
  <c r="AY524" i="6"/>
  <c r="AY262" i="6"/>
  <c r="AR114" i="4"/>
  <c r="AR143" i="4"/>
  <c r="AY32" i="6"/>
  <c r="AY320" i="6"/>
  <c r="AR214" i="4"/>
  <c r="AY275" i="6"/>
  <c r="AY331" i="6"/>
  <c r="AY455" i="6"/>
  <c r="AY229" i="6"/>
  <c r="AY178" i="6"/>
  <c r="AY126" i="6"/>
  <c r="AY70" i="6"/>
  <c r="AY431" i="6"/>
  <c r="AY417" i="6"/>
  <c r="AY202" i="6"/>
  <c r="AR153" i="4"/>
  <c r="AY460" i="6"/>
  <c r="AY31" i="6"/>
  <c r="AR280" i="4"/>
  <c r="AY475" i="6"/>
  <c r="AY121" i="6"/>
  <c r="AY432" i="6"/>
  <c r="AR198" i="4"/>
  <c r="AR154" i="4"/>
  <c r="AY214" i="6"/>
  <c r="AY241" i="6"/>
  <c r="AR247" i="4"/>
  <c r="AR171" i="4"/>
  <c r="AY284" i="6"/>
  <c r="AY58" i="6"/>
  <c r="AY515" i="6"/>
  <c r="AR229" i="4"/>
  <c r="AY242" i="6"/>
  <c r="AY287" i="6"/>
  <c r="AY116" i="6"/>
  <c r="AY71" i="6"/>
  <c r="AR35" i="4"/>
  <c r="AY127" i="6"/>
  <c r="AR159" i="4"/>
  <c r="AY89" i="6"/>
  <c r="AY539" i="6"/>
  <c r="AY313" i="6"/>
  <c r="AR161" i="4"/>
  <c r="AY517" i="6"/>
  <c r="AY383" i="6"/>
  <c r="AY317" i="6"/>
  <c r="AY342" i="6"/>
  <c r="AY222" i="6"/>
  <c r="AY168" i="6"/>
  <c r="AY487" i="6"/>
  <c r="AR215" i="4"/>
  <c r="AY215" i="6"/>
  <c r="AY93" i="6"/>
  <c r="AY387" i="6"/>
  <c r="AY513" i="6"/>
  <c r="AY497" i="6"/>
  <c r="AR192" i="4"/>
  <c r="AY299" i="6"/>
  <c r="AR94" i="4"/>
  <c r="AR296" i="4"/>
  <c r="AY435" i="6"/>
  <c r="AR227" i="4"/>
  <c r="AY139" i="6"/>
  <c r="AY276" i="6"/>
  <c r="AR293" i="4"/>
  <c r="AY450" i="6"/>
  <c r="AR297" i="4"/>
  <c r="AR207" i="4"/>
  <c r="AY385" i="6"/>
  <c r="AY132" i="6"/>
  <c r="AY66" i="6"/>
  <c r="AY220" i="6"/>
  <c r="AR226" i="4"/>
  <c r="AY399" i="6"/>
  <c r="AY135" i="6"/>
  <c r="AR204" i="4"/>
  <c r="AR124" i="4"/>
  <c r="AR199" i="4"/>
  <c r="AY466" i="6"/>
  <c r="AY143" i="6"/>
  <c r="AY507" i="6"/>
  <c r="AR176" i="4"/>
  <c r="AY234" i="6"/>
  <c r="AY75" i="6"/>
  <c r="AR268" i="4"/>
  <c r="AR254" i="4"/>
  <c r="AR219" i="4"/>
  <c r="AY334" i="6"/>
  <c r="AR238" i="4"/>
  <c r="AY117" i="6"/>
  <c r="AY209" i="6"/>
  <c r="AY472" i="6"/>
  <c r="AR125" i="4"/>
  <c r="AY323" i="6"/>
  <c r="AY163" i="6"/>
  <c r="AR78" i="4"/>
  <c r="AY247" i="6"/>
  <c r="AY286" i="6"/>
  <c r="AY434" i="6"/>
  <c r="AR50" i="4"/>
  <c r="AY94" i="6"/>
  <c r="AY99" i="6"/>
  <c r="AY527" i="6"/>
  <c r="AY76" i="6"/>
  <c r="AR249" i="4"/>
  <c r="AY328" i="6"/>
  <c r="AY185" i="6"/>
  <c r="AY279" i="6"/>
  <c r="AY86" i="6"/>
  <c r="AY148" i="6"/>
  <c r="AY158" i="6"/>
  <c r="AY415" i="6"/>
  <c r="AY292" i="6"/>
  <c r="AY414" i="6"/>
  <c r="AY301" i="6"/>
  <c r="AY270" i="6"/>
  <c r="AY534" i="6"/>
  <c r="AR182" i="4"/>
  <c r="AY480" i="6"/>
  <c r="AY177" i="6"/>
  <c r="AY545" i="6"/>
  <c r="AY422" i="6"/>
  <c r="AR57" i="4"/>
  <c r="AR44" i="4"/>
  <c r="AY509" i="6"/>
  <c r="AY543" i="6"/>
  <c r="AY547" i="6"/>
  <c r="AY361" i="6"/>
  <c r="AR74" i="4"/>
  <c r="AY252" i="6"/>
  <c r="AR118" i="4"/>
  <c r="AR120" i="4"/>
  <c r="AY146" i="6"/>
  <c r="AY485" i="6"/>
  <c r="AY218" i="6"/>
  <c r="AY264" i="6"/>
  <c r="AR185" i="4"/>
  <c r="AR213" i="4"/>
  <c r="AY240" i="6"/>
  <c r="AR187" i="4"/>
  <c r="AR172" i="4"/>
  <c r="AY212" i="6"/>
  <c r="AR279" i="4"/>
  <c r="AY389" i="6"/>
  <c r="AY544" i="6"/>
  <c r="AY542" i="6"/>
  <c r="AR87" i="4"/>
  <c r="AR321" i="4"/>
  <c r="AY538" i="6"/>
  <c r="AY395" i="6"/>
  <c r="AR115" i="4"/>
  <c r="AY267" i="6"/>
  <c r="AY231" i="6"/>
  <c r="AY57" i="6"/>
  <c r="AY372" i="6"/>
  <c r="AR195" i="4"/>
  <c r="AR240" i="4"/>
  <c r="AR303" i="4"/>
  <c r="AY208" i="6"/>
  <c r="AR32" i="4"/>
  <c r="AY124" i="6"/>
  <c r="AR71" i="4"/>
  <c r="AY237" i="6"/>
  <c r="AY79" i="6"/>
  <c r="AR58" i="4"/>
  <c r="AY154" i="6"/>
  <c r="AR323" i="4"/>
  <c r="AY364" i="6"/>
  <c r="AY166" i="6"/>
  <c r="AY503" i="6"/>
  <c r="AY304" i="6"/>
  <c r="AR218" i="4"/>
  <c r="AR68" i="4"/>
  <c r="AY193" i="6"/>
  <c r="AY343" i="6"/>
  <c r="AR275" i="4"/>
  <c r="AY366" i="6"/>
  <c r="AY446" i="6"/>
  <c r="AY115" i="6"/>
  <c r="AY260" i="6"/>
  <c r="AR201" i="4"/>
  <c r="AY196" i="6"/>
  <c r="AY473" i="6"/>
  <c r="AY105" i="6"/>
  <c r="AR139" i="4"/>
  <c r="AY186" i="6"/>
  <c r="AY315" i="6"/>
  <c r="AR96" i="4"/>
  <c r="AY216" i="6"/>
  <c r="AR250" i="4"/>
  <c r="AR110" i="4"/>
  <c r="AY508" i="6"/>
  <c r="AR257" i="4"/>
  <c r="AY160" i="6"/>
  <c r="AY114" i="6"/>
  <c r="AY45" i="6"/>
  <c r="AR206" i="4"/>
  <c r="AY358" i="6"/>
  <c r="AY451" i="6"/>
  <c r="AR242" i="4"/>
  <c r="AY111" i="6"/>
  <c r="AR260" i="4"/>
  <c r="AY430" i="6"/>
  <c r="AY400" i="6"/>
  <c r="AY532" i="6"/>
  <c r="AR135" i="4"/>
  <c r="AY51" i="6"/>
  <c r="AY62" i="6"/>
  <c r="AR315" i="4"/>
  <c r="AR157" i="4"/>
  <c r="AY339" i="6"/>
  <c r="AY332" i="6"/>
  <c r="AR205" i="4"/>
  <c r="AR65" i="4"/>
  <c r="AY449" i="6"/>
  <c r="AY204" i="6"/>
  <c r="AY484" i="6"/>
  <c r="AR174" i="4"/>
  <c r="AY419" i="6"/>
  <c r="AR45" i="4"/>
  <c r="AY476" i="6"/>
  <c r="AR104" i="4"/>
  <c r="AY535" i="6"/>
  <c r="AR251" i="4"/>
  <c r="AY152" i="6"/>
  <c r="AR136" i="4"/>
  <c r="AY244" i="6"/>
  <c r="AR169" i="4"/>
  <c r="AY223" i="6"/>
  <c r="AR221" i="4"/>
  <c r="AR98" i="4"/>
  <c r="AY528" i="6"/>
  <c r="AY153" i="6"/>
  <c r="AR146" i="4"/>
  <c r="AY138" i="6"/>
  <c r="AY388" i="6"/>
  <c r="AR33" i="4"/>
  <c r="AY156" i="6"/>
  <c r="AY122" i="6"/>
  <c r="AY463" i="6"/>
  <c r="AY392" i="6"/>
  <c r="AR234" i="4"/>
  <c r="AY418" i="6"/>
  <c r="AY363" i="6"/>
  <c r="AR142" i="4"/>
  <c r="AY506" i="6"/>
  <c r="AY403" i="6"/>
  <c r="AY468" i="6"/>
  <c r="AY61" i="6"/>
  <c r="AY157" i="6"/>
  <c r="AR295" i="4"/>
  <c r="AY351" i="6"/>
  <c r="AY367" i="6"/>
  <c r="AY187" i="6"/>
  <c r="AR225" i="4"/>
  <c r="AY386" i="6"/>
  <c r="AY397" i="6"/>
  <c r="AR194" i="4"/>
  <c r="AR311" i="4"/>
  <c r="AR127" i="4"/>
  <c r="AY483" i="6"/>
  <c r="AY88" i="6"/>
  <c r="AR83" i="4"/>
  <c r="AR112" i="4"/>
  <c r="AR319" i="4"/>
  <c r="AY307" i="6"/>
  <c r="AR163" i="4"/>
  <c r="AR97" i="4"/>
  <c r="AY354" i="6"/>
  <c r="AR48" i="4"/>
  <c r="AY280" i="6"/>
  <c r="AY420" i="6"/>
  <c r="AR59" i="4"/>
  <c r="AY290" i="6"/>
  <c r="AY36" i="6"/>
  <c r="AR72" i="4"/>
  <c r="AR318" i="4"/>
  <c r="AR288" i="4"/>
  <c r="AY492" i="6"/>
  <c r="AR61" i="4"/>
  <c r="AY281" i="6"/>
  <c r="AR42" i="4"/>
  <c r="AY150" i="6"/>
  <c r="AY324" i="6"/>
  <c r="AR255" i="4"/>
  <c r="AR191" i="4"/>
  <c r="AY107" i="6"/>
  <c r="AY203" i="6"/>
  <c r="AY40" i="6"/>
  <c r="AY226" i="6"/>
  <c r="AY379" i="6"/>
  <c r="AR122" i="4"/>
  <c r="AY525" i="6"/>
  <c r="AY68" i="6"/>
  <c r="AY195" i="6"/>
  <c r="AY164" i="6"/>
  <c r="AR160" i="4"/>
  <c r="AY448" i="6"/>
  <c r="AY502" i="6"/>
  <c r="AY259" i="6"/>
  <c r="AR230" i="4"/>
  <c r="AR285" i="4"/>
  <c r="AR312" i="4"/>
  <c r="AY46" i="6"/>
  <c r="AY405" i="6"/>
  <c r="AR274" i="4"/>
  <c r="AR144" i="4"/>
  <c r="AR269" i="4"/>
  <c r="AR320" i="4"/>
  <c r="AY406" i="6"/>
  <c r="AY518" i="6"/>
  <c r="AY318" i="6"/>
  <c r="AR178" i="4"/>
  <c r="AR287" i="4"/>
  <c r="AY408" i="6"/>
  <c r="AY377" i="6"/>
  <c r="AY169" i="6"/>
  <c r="AY371" i="6"/>
  <c r="AY384" i="6"/>
  <c r="AR263" i="4"/>
  <c r="AR77" i="4"/>
  <c r="AY268" i="6"/>
  <c r="AY283" i="6"/>
  <c r="AY390" i="6"/>
  <c r="AR224" i="4"/>
  <c r="AR126" i="4"/>
  <c r="AY170" i="6"/>
  <c r="AY300" i="6"/>
  <c r="AY65" i="6"/>
  <c r="AR62" i="4"/>
  <c r="AY438" i="6"/>
  <c r="AR130" i="4"/>
  <c r="AR31" i="4"/>
  <c r="AY49" i="6"/>
  <c r="AR266" i="4"/>
  <c r="AY128" i="6"/>
  <c r="AY59" i="6"/>
  <c r="AR54" i="4"/>
  <c r="AY246" i="6"/>
  <c r="AR69" i="4"/>
  <c r="AY285" i="6"/>
  <c r="AY194" i="6"/>
  <c r="AR298" i="4"/>
  <c r="AR131" i="4"/>
  <c r="AR30" i="4"/>
  <c r="AR102" i="4"/>
  <c r="AR317" i="4"/>
  <c r="AY439" i="6"/>
  <c r="AR121" i="4"/>
  <c r="AR261" i="4"/>
  <c r="AR322" i="4"/>
  <c r="AR145" i="4"/>
  <c r="AR111" i="4"/>
  <c r="AR99" i="4"/>
  <c r="AY314" i="6"/>
  <c r="AY162" i="6"/>
  <c r="AY370" i="6"/>
  <c r="AR175" i="4"/>
  <c r="AY141" i="6"/>
  <c r="AR248" i="4"/>
  <c r="AY254" i="6"/>
  <c r="AR299" i="4"/>
  <c r="AY97" i="6"/>
  <c r="AY291" i="6"/>
  <c r="AR316" i="4"/>
  <c r="AY171" i="6"/>
  <c r="AR52" i="4"/>
  <c r="AY112" i="6"/>
  <c r="AR164" i="4"/>
  <c r="AR80" i="4"/>
  <c r="AR235" i="4"/>
  <c r="AR67" i="4"/>
  <c r="AY140" i="6"/>
  <c r="AY211" i="6"/>
  <c r="AY491" i="6"/>
  <c r="AY50" i="6"/>
  <c r="AR82" i="4"/>
  <c r="AY167" i="6"/>
  <c r="AR292" i="4"/>
  <c r="AR79" i="4"/>
  <c r="AR119" i="4"/>
  <c r="AR40" i="4"/>
  <c r="AY402" i="6"/>
  <c r="AY436" i="6"/>
  <c r="AY479" i="6"/>
  <c r="AR270" i="4"/>
  <c r="AR166" i="4"/>
  <c r="AY92" i="6"/>
  <c r="AY359" i="6"/>
  <c r="AY210" i="6"/>
  <c r="AY42" i="6"/>
  <c r="AY136" i="6"/>
  <c r="AR43" i="4"/>
  <c r="AY325" i="6"/>
  <c r="AY498" i="6"/>
  <c r="AY189" i="6"/>
  <c r="AR325" i="4"/>
  <c r="AY258" i="6"/>
  <c r="AY67" i="6"/>
  <c r="AY365" i="6"/>
  <c r="AY416" i="6"/>
  <c r="AR85" i="4"/>
  <c r="AR55" i="4"/>
  <c r="AR210" i="4"/>
  <c r="AR236" i="4"/>
  <c r="AY96" i="6"/>
  <c r="AR73" i="4"/>
  <c r="AR258" i="4"/>
  <c r="AR36" i="4"/>
  <c r="AY101" i="6"/>
  <c r="AR75" i="4"/>
  <c r="AY87" i="6"/>
  <c r="AY440" i="6"/>
  <c r="AY91" i="6"/>
  <c r="AY298" i="6"/>
  <c r="AR132" i="4"/>
  <c r="AY120" i="6"/>
  <c r="AY225" i="6"/>
  <c r="AY190" i="6"/>
  <c r="AR56" i="4"/>
  <c r="AY147" i="6"/>
  <c r="AY142" i="6"/>
  <c r="AY251" i="6"/>
  <c r="AY541" i="6"/>
  <c r="AY375" i="6"/>
  <c r="AY103" i="6"/>
  <c r="AY294" i="6"/>
  <c r="AY272" i="6"/>
  <c r="AY486" i="6"/>
  <c r="AR89" i="4"/>
  <c r="AY521" i="6"/>
  <c r="AY329" i="6"/>
  <c r="AY232" i="6"/>
  <c r="AR106" i="4"/>
  <c r="AR129" i="4"/>
  <c r="AY43" i="6"/>
  <c r="AY27" i="6" l="1" a="1"/>
  <c r="AY28" i="6"/>
  <c r="AR28" i="4"/>
  <c r="AR27" i="4" a="1"/>
  <c r="H3" i="2"/>
  <c r="K5" i="2"/>
  <c r="K3" i="2" s="1"/>
  <c r="W6" i="5" a="1"/>
  <c r="X6" i="5" a="1"/>
  <c r="W6" i="9" a="1"/>
  <c r="X6" i="9" a="1"/>
  <c r="P5" i="4" a="1"/>
  <c r="P5" i="6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<sst xmlns="http://schemas.openxmlformats.org/spreadsheetml/2006/main" count="28158" uniqueCount="2387">
  <si>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</si>
  <si>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</si>
  <si>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</si>
  <si>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</si>
  <si>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</si>
  <si>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</si>
  <si>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</si>
  <si>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</si>
  <si>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</si>
  <si>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</si>
  <si>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</si>
  <si>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</si>
  <si>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</si>
  <si>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</si>
  <si>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</si>
  <si>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</si>
  <si>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</si>
  <si>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</si>
  <si>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</si>
  <si>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</si>
  <si>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</si>
  <si>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</si>
  <si>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</si>
  <si>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</si>
  <si>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</si>
  <si>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</si>
  <si>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</si>
  <si>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</si>
  <si>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</si>
  <si>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</si>
  <si>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</si>
  <si>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</si>
  <si>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</si>
  <si>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</si>
  <si>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</si>
  <si>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</si>
  <si>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</si>
  <si>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</si>
  <si>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</si>
  <si>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</si>
  <si>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</si>
  <si>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</si>
  <si>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</si>
  <si>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</si>
  <si>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</si>
  <si>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</si>
  <si>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</si>
  <si>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</si>
  <si>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</si>
  <si>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</si>
  <si>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</si>
  <si>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</si>
  <si>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</si>
  <si>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</si>
  <si>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</si>
  <si>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</si>
  <si>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</si>
  <si>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</si>
  <si>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</si>
  <si>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</si>
  <si>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</si>
  <si>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</si>
  <si>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</si>
  <si>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</si>
  <si>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</si>
  <si>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</si>
  <si>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</si>
  <si>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</si>
  <si>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</si>
  <si>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</si>
  <si>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</si>
  <si>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</si>
  <si>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</si>
  <si>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</si>
  <si>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</si>
  <si>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</si>
  <si>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</si>
  <si>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</si>
  <si>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</si>
  <si>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</si>
  <si>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</si>
  <si>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</si>
  <si>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</si>
  <si>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</si>
  <si>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</si>
  <si>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</si>
  <si>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</si>
  <si>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</si>
  <si>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</si>
  <si>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</si>
  <si>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</si>
  <si>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</si>
  <si>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</si>
  <si>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</si>
  <si>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</si>
  <si>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</si>
  <si>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</si>
  <si>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</si>
  <si>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</si>
  <si>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</si>
  <si>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</si>
  <si>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</si>
  <si>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</si>
  <si>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</si>
  <si>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</si>
  <si>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</si>
  <si>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</si>
  <si>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</si>
  <si>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</si>
  <si>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</si>
  <si>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</si>
  <si>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</si>
  <si>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</si>
  <si>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</si>
  <si>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</si>
  <si>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</si>
  <si>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</si>
  <si>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</si>
  <si>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</si>
  <si>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</si>
  <si>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</si>
  <si>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</si>
  <si>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</si>
  <si>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</si>
  <si>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</si>
  <si>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</si>
  <si>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</si>
  <si>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</si>
  <si>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</si>
  <si>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</si>
  <si>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</si>
  <si>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</si>
  <si>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</si>
  <si>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</si>
  <si>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</si>
  <si>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</si>
  <si>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</si>
  <si>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</si>
  <si>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</si>
  <si>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</si>
  <si>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</si>
  <si>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</si>
  <si>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</si>
  <si>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</si>
  <si>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</si>
  <si>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</si>
  <si>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</si>
  <si>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</si>
  <si>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</si>
  <si>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</si>
  <si>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</si>
  <si>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</si>
  <si>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</si>
  <si>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</si>
  <si>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</si>
  <si>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</si>
  <si>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</si>
  <si>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</si>
  <si>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</si>
  <si>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</si>
  <si>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</si>
  <si>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</si>
  <si>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</si>
  <si>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</si>
  <si>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</si>
  <si>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</si>
  <si>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</si>
  <si>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</si>
  <si>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</si>
  <si>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</si>
  <si>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</si>
  <si>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</si>
  <si>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</si>
  <si>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</si>
  <si>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</si>
  <si>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</si>
  <si>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</si>
  <si>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</si>
  <si>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</si>
  <si>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</si>
  <si>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</si>
  <si>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</si>
  <si>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</si>
  <si>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</si>
  <si>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</si>
  <si>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</si>
  <si>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</si>
  <si>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</si>
  <si>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</si>
  <si>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</si>
  <si>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</si>
  <si>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</si>
  <si>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</si>
  <si>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</si>
  <si>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</si>
  <si>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</si>
  <si>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</si>
  <si>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</si>
  <si>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</si>
  <si>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</si>
  <si>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</si>
  <si>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</si>
  <si>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</si>
  <si>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</si>
  <si>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</si>
  <si>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</si>
  <si>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</si>
  <si>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</si>
  <si>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</si>
  <si>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</si>
  <si>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</si>
  <si>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</si>
  <si>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</si>
  <si>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</si>
  <si>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</si>
  <si>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</si>
  <si>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</si>
  <si>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</si>
  <si>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</si>
  <si>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</si>
  <si>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</si>
  <si>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</si>
  <si>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</si>
  <si>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</si>
  <si>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</si>
  <si>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</si>
  <si>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</si>
  <si>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</si>
  <si>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</si>
  <si>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</si>
  <si>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</si>
  <si>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</si>
  <si>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</si>
  <si>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</si>
  <si>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</si>
  <si>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</si>
  <si>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</si>
  <si>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</si>
  <si>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</si>
  <si>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</si>
  <si>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</si>
  <si>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</si>
  <si>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</si>
  <si>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</si>
  <si>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</si>
  <si>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</si>
  <si>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</si>
  <si>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</si>
  <si>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</si>
  <si>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</si>
  <si>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</si>
  <si>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</si>
  <si>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</si>
  <si>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</si>
  <si>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</si>
  <si>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</si>
  <si>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</si>
  <si>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</si>
  <si>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</si>
  <si>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</si>
  <si>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</si>
  <si>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</si>
  <si>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</si>
  <si>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</si>
  <si>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</si>
  <si>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</si>
  <si>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</si>
  <si>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</si>
  <si>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</si>
  <si>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</si>
  <si>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</si>
  <si>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</si>
  <si>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</si>
  <si>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</si>
  <si>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</si>
  <si>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</si>
  <si>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</si>
  <si>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</si>
  <si>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</si>
  <si>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</si>
  <si>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</si>
  <si>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</si>
  <si>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</si>
  <si>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</si>
  <si>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</si>
  <si>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</si>
  <si>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</si>
  <si>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</si>
  <si>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</si>
  <si>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</si>
  <si>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</si>
  <si>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</si>
  <si>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</si>
  <si>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</si>
  <si>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</si>
  <si>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</si>
  <si>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</si>
  <si>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</si>
  <si>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</si>
  <si>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</si>
  <si>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</si>
  <si>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</si>
  <si>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</si>
  <si>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</si>
  <si>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</si>
  <si>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</si>
  <si>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</si>
  <si>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</si>
  <si>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</si>
  <si>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</si>
  <si>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</si>
  <si>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</si>
  <si>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</si>
  <si>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</si>
  <si>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</si>
  <si>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</si>
  <si>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</si>
  <si>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</si>
  <si>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</si>
  <si>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</si>
  <si>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</si>
  <si>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</si>
  <si>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</si>
  <si>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</si>
  <si>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</si>
  <si>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</si>
  <si>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</si>
  <si>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</si>
  <si>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</si>
  <si>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</si>
  <si>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</si>
  <si>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</si>
  <si>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</si>
  <si>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</si>
  <si>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</si>
  <si>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</si>
  <si>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</si>
  <si>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</si>
  <si>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</si>
  <si>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</si>
  <si>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</si>
  <si>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</si>
  <si>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</si>
  <si>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</si>
  <si>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</si>
  <si>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</si>
  <si>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</si>
  <si>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</si>
  <si>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</si>
  <si>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</si>
  <si>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</si>
  <si>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</si>
  <si>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</si>
  <si>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</si>
  <si>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</si>
  <si>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</si>
  <si>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</si>
  <si>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</si>
  <si>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</si>
  <si>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</si>
  <si>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</si>
  <si>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</si>
  <si>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</si>
  <si>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</si>
  <si>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</si>
  <si>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</si>
  <si>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</si>
  <si>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</si>
  <si>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</si>
  <si>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</si>
  <si>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</si>
  <si>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</si>
  <si>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</si>
  <si>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</si>
  <si>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</si>
  <si>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</si>
  <si>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</si>
  <si>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</si>
  <si>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</si>
  <si>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</si>
  <si>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</si>
  <si>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</si>
  <si>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</si>
  <si>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</si>
  <si>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</si>
  <si>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</si>
  <si>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</si>
  <si>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</si>
  <si>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</si>
  <si>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</si>
  <si>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</si>
  <si>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</si>
  <si>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</si>
  <si>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</si>
  <si>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</si>
  <si>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</si>
  <si>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</si>
  <si>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</si>
  <si>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</si>
  <si>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</si>
  <si>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</si>
  <si>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</si>
  <si>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</si>
  <si>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</si>
  <si>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</si>
  <si>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</si>
  <si>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</si>
  <si>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</si>
  <si>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</si>
  <si>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</si>
  <si>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</si>
  <si>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</si>
  <si>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</si>
  <si>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</si>
  <si>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</si>
  <si>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</si>
  <si>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</si>
  <si>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</si>
  <si>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</si>
  <si>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</si>
  <si>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</si>
  <si>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</si>
  <si>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</si>
  <si>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</si>
  <si>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</si>
  <si>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</si>
  <si>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</si>
  <si>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</si>
  <si>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</si>
  <si>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</si>
  <si>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</si>
  <si>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</si>
  <si>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</si>
  <si>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</si>
  <si>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</si>
  <si>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</si>
  <si>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</si>
  <si>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</si>
  <si>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</si>
  <si>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</si>
  <si>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</si>
  <si>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</si>
  <si>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</si>
  <si>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</si>
  <si>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</si>
  <si>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</si>
  <si>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</si>
  <si>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</si>
  <si>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</si>
  <si>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</si>
  <si>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</si>
  <si>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</si>
  <si>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</si>
  <si>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</si>
  <si>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</si>
  <si>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</si>
  <si>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</si>
  <si>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</si>
  <si>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</si>
  <si>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</si>
  <si>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</si>
  <si>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</si>
  <si>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</si>
  <si>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</si>
  <si>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</si>
  <si>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</si>
  <si>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</si>
  <si>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</si>
  <si>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</si>
  <si>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</si>
  <si>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</si>
  <si>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</si>
  <si>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</si>
  <si>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</si>
  <si>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</si>
  <si>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</si>
  <si>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</si>
  <si>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</si>
  <si>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</si>
  <si>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</si>
  <si>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</si>
  <si>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</si>
  <si>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</si>
  <si>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</si>
  <si>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</si>
  <si>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</si>
  <si>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</si>
  <si>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</si>
  <si>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</si>
  <si>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</si>
  <si>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</si>
  <si>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</si>
  <si>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</si>
  <si>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</si>
  <si>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</si>
  <si>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</si>
  <si>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</si>
  <si>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</si>
  <si>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</si>
  <si>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</si>
  <si>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</si>
  <si>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</si>
  <si>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</si>
  <si>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</si>
  <si>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</si>
  <si>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</si>
  <si>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</si>
  <si>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</si>
  <si>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</si>
  <si>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</si>
  <si>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</si>
  <si>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</si>
  <si>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</si>
  <si>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</si>
  <si>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</si>
  <si>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</si>
  <si>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</si>
  <si>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</si>
  <si>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</si>
  <si>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</si>
  <si>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</si>
  <si>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</si>
  <si>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</si>
  <si>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</si>
  <si>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</si>
  <si>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</si>
  <si>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</si>
  <si>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</si>
  <si>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</si>
  <si>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</si>
  <si>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</si>
  <si>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</si>
  <si>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</si>
  <si>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</si>
  <si>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</si>
  <si>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</si>
  <si>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</si>
  <si>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</si>
  <si>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</si>
  <si>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</si>
  <si>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</si>
  <si>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</si>
  <si>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</si>
  <si>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</si>
  <si>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</si>
  <si>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</si>
  <si>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</si>
  <si>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</si>
  <si>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</si>
  <si>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</si>
  <si>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</si>
  <si>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</si>
  <si>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</si>
  <si>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</si>
  <si>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</si>
  <si>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</si>
  <si>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</si>
  <si>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</si>
  <si>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</si>
  <si>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</si>
  <si>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</si>
  <si>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</si>
  <si>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</si>
  <si>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</si>
  <si>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</si>
  <si>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</si>
  <si>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</si>
  <si>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</si>
  <si>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</si>
  <si>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</si>
  <si>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</si>
  <si>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</si>
  <si>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</si>
  <si>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</si>
  <si>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</si>
  <si>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</si>
  <si>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</si>
  <si>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</si>
  <si>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</si>
  <si>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</si>
  <si>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</si>
  <si>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</si>
  <si>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</si>
  <si>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</si>
  <si>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</si>
  <si>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</si>
  <si>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</si>
  <si>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</si>
  <si>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</si>
  <si>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</si>
  <si>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</si>
  <si>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</si>
  <si>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</si>
  <si>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</si>
  <si>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</si>
  <si>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</si>
  <si>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</si>
  <si>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</si>
  <si>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</si>
  <si>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</si>
  <si>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</si>
  <si>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</si>
  <si>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</si>
  <si>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</si>
  <si>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</si>
  <si>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</si>
  <si>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</si>
  <si>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</si>
  <si>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</si>
  <si>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</si>
  <si>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</si>
  <si>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</si>
  <si>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</si>
  <si>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</si>
  <si>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</si>
  <si>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</si>
  <si>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</si>
  <si>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</si>
  <si>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</si>
  <si>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</si>
  <si>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</si>
  <si>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</si>
  <si>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</si>
  <si>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</si>
  <si>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</si>
  <si>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</si>
  <si>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</si>
  <si>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</si>
  <si>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</si>
  <si>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</si>
  <si>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</si>
  <si>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</si>
  <si>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</si>
  <si>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</si>
  <si>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</si>
  <si>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</si>
  <si>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</si>
  <si>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</si>
  <si>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</si>
  <si>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</si>
  <si>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</si>
  <si>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</si>
  <si>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</si>
  <si>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</si>
  <si>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</si>
  <si>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</si>
  <si>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</si>
  <si>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</si>
  <si>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</si>
  <si>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</si>
  <si>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</si>
  <si>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</si>
  <si>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</si>
  <si>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</si>
  <si>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</si>
  <si>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</si>
  <si>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</si>
  <si>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</si>
  <si>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</si>
  <si>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</si>
  <si>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</si>
  <si>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</si>
  <si>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</si>
  <si>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</si>
  <si>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</si>
  <si>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</si>
  <si>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</si>
  <si>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</si>
  <si>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</si>
  <si>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</si>
  <si>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</si>
  <si>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</si>
  <si>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</si>
  <si>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</si>
  <si>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</si>
  <si>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</si>
  <si>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</si>
  <si>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</si>
  <si>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</si>
  <si>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</si>
  <si>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</si>
  <si>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</si>
  <si>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</si>
  <si>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</si>
  <si>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</si>
  <si>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</si>
  <si>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</si>
  <si>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</si>
  <si>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</si>
  <si>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</si>
  <si>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</si>
  <si>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</si>
  <si>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</si>
  <si>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</si>
  <si>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</si>
  <si>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</si>
  <si>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</si>
  <si>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</si>
  <si>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</si>
  <si>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</si>
  <si>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</si>
  <si>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</si>
  <si>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</si>
  <si>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</si>
  <si>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</si>
  <si>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</si>
  <si>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</si>
  <si>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</si>
  <si>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</si>
  <si>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</si>
  <si>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</si>
  <si>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</si>
  <si>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</si>
  <si>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</si>
  <si>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</si>
  <si>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</si>
  <si>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</si>
  <si>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</si>
  <si>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</si>
  <si>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</si>
  <si>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</si>
  <si>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</si>
  <si>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</si>
  <si>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</si>
  <si>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</si>
  <si>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</si>
  <si>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</si>
  <si>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</si>
  <si>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</si>
  <si>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</si>
  <si>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</si>
  <si>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</si>
  <si>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</si>
  <si>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</si>
  <si>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</si>
  <si>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</si>
  <si>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</si>
  <si>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</si>
  <si>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</si>
  <si>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</si>
  <si>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</si>
  <si>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</si>
  <si>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</si>
  <si>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</si>
  <si>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</si>
  <si>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</si>
  <si>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</si>
  <si>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</si>
  <si>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</si>
  <si>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</si>
  <si>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</si>
  <si>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</si>
  <si>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</si>
  <si>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</si>
  <si>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</si>
  <si>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</si>
  <si>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</si>
  <si>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</si>
  <si>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</si>
  <si>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</si>
  <si>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</si>
  <si>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</si>
  <si>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</si>
  <si>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</si>
  <si>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</si>
  <si>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</si>
  <si>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</si>
  <si>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</si>
  <si>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</si>
  <si>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</si>
  <si>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</si>
  <si>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</si>
  <si>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</si>
  <si>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</si>
  <si>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</si>
  <si>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</si>
  <si>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</si>
  <si>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</si>
  <si>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</si>
  <si>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</si>
  <si>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</si>
  <si>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</si>
  <si>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</si>
  <si>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</si>
  <si>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</si>
  <si>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</si>
  <si>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</si>
  <si>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</si>
  <si>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</si>
  <si>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</si>
  <si>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</si>
  <si>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</si>
  <si>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</si>
  <si>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</si>
  <si>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</si>
  <si>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</si>
  <si>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</si>
  <si>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</si>
  <si>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</si>
  <si>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</si>
  <si>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</si>
  <si>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</si>
  <si>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</si>
  <si>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</si>
  <si>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</si>
  <si>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</si>
  <si>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</si>
  <si>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</si>
  <si>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</si>
  <si>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</si>
  <si>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</si>
  <si>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</si>
  <si>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</si>
  <si>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</si>
  <si>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</si>
  <si>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</si>
  <si>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</si>
  <si>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</si>
  <si>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</si>
  <si>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</si>
  <si>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</si>
  <si>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</si>
  <si>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</si>
  <si>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</si>
  <si>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</si>
  <si>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</si>
  <si>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</si>
  <si>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</si>
  <si>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</si>
  <si>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</si>
  <si>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</si>
  <si>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</si>
  <si>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</si>
  <si>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</si>
  <si>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</si>
  <si>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</si>
  <si>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</si>
  <si>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</si>
  <si>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</si>
  <si>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</si>
  <si>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</si>
  <si>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</si>
  <si>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</si>
  <si>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</si>
  <si>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</si>
  <si>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</si>
  <si>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</si>
  <si>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</si>
  <si>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</si>
  <si>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</si>
  <si>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</si>
  <si>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</si>
  <si>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</si>
  <si>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</si>
  <si>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</si>
  <si>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</si>
  <si>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</si>
  <si>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</si>
  <si>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</si>
  <si>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</si>
  <si>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</si>
  <si>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</si>
  <si>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</si>
  <si>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</si>
  <si>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</si>
  <si>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</si>
  <si>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</si>
  <si>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</si>
  <si>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</si>
  <si>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</si>
  <si>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</si>
  <si>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</si>
  <si>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</si>
  <si>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</si>
  <si>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</si>
  <si>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</si>
  <si>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</si>
  <si>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</si>
  <si>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</si>
  <si>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</si>
  <si>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</si>
  <si>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</si>
  <si>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</si>
  <si>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</si>
  <si>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</si>
  <si>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</si>
  <si>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</si>
  <si>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</si>
  <si>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</si>
  <si>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</si>
  <si>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</si>
  <si>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</si>
  <si>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</si>
  <si>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</si>
  <si>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</si>
  <si>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</si>
  <si>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</si>
  <si>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</si>
  <si>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</si>
  <si>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</si>
  <si>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</si>
  <si>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</si>
  <si>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</si>
  <si>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</si>
  <si>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</si>
  <si>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</si>
  <si>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</si>
  <si>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</si>
  <si>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</si>
  <si>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</si>
  <si>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</si>
  <si>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</si>
  <si>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</si>
  <si>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</si>
  <si>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</si>
  <si>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</si>
  <si>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</si>
  <si>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</si>
  <si>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</si>
  <si>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</si>
  <si>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</si>
  <si>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</si>
  <si>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</si>
  <si>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</si>
  <si>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</si>
  <si>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</si>
  <si>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</si>
  <si>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</si>
  <si>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</si>
  <si>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</si>
  <si>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</si>
  <si>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</si>
  <si>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</si>
  <si>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</si>
  <si>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</si>
  <si>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</si>
  <si>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</si>
  <si>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</si>
  <si>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</si>
  <si>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</si>
  <si>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</si>
  <si>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</si>
  <si>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</si>
  <si>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</si>
  <si>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</si>
  <si>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</si>
  <si>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</si>
  <si>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</si>
  <si>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</si>
  <si>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</si>
  <si>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</si>
  <si>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</si>
  <si>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</si>
  <si>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</si>
  <si>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</si>
  <si>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</si>
  <si>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</si>
  <si>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</si>
  <si>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</si>
  <si>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</si>
  <si>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</si>
  <si>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</si>
  <si>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</si>
  <si>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</si>
  <si>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</si>
  <si>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</si>
  <si>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</si>
  <si>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</si>
  <si>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</si>
  <si>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</si>
  <si>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</si>
  <si>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</si>
  <si>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</si>
  <si>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</si>
  <si>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</si>
  <si>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</si>
  <si>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</si>
  <si>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</si>
  <si>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</si>
  <si>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</si>
  <si>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</si>
  <si>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</si>
  <si>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</si>
  <si>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</si>
  <si>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</si>
  <si>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</si>
  <si>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</si>
  <si>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</si>
  <si>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</si>
  <si>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</si>
  <si>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</si>
  <si>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</si>
  <si>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</si>
  <si>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</si>
  <si>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</si>
  <si>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</si>
  <si>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</si>
  <si>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</si>
  <si>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</si>
  <si>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</si>
  <si>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</si>
  <si>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</si>
  <si>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</si>
  <si>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</si>
  <si>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</si>
  <si>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</si>
  <si>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</si>
  <si>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</si>
  <si>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</si>
  <si>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</si>
  <si>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</si>
  <si>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</si>
  <si>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</si>
  <si>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</si>
  <si>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</si>
  <si>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</si>
  <si>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</si>
  <si>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</si>
  <si>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</si>
  <si>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</si>
  <si>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</si>
  <si>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</si>
  <si>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</si>
  <si>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</si>
  <si>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</si>
  <si>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</si>
  <si>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</si>
  <si>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</si>
  <si>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</si>
  <si>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</si>
  <si>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</si>
  <si>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</si>
  <si>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</si>
  <si>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</si>
  <si>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</si>
  <si>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</si>
  <si>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</si>
  <si>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</si>
  <si>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</si>
  <si>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</si>
  <si>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</si>
  <si>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</si>
  <si>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</si>
  <si>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</si>
  <si>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</si>
  <si>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</si>
  <si>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</si>
  <si>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</si>
  <si>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</si>
  <si>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</si>
  <si>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</si>
  <si>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</si>
  <si>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</si>
  <si>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</si>
  <si>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</si>
  <si>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</si>
  <si>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</si>
  <si>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</si>
  <si>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</si>
  <si>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</si>
  <si>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</si>
  <si>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</si>
  <si>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</si>
  <si>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</si>
  <si>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</si>
  <si>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</si>
  <si>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</si>
  <si>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</si>
  <si>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</si>
  <si>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</si>
  <si>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</si>
  <si>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</si>
  <si>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</si>
  <si>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</si>
  <si>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</si>
  <si>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</si>
  <si>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</si>
  <si>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</si>
  <si>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</si>
  <si>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</si>
  <si>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</si>
  <si>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</si>
  <si>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</si>
  <si>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</si>
  <si>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</si>
  <si>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</si>
  <si>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</si>
  <si>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</si>
  <si>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</si>
  <si>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</si>
  <si>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</si>
  <si>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</si>
  <si>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</si>
  <si>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</si>
  <si>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</si>
  <si>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</si>
  <si>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</si>
  <si>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</si>
  <si>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</si>
  <si>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</si>
  <si>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</si>
  <si>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</si>
  <si>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</si>
  <si>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</si>
  <si>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</si>
  <si>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</si>
  <si>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</si>
  <si>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</si>
  <si>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</si>
  <si>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</si>
  <si>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</si>
  <si>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</si>
  <si>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</si>
  <si>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</si>
  <si>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</si>
  <si>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</si>
  <si>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</si>
  <si>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</si>
  <si>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</si>
  <si>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</si>
  <si>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</si>
  <si>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</si>
  <si>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</si>
  <si>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</si>
  <si>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</si>
  <si>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</si>
  <si>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</si>
  <si>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</si>
  <si>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</si>
  <si>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</si>
  <si>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</si>
  <si>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</si>
  <si>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</si>
  <si>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</si>
  <si>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</si>
  <si>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</si>
  <si>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</si>
  <si>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</si>
  <si>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</si>
  <si>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</si>
  <si>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</si>
  <si>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</si>
  <si>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</si>
  <si>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</si>
  <si>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</si>
  <si>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</si>
  <si>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</si>
  <si>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</si>
  <si>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</si>
  <si>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</si>
  <si>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</si>
  <si>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</si>
  <si>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</si>
  <si>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</si>
  <si>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</si>
  <si>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</si>
  <si>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</si>
  <si>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</si>
  <si>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</si>
  <si>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</si>
  <si>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</si>
  <si>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</si>
  <si>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</si>
  <si>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</si>
  <si>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</si>
  <si>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</si>
  <si>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</si>
  <si>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</si>
  <si>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</si>
  <si>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</si>
  <si>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</si>
  <si>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</si>
  <si>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</si>
  <si>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</si>
  <si>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</si>
  <si>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</si>
  <si>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</si>
  <si>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</si>
  <si>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</si>
  <si>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</si>
  <si>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</si>
  <si>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</si>
  <si>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</si>
  <si>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</si>
  <si>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</si>
  <si>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</si>
  <si>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</si>
  <si>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</si>
  <si>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</si>
  <si>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</si>
  <si>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</si>
  <si>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</si>
  <si>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</si>
  <si>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</si>
  <si>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</si>
  <si>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</si>
  <si>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</si>
  <si>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</si>
  <si>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</si>
  <si>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</si>
  <si>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</si>
  <si>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</si>
  <si>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</si>
  <si>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</si>
  <si>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</si>
  <si>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</si>
  <si>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</si>
  <si>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</si>
  <si>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</si>
  <si>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</si>
  <si>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</si>
  <si>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</si>
  <si>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</si>
  <si>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</si>
  <si>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</si>
  <si>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</si>
  <si>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</si>
  <si>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</si>
  <si>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</si>
  <si>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</si>
  <si>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</si>
  <si>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</si>
  <si>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</si>
  <si>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</si>
  <si>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</si>
  <si>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</si>
  <si>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</si>
  <si>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</si>
  <si>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</si>
  <si>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</si>
  <si>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</si>
  <si>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</si>
  <si>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</si>
  <si>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</si>
  <si>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</si>
  <si>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</si>
  <si>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</si>
  <si>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</si>
  <si>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</si>
  <si>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</si>
  <si>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</si>
  <si>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</si>
  <si>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</si>
  <si>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</si>
  <si>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</si>
  <si>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</si>
  <si>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</si>
  <si>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</si>
  <si>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</si>
  <si>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</si>
  <si>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</si>
  <si>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</si>
  <si>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</si>
  <si>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</si>
  <si>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</si>
  <si>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</si>
  <si>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</si>
  <si>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</si>
  <si>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</si>
  <si>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</si>
  <si>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</si>
  <si>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</si>
  <si>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</si>
  <si>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</si>
  <si>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</si>
  <si>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</si>
  <si>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</si>
  <si>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</si>
  <si>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</si>
  <si>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</si>
  <si>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</si>
  <si>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</si>
  <si>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</si>
  <si>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</si>
  <si>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</si>
  <si>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</si>
  <si>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</si>
  <si>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</si>
  <si>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</si>
  <si>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</si>
  <si>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</si>
  <si>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</si>
  <si>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</si>
  <si>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</si>
  <si>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</si>
  <si>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</si>
  <si>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</si>
  <si>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</si>
  <si>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</si>
  <si>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</si>
  <si>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</si>
  <si>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</si>
  <si>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</si>
  <si>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</si>
  <si>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</si>
  <si>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</si>
  <si>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</si>
  <si>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</si>
  <si>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</si>
  <si>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</si>
  <si>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</si>
  <si>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</si>
  <si>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</si>
  <si>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</si>
  <si>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</si>
  <si>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</si>
  <si>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</si>
  <si>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</si>
  <si>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</si>
  <si>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</si>
  <si>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</si>
  <si>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</si>
  <si>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</si>
  <si>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</si>
  <si>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</si>
  <si>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</si>
  <si>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</si>
  <si>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</si>
  <si>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</si>
  <si>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</si>
  <si>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</si>
  <si>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</si>
  <si>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</si>
  <si>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</si>
  <si>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</si>
  <si>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</si>
  <si>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</si>
  <si>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</si>
  <si>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</si>
  <si>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</si>
  <si>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</si>
  <si>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</si>
  <si>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</si>
  <si>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</si>
  <si>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</si>
  <si>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</si>
  <si>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</si>
  <si>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</si>
  <si>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</si>
  <si>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</si>
  <si>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</si>
  <si>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</si>
  <si>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</si>
  <si>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</si>
  <si>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</si>
  <si>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</si>
  <si>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</si>
  <si>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</si>
  <si>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</si>
  <si>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</si>
  <si>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</si>
  <si>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</si>
  <si>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</si>
  <si>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</si>
  <si>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</si>
  <si>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</si>
  <si>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</si>
  <si>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</si>
  <si>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</si>
  <si>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</si>
  <si>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</si>
  <si>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</si>
  <si>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</si>
  <si>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</si>
  <si>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</si>
  <si>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</si>
  <si>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</si>
  <si>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</si>
  <si>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</si>
  <si>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</si>
  <si>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</si>
  <si>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</si>
  <si>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</si>
  <si>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</si>
  <si>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</si>
  <si>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</si>
  <si>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</si>
  <si>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</si>
  <si>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</si>
  <si>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</si>
  <si>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</si>
  <si>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</si>
  <si>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</si>
  <si>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</si>
  <si>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</si>
  <si>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</si>
  <si>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</si>
  <si>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</si>
  <si>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</si>
  <si>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</si>
  <si>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</si>
  <si>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</si>
  <si>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</si>
  <si>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</si>
  <si>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</si>
  <si>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</si>
  <si>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</si>
  <si>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</si>
  <si>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</si>
  <si>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</si>
  <si>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</si>
  <si>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</si>
  <si>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</si>
  <si>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</si>
  <si>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</si>
  <si>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</si>
  <si>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</si>
  <si>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</si>
  <si>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</si>
  <si>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</si>
  <si>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</si>
  <si>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</si>
  <si>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</si>
  <si>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</si>
  <si>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</si>
  <si>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</si>
  <si>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</si>
  <si>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</si>
  <si>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</si>
  <si>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</si>
  <si>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</si>
  <si>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</si>
  <si>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</si>
  <si>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</si>
  <si>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</si>
  <si>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</si>
  <si>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</si>
  <si>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</si>
  <si>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</si>
  <si>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</si>
  <si>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</si>
  <si>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</si>
  <si>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</si>
  <si>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</si>
  <si>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</si>
  <si>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</si>
  <si>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</si>
  <si>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</si>
  <si>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</si>
  <si>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</si>
  <si>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</si>
  <si>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</si>
  <si>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</si>
  <si>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</si>
  <si>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</si>
  <si>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</si>
  <si>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</si>
  <si>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</si>
  <si>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</si>
  <si>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</si>
  <si>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</si>
  <si>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</si>
  <si>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</si>
  <si>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</si>
  <si>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</si>
  <si>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</si>
  <si>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</si>
  <si>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</si>
  <si>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</si>
  <si>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</si>
  <si>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</si>
  <si>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</si>
  <si>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</si>
  <si>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</si>
  <si>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</si>
  <si>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</si>
  <si>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</si>
  <si>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</si>
  <si>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</si>
  <si>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</si>
  <si>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</si>
  <si>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</si>
  <si>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</si>
  <si>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</si>
  <si>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</si>
  <si>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</si>
  <si>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</si>
  <si>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</si>
  <si>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</si>
  <si>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</si>
  <si>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</si>
  <si>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</si>
  <si>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</si>
  <si>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</si>
  <si>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</si>
  <si>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</si>
  <si>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</si>
  <si>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</si>
  <si>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</si>
  <si>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</si>
  <si>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</si>
  <si>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</si>
  <si>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</si>
  <si>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</si>
  <si>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</si>
  <si>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</si>
  <si>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</si>
  <si>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</si>
  <si>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</si>
  <si>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</si>
  <si>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</si>
  <si>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</si>
  <si>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</si>
  <si>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</si>
  <si>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</si>
  <si>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</si>
  <si>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</si>
  <si>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</si>
  <si>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</si>
  <si>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</si>
  <si>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</si>
  <si>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</si>
  <si>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</si>
  <si>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</si>
  <si>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</si>
  <si>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</si>
  <si>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</si>
  <si>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</si>
  <si>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</si>
  <si>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</si>
  <si>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</si>
  <si>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</si>
  <si>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</si>
  <si>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</si>
  <si>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</si>
  <si>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</si>
  <si>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</si>
  <si>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</si>
  <si>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</si>
  <si>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</si>
  <si>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</si>
  <si>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</si>
  <si>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</si>
  <si>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</si>
  <si>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</si>
  <si>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</si>
  <si>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</si>
  <si>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</si>
  <si>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</si>
  <si>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</si>
  <si>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</si>
  <si>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</si>
  <si>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</si>
  <si>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</si>
  <si>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</si>
  <si>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</si>
  <si>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</si>
  <si>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</si>
  <si>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</si>
  <si>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</si>
  <si>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</si>
  <si>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</si>
  <si>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</si>
  <si>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</si>
  <si>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</si>
  <si>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</si>
  <si>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</si>
  <si>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</si>
  <si>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</si>
  <si>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</si>
  <si>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</si>
  <si>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</si>
  <si>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</si>
  <si>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</si>
  <si>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</si>
  <si>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</si>
  <si>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</si>
  <si>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</si>
  <si>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</si>
  <si>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</si>
  <si>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</si>
  <si>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</si>
  <si>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</si>
  <si>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</si>
  <si>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</si>
  <si>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</si>
  <si>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</si>
  <si>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</si>
  <si>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</si>
  <si>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</si>
  <si>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</si>
  <si>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</si>
  <si>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</si>
  <si>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</si>
  <si>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</si>
  <si>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</si>
  <si>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</si>
  <si>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</si>
  <si>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</si>
  <si>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</si>
  <si>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</si>
  <si>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</si>
  <si>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</si>
  <si>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</si>
  <si>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</si>
  <si>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</si>
  <si>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</si>
  <si>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</si>
  <si>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</si>
  <si>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</si>
  <si>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</si>
  <si>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</si>
  <si>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</si>
  <si>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</si>
  <si>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</si>
  <si>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</si>
  <si>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</si>
  <si>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</si>
  <si>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</si>
  <si>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</si>
  <si>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</si>
  <si>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</si>
  <si>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</si>
  <si>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</si>
  <si>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</si>
  <si>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</si>
  <si>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</si>
  <si>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</si>
  <si>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</si>
  <si>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</si>
  <si>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</si>
  <si>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</si>
  <si>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</si>
  <si>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</si>
  <si>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</si>
  <si>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</si>
  <si>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</si>
  <si>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</si>
  <si>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</si>
  <si>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</si>
  <si>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</si>
  <si>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</si>
  <si>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</si>
  <si>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</si>
  <si>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</si>
  <si>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</si>
  <si>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</si>
  <si>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</si>
  <si>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</si>
  <si>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</si>
  <si>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</si>
  <si>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</si>
  <si>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</si>
  <si>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</si>
  <si>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</si>
  <si>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</si>
  <si>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</si>
  <si>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</si>
  <si>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</si>
  <si>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</si>
  <si>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</si>
  <si>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</si>
  <si>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</si>
  <si>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</si>
  <si>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</si>
  <si>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</si>
  <si>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</si>
  <si>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</si>
  <si>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</si>
  <si>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</si>
  <si>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</si>
  <si>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</si>
  <si>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</si>
  <si>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</si>
  <si>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</si>
  <si>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</si>
  <si>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</si>
  <si>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</si>
  <si>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</si>
  <si>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</si>
  <si>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</si>
  <si>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</si>
  <si>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</si>
  <si>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</si>
  <si>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</si>
  <si>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</si>
  <si>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</si>
  <si>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</si>
  <si>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</si>
  <si>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</si>
  <si>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</si>
  <si>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</si>
  <si>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</si>
  <si>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</si>
  <si>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</si>
  <si>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</si>
  <si>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</si>
  <si>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</si>
  <si>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</si>
  <si>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</si>
  <si>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</si>
  <si>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</si>
  <si>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</si>
  <si>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</si>
  <si>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</si>
  <si>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</si>
  <si>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</si>
  <si>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</si>
  <si>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</si>
  <si>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</si>
  <si>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</si>
  <si>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</si>
  <si>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</si>
  <si>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</si>
  <si>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</si>
  <si>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</si>
  <si>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</si>
  <si>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</si>
  <si>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</si>
  <si>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</si>
  <si>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</si>
  <si>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</si>
  <si>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</si>
  <si>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</si>
  <si>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</si>
  <si>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</si>
  <si>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</si>
  <si>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</si>
  <si>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</si>
  <si>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</si>
  <si>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</si>
  <si>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</si>
  <si>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</si>
  <si>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</si>
  <si>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</si>
  <si>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</si>
  <si>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</si>
  <si>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</si>
  <si>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</si>
  <si>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</si>
  <si>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</si>
  <si>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</si>
  <si>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</si>
  <si>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</si>
  <si>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</si>
  <si>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</si>
  <si>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</si>
  <si>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</si>
  <si>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</si>
  <si>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</si>
  <si>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</si>
  <si>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</si>
  <si>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</si>
  <si>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</si>
  <si>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</si>
  <si>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</si>
  <si>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</si>
  <si>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</si>
  <si>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</si>
  <si>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</si>
  <si>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</si>
  <si>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</si>
  <si>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</si>
  <si>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</si>
  <si>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</si>
  <si>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</si>
  <si>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</si>
  <si>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</si>
  <si>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</si>
  <si>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</si>
  <si>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</si>
  <si>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</si>
  <si>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</si>
  <si>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</si>
  <si>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</si>
  <si>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</si>
  <si>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</si>
  <si>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</si>
  <si>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</si>
  <si>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</si>
  <si>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</si>
  <si>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</si>
  <si>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</si>
  <si>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</si>
  <si>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</si>
  <si>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</si>
  <si>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</si>
  <si>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</si>
  <si>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</si>
  <si>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</si>
  <si>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</si>
  <si>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</si>
  <si>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</si>
  <si>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</si>
  <si>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</si>
  <si>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</si>
  <si>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</si>
  <si>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</si>
  <si>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</si>
  <si>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</si>
  <si>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</si>
  <si>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</si>
  <si>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</si>
  <si>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</si>
  <si>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</si>
  <si>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</si>
  <si>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</si>
  <si>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</si>
  <si>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</si>
  <si>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</si>
  <si>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</si>
  <si>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</si>
  <si>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</si>
  <si>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</si>
  <si>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</si>
  <si>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</si>
  <si>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</si>
  <si>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</si>
  <si>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</si>
  <si>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</si>
  <si>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</si>
  <si>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</si>
  <si>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</si>
  <si>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</si>
  <si>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</si>
  <si>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</si>
  <si>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</si>
  <si>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</si>
  <si>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</si>
  <si>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</si>
  <si>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</si>
  <si>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</si>
  <si>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</si>
  <si>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</si>
  <si>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</si>
  <si>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</si>
  <si>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</si>
  <si>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</si>
  <si>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</si>
  <si>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</si>
  <si>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</si>
  <si>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</si>
  <si>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</si>
  <si>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</si>
  <si>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</si>
  <si>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</si>
  <si>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</si>
  <si>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</si>
  <si>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</si>
  <si>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</si>
  <si>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</si>
  <si>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</si>
  <si>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</si>
  <si>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</si>
  <si>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</si>
  <si>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</si>
  <si>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</si>
  <si>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</si>
  <si>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</si>
  <si>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</si>
  <si>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</si>
  <si>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</si>
  <si>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</si>
  <si>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</si>
  <si>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</si>
  <si>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</si>
  <si>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</si>
  <si>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</si>
  <si>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</si>
  <si>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</si>
  <si>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</si>
  <si>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</si>
  <si>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</si>
  <si>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</si>
  <si>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</si>
  <si>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</si>
  <si>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</si>
  <si>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</si>
  <si>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</si>
  <si>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</si>
  <si>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</si>
  <si>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</si>
  <si>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</si>
  <si>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</si>
  <si>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</si>
  <si>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</si>
  <si>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</si>
  <si>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</si>
  <si>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</si>
  <si>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</si>
  <si>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</si>
  <si>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</si>
  <si>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</si>
  <si>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</si>
  <si>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</si>
  <si>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</si>
  <si>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</si>
  <si>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</si>
  <si>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</si>
  <si>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</si>
  <si>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</si>
  <si>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</si>
  <si>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</si>
  <si>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</si>
  <si>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</si>
  <si>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</si>
  <si>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</si>
  <si>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</si>
  <si>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</si>
  <si>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</si>
  <si>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</si>
  <si>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</si>
  <si>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</si>
  <si>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</si>
  <si>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</si>
  <si>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</si>
  <si>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</si>
  <si>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</si>
  <si>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</si>
  <si>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</si>
  <si>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</si>
  <si>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</si>
  <si>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</si>
  <si>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</si>
  <si>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</si>
  <si>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</si>
  <si>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</si>
  <si>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</si>
  <si>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</si>
  <si>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</si>
  <si>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</si>
  <si>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</si>
  <si>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</si>
  <si>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</si>
  <si>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</si>
  <si>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</si>
  <si>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</si>
  <si>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</si>
  <si>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</si>
  <si>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</si>
  <si>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</si>
  <si>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</si>
  <si>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</si>
  <si>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</si>
  <si>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</si>
  <si>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</si>
  <si>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</si>
  <si>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</si>
  <si>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</si>
  <si>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</si>
  <si>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</si>
  <si>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</si>
  <si>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</si>
  <si>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</si>
  <si>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</si>
  <si>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</si>
  <si>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</si>
  <si>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</si>
  <si>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</si>
  <si>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</si>
  <si>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</si>
  <si>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</si>
  <si>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</si>
  <si>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</si>
  <si>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</si>
  <si>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</si>
  <si>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</si>
  <si>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</si>
  <si>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</si>
  <si>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</si>
  <si>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</si>
  <si>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</si>
  <si>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</si>
  <si>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</si>
  <si>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</si>
  <si>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</si>
  <si>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</si>
  <si>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</si>
  <si>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</si>
  <si>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</si>
  <si>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</si>
  <si>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</si>
  <si>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</si>
  <si>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</si>
  <si>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</si>
  <si>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</si>
  <si>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</si>
  <si>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</si>
  <si>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</si>
  <si>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</si>
  <si>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</si>
  <si>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</si>
  <si>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</si>
  <si>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</si>
  <si>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</si>
  <si>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</si>
  <si>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</si>
  <si>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</si>
  <si>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</si>
  <si>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</si>
  <si>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</si>
  <si>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</si>
  <si>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</si>
  <si>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</si>
  <si>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</si>
  <si>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</si>
  <si>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</si>
  <si>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</si>
  <si>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</si>
  <si>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</si>
  <si>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</si>
  <si>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</si>
  <si>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</si>
  <si>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</si>
  <si>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</si>
  <si>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</si>
  <si>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</si>
  <si>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</si>
  <si>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</si>
  <si>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</si>
  <si>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</si>
  <si>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</si>
  <si>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</si>
  <si>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</si>
  <si>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</si>
  <si>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</si>
  <si>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</si>
  <si>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</si>
  <si>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</si>
  <si>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</si>
  <si>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</si>
  <si>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</si>
  <si>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</si>
  <si>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</si>
  <si>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</si>
  <si>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</si>
  <si>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</si>
  <si>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</si>
  <si>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</si>
  <si>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</si>
  <si>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</si>
  <si>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</si>
  <si>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</si>
  <si>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</si>
  <si>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</si>
  <si>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</si>
  <si>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</si>
  <si>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</si>
  <si>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</si>
  <si>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</si>
  <si>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</si>
  <si>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</si>
  <si>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</si>
  <si>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</si>
  <si>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</si>
  <si>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</si>
  <si>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</si>
  <si>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</si>
  <si>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</si>
  <si>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</si>
  <si>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</si>
  <si>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</si>
  <si>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</si>
  <si>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</si>
  <si>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</si>
  <si>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</si>
  <si>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</si>
  <si>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</si>
  <si>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</si>
  <si>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</si>
  <si>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</si>
  <si>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</si>
  <si>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</si>
  <si>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</si>
  <si>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</si>
  <si>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</si>
  <si>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</si>
  <si>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</si>
  <si>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</si>
  <si>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</si>
  <si>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</si>
  <si>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</si>
  <si>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</si>
  <si>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</si>
  <si>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</si>
  <si>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</si>
  <si>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</si>
  <si>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</si>
  <si>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</si>
  <si>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</si>
  <si>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</si>
  <si>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</si>
  <si>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</si>
  <si>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</si>
  <si>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</si>
  <si>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</si>
  <si>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</si>
  <si>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</si>
  <si>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</si>
  <si>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</si>
  <si>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</si>
  <si>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</si>
  <si>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</si>
  <si>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</si>
  <si>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</si>
  <si>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</si>
  <si>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</si>
  <si>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</si>
  <si>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</si>
  <si>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</si>
  <si>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</si>
  <si>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</si>
  <si>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</si>
  <si>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</si>
  <si>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</si>
  <si>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</si>
  <si>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</si>
  <si>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</si>
  <si>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</si>
  <si>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</si>
  <si>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</si>
  <si>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</si>
  <si>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</si>
  <si>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</si>
  <si>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</si>
  <si>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</si>
  <si>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</si>
  <si>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</si>
  <si>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</si>
  <si>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</si>
  <si>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</si>
  <si>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</si>
  <si>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</si>
  <si>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</si>
  <si>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</si>
  <si>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</si>
  <si>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</si>
  <si>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</si>
  <si>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</si>
  <si>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</si>
  <si>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</si>
  <si>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</si>
  <si>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</si>
  <si>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</si>
  <si>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</si>
  <si>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</si>
  <si>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</si>
  <si>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</si>
  <si>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</si>
  <si>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</si>
  <si>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</si>
  <si>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</si>
  <si>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</si>
  <si>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</si>
  <si>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</si>
  <si>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</si>
  <si>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</si>
  <si>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</si>
  <si>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</si>
  <si>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</si>
  <si>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</si>
  <si>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</si>
  <si>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</si>
  <si>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</si>
  <si>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</si>
  <si>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</si>
  <si>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</si>
  <si>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</si>
  <si>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</si>
  <si>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</si>
  <si>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</si>
  <si>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</si>
  <si>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</si>
  <si>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</si>
  <si>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</si>
  <si>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</si>
  <si>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</si>
  <si>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</si>
  <si>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</si>
  <si>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</si>
  <si>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</si>
  <si>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</si>
  <si>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</si>
  <si>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</si>
  <si>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</si>
  <si>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</si>
  <si>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</si>
  <si>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</si>
  <si>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</si>
  <si>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</si>
  <si>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</si>
  <si>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</si>
  <si>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</si>
  <si>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</si>
  <si>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</si>
  <si>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</si>
  <si>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</si>
  <si>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</si>
  <si>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</si>
  <si>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</si>
  <si>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</si>
  <si>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</si>
  <si>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</si>
  <si>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</si>
  <si>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</si>
  <si>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</si>
  <si>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</si>
  <si>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</si>
  <si>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</si>
  <si>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</si>
  <si>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</si>
  <si>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</si>
  <si>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</si>
  <si>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</si>
  <si>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</si>
  <si>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</si>
  <si>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</si>
  <si>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</si>
  <si>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</si>
  <si>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</si>
  <si>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</si>
  <si>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</si>
  <si>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</si>
  <si>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</si>
  <si>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</si>
  <si>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</si>
  <si>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</si>
  <si>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</si>
  <si>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</si>
  <si>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</si>
  <si>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</si>
  <si>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</si>
  <si>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</si>
  <si>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</si>
  <si>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</si>
  <si>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</si>
  <si>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</si>
  <si>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</si>
  <si>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</si>
  <si>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</si>
  <si>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</si>
  <si>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</si>
  <si>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</si>
  <si>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</si>
  <si>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</si>
  <si>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</si>
  <si>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</si>
  <si>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</si>
  <si>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</si>
  <si>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</si>
  <si>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</si>
  <si>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</si>
  <si>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</si>
  <si>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</si>
  <si>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</si>
  <si>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</si>
  <si>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</si>
  <si>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</si>
  <si>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</si>
  <si>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</si>
  <si>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</si>
  <si>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</si>
  <si>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</si>
  <si>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</si>
  <si>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</si>
  <si>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</si>
  <si>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A2C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</si>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</sst>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_-* #,##0_-;\-* #,##0_-;_-* &quot;-&quot;??_-;_-@_-"/>
    <numFmt numFmtId="168" formatCode="_-* #,##0.0_-;\-* #,##0.0_-;_-* &quot;-&quot;??_-;_-@_-"/>
    <numFmt numFmtId="169" formatCode="dd/mm"/>
    <numFmt numFmtId="170" formatCode="[$-409]d\-mmm\-yy;@"/>
    <numFmt numFmtId="171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43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43" fontId="5" fillId="0" borderId="0" xfId="2" applyFont="1" applyAlignment="1">
      <alignment horizontal="center" vertical="center" wrapText="1"/>
    </xf>
    <xf numFmtId="165" fontId="6" fillId="0" borderId="11" xfId="3" applyNumberFormat="1" applyFont="1" applyBorder="1"/>
    <xf numFmtId="165" fontId="6" fillId="0" borderId="12" xfId="3" applyNumberFormat="1" applyFont="1" applyBorder="1"/>
    <xf numFmtId="0" fontId="7" fillId="0" borderId="15" xfId="1" applyFont="1" applyBorder="1"/>
    <xf numFmtId="165" fontId="7" fillId="0" borderId="16" xfId="1" applyNumberFormat="1" applyFont="1" applyBorder="1"/>
    <xf numFmtId="166" fontId="7" fillId="0" borderId="16" xfId="3" applyNumberFormat="1" applyFont="1" applyBorder="1"/>
    <xf numFmtId="165" fontId="8" fillId="0" borderId="16" xfId="1" applyNumberFormat="1" applyFont="1" applyBorder="1"/>
    <xf numFmtId="164" fontId="8" fillId="0" borderId="16" xfId="1" applyNumberFormat="1" applyFont="1" applyBorder="1"/>
    <xf numFmtId="165" fontId="8" fillId="0" borderId="17" xfId="1" applyNumberFormat="1" applyFont="1" applyBorder="1"/>
    <xf numFmtId="164" fontId="8" fillId="0" borderId="18" xfId="1" applyNumberFormat="1" applyFont="1" applyBorder="1"/>
    <xf numFmtId="164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6" fontId="7" fillId="0" borderId="0" xfId="3" applyNumberFormat="1" applyFont="1" applyBorder="1"/>
    <xf numFmtId="165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5" fontId="6" fillId="0" borderId="16" xfId="1" applyNumberFormat="1" applyFont="1" applyBorder="1"/>
    <xf numFmtId="165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164" fontId="6" fillId="0" borderId="11" xfId="4" applyFont="1" applyBorder="1"/>
    <xf numFmtId="164" fontId="6" fillId="0" borderId="22" xfId="4" applyFont="1" applyBorder="1"/>
    <xf numFmtId="164" fontId="6" fillId="0" borderId="0" xfId="4" applyFont="1" applyFill="1" applyBorder="1"/>
    <xf numFmtId="165" fontId="6" fillId="0" borderId="11" xfId="4" applyNumberFormat="1" applyFont="1" applyBorder="1"/>
    <xf numFmtId="165" fontId="6" fillId="0" borderId="22" xfId="4" applyNumberFormat="1" applyFont="1" applyBorder="1"/>
    <xf numFmtId="165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5" fontId="6" fillId="0" borderId="24" xfId="4" applyNumberFormat="1" applyFont="1" applyBorder="1"/>
    <xf numFmtId="165" fontId="6" fillId="0" borderId="25" xfId="4" applyNumberFormat="1" applyFont="1" applyBorder="1"/>
    <xf numFmtId="0" fontId="6" fillId="0" borderId="20" xfId="1" applyFont="1" applyBorder="1"/>
    <xf numFmtId="164" fontId="6" fillId="0" borderId="16" xfId="4" applyFont="1" applyBorder="1"/>
    <xf numFmtId="164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164" fontId="2" fillId="0" borderId="11" xfId="4" applyFont="1" applyBorder="1"/>
    <xf numFmtId="164" fontId="2" fillId="0" borderId="0" xfId="4" applyFont="1" applyBorder="1"/>
    <xf numFmtId="165" fontId="2" fillId="0" borderId="11" xfId="4" applyNumberFormat="1" applyFont="1" applyBorder="1"/>
    <xf numFmtId="165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7" fontId="2" fillId="0" borderId="0" xfId="2" applyNumberFormat="1" applyFont="1"/>
    <xf numFmtId="0" fontId="2" fillId="0" borderId="27" xfId="1" applyBorder="1"/>
    <xf numFmtId="165" fontId="2" fillId="0" borderId="27" xfId="1" applyNumberFormat="1" applyBorder="1"/>
    <xf numFmtId="168" fontId="2" fillId="0" borderId="27" xfId="5" applyNumberFormat="1" applyFont="1" applyBorder="1"/>
    <xf numFmtId="0" fontId="5" fillId="2" borderId="11" xfId="1" applyFont="1" applyFill="1" applyBorder="1"/>
    <xf numFmtId="169" fontId="5" fillId="2" borderId="11" xfId="1" applyNumberFormat="1" applyFont="1" applyFill="1" applyBorder="1" applyAlignment="1">
      <alignment horizontal="center" vertical="center"/>
    </xf>
    <xf numFmtId="169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164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5" fontId="6" fillId="0" borderId="11" xfId="4" applyNumberFormat="1" applyFont="1" applyBorder="1" applyAlignment="1">
      <alignment wrapText="1"/>
    </xf>
    <xf numFmtId="165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41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41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41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41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41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17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0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0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6" fontId="29" fillId="7" borderId="11" xfId="3" applyNumberFormat="1" applyFont="1" applyFill="1" applyBorder="1" applyAlignment="1" applyProtection="1">
      <alignment horizontal="left" vertical="center"/>
      <protection locked="0"/>
    </xf>
    <xf numFmtId="166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1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0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6" fontId="22" fillId="5" borderId="24" xfId="3" applyNumberFormat="1" applyFont="1" applyFill="1" applyBorder="1" applyAlignment="1" applyProtection="1">
      <alignment horizontal="left" vertical="center"/>
      <protection locked="0"/>
    </xf>
    <xf numFmtId="166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1" fontId="22" fillId="0" borderId="24" xfId="3" applyNumberFormat="1" applyFont="1" applyFill="1" applyBorder="1" applyAlignment="1" applyProtection="1">
      <alignment horizontal="center" vertical="center"/>
      <protection locked="0"/>
    </xf>
    <xf numFmtId="166" fontId="22" fillId="0" borderId="24" xfId="3" applyNumberFormat="1" applyFont="1" applyFill="1" applyBorder="1" applyAlignment="1" applyProtection="1">
      <alignment horizontal="left" vertical="center"/>
      <protection locked="0"/>
    </xf>
    <xf numFmtId="166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0" fontId="22" fillId="0" borderId="24" xfId="0" applyNumberFormat="1" applyFont="1" applyBorder="1" applyAlignment="1" applyProtection="1">
      <alignment horizontal="center" vertical="center"/>
      <protection locked="0"/>
    </xf>
    <xf numFmtId="170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0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6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6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0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4" fontId="20" fillId="7" borderId="24" xfId="3" applyFont="1" applyFill="1" applyBorder="1" applyAlignment="1" applyProtection="1">
      <alignment horizontal="left" vertical="center" wrapText="1" indent="1"/>
      <protection locked="0"/>
    </xf>
    <xf numFmtId="166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1" fontId="20" fillId="7" borderId="24" xfId="3" applyNumberFormat="1" applyFont="1" applyFill="1" applyBorder="1" applyAlignment="1" applyProtection="1">
      <alignment horizontal="center" vertical="center"/>
      <protection locked="0"/>
    </xf>
    <xf numFmtId="166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6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4" fontId="20" fillId="10" borderId="24" xfId="3" applyFont="1" applyFill="1" applyBorder="1" applyAlignment="1" applyProtection="1">
      <alignment horizontal="left" vertical="center" wrapText="1" indent="1"/>
      <protection locked="0"/>
    </xf>
    <xf numFmtId="166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1" fontId="20" fillId="10" borderId="24" xfId="3" applyNumberFormat="1" applyFont="1" applyFill="1" applyBorder="1" applyAlignment="1" applyProtection="1">
      <alignment horizontal="center" vertical="center"/>
      <protection locked="0"/>
    </xf>
    <xf numFmtId="166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6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0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164" fontId="22" fillId="5" borderId="24" xfId="3" applyFont="1" applyFill="1" applyBorder="1" applyAlignment="1" applyProtection="1">
      <alignment horizontal="left" vertical="center" wrapText="1" indent="1"/>
      <protection locked="0"/>
    </xf>
    <xf numFmtId="166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1" fontId="22" fillId="5" borderId="24" xfId="3" applyNumberFormat="1" applyFont="1" applyFill="1" applyBorder="1" applyAlignment="1" applyProtection="1">
      <alignment horizontal="center" vertical="center"/>
      <protection locked="0"/>
    </xf>
    <xf numFmtId="166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0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164" fontId="22" fillId="0" borderId="24" xfId="3" applyFont="1" applyFill="1" applyBorder="1" applyAlignment="1" applyProtection="1">
      <alignment horizontal="left" vertical="center" wrapText="1" indent="1"/>
      <protection locked="0"/>
    </xf>
    <xf numFmtId="166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0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164" fontId="22" fillId="4" borderId="24" xfId="3" applyFont="1" applyFill="1" applyBorder="1" applyAlignment="1" applyProtection="1">
      <alignment horizontal="left" vertical="center" wrapText="1" indent="1"/>
      <protection locked="0"/>
    </xf>
    <xf numFmtId="166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1" fontId="22" fillId="4" borderId="24" xfId="3" applyNumberFormat="1" applyFont="1" applyFill="1" applyBorder="1" applyAlignment="1" applyProtection="1">
      <alignment horizontal="center" vertical="center"/>
      <protection locked="0"/>
    </xf>
    <xf numFmtId="166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164" fontId="20" fillId="7" borderId="24" xfId="3" applyFont="1" applyFill="1" applyBorder="1" applyAlignment="1" applyProtection="1">
      <alignment horizontal="left" vertical="center" indent="1"/>
      <protection locked="0"/>
    </xf>
    <xf numFmtId="166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0" fontId="12" fillId="0" borderId="24" xfId="0" applyNumberFormat="1" applyFont="1" applyBorder="1" applyAlignment="1" applyProtection="1">
      <alignment horizontal="center" vertical="center"/>
      <protection locked="0"/>
    </xf>
    <xf numFmtId="170" fontId="12" fillId="5" borderId="24" xfId="0" applyNumberFormat="1" applyFont="1" applyFill="1" applyBorder="1" applyAlignment="1" applyProtection="1">
      <alignment horizontal="center" vertical="center"/>
      <protection locked="0"/>
    </xf>
    <xf numFmtId="166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6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0" fontId="22" fillId="0" borderId="24" xfId="0" applyNumberFormat="1" applyFont="1" applyBorder="1" applyAlignment="1" applyProtection="1">
      <alignment horizontal="center" vertical="center" wrapText="1"/>
      <protection locked="0"/>
    </xf>
    <xf numFmtId="170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64" fontId="20" fillId="7" borderId="24" xfId="3" applyFont="1" applyFill="1" applyBorder="1" applyAlignment="1" applyProtection="1">
      <alignment horizontal="center" vertical="center" wrapText="1"/>
      <protection locked="0"/>
    </xf>
    <xf numFmtId="166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4" fontId="22" fillId="0" borderId="24" xfId="3" applyFont="1" applyFill="1" applyBorder="1" applyAlignment="1" applyProtection="1">
      <alignment horizontal="center" vertical="center" wrapText="1"/>
      <protection locked="0"/>
    </xf>
    <xf numFmtId="166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6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0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6" fontId="20" fillId="7" borderId="11" xfId="0" applyNumberFormat="1" applyFont="1" applyFill="1" applyBorder="1" applyAlignment="1" applyProtection="1">
      <alignment horizontal="center" vertical="center"/>
      <protection locked="0"/>
    </xf>
    <xf numFmtId="170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0" fontId="32" fillId="4" borderId="24" xfId="0" applyNumberFormat="1" applyFont="1" applyFill="1" applyBorder="1" applyAlignment="1" applyProtection="1">
      <alignment horizontal="center" vertical="center"/>
      <protection locked="0"/>
    </xf>
    <xf numFmtId="166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SDM_A5C_1-1D_P21</v>
          </cell>
          <cell r="J3">
            <v>1</v>
          </cell>
        </row>
        <row r="4">
          <cell r="D4" t="str">
            <v>SDM_A5C_6-1_P11</v>
          </cell>
          <cell r="J4">
            <v>2</v>
          </cell>
        </row>
        <row r="5">
          <cell r="D5" t="str">
            <v>SDM_A5C_7-1_P12</v>
          </cell>
          <cell r="J5">
            <v>2</v>
          </cell>
        </row>
        <row r="6">
          <cell r="D6" t="str">
            <v>SDM_A5C_2-1C_P19</v>
          </cell>
          <cell r="J6">
            <v>2</v>
          </cell>
        </row>
        <row r="7">
          <cell r="D7" t="str">
            <v>SDM_A5C_3-1C_P20</v>
          </cell>
          <cell r="J7">
            <v>2</v>
          </cell>
        </row>
        <row r="8">
          <cell r="D8" t="str">
            <v>SDM_A5C_1-1D_P22</v>
          </cell>
          <cell r="J8">
            <v>1</v>
          </cell>
        </row>
        <row r="9">
          <cell r="D9" t="str">
            <v>SDM_A5C_1-1C_P24</v>
          </cell>
          <cell r="J9">
            <v>2</v>
          </cell>
        </row>
        <row r="10">
          <cell r="D10" t="str">
            <v>SDM_A5C_4-1C_P8</v>
          </cell>
          <cell r="J10">
            <v>1</v>
          </cell>
        </row>
        <row r="11">
          <cell r="D11" t="str">
            <v>SDM_A5C_4-1D_P8</v>
          </cell>
          <cell r="J11">
            <v>1</v>
          </cell>
        </row>
        <row r="12">
          <cell r="D12" t="str">
            <v>SDM_A5C_1-1E_P29</v>
          </cell>
          <cell r="J12">
            <v>1</v>
          </cell>
        </row>
        <row r="13">
          <cell r="D13" t="str">
            <v>SDM_A5C_3-1A_P9</v>
          </cell>
          <cell r="J13">
            <v>2</v>
          </cell>
        </row>
        <row r="14">
          <cell r="D14" t="str">
            <v>SDM_A5C_1-1A_P2</v>
          </cell>
          <cell r="J14">
            <v>2</v>
          </cell>
        </row>
        <row r="15">
          <cell r="D15" t="str">
            <v>SDM_A5C_5-1_P5</v>
          </cell>
          <cell r="J15">
            <v>2</v>
          </cell>
        </row>
        <row r="16">
          <cell r="D16" t="str">
            <v>SDM_A5C_2-1A_P6</v>
          </cell>
          <cell r="J16">
            <v>6</v>
          </cell>
        </row>
        <row r="17">
          <cell r="D17" t="str">
            <v>SDM_A5C_3-1A_P12</v>
          </cell>
          <cell r="J17">
            <v>6</v>
          </cell>
        </row>
        <row r="18">
          <cell r="D18" t="str">
            <v>SDM_A5C_1-1A_P12</v>
          </cell>
          <cell r="J18">
            <v>8</v>
          </cell>
        </row>
        <row r="19">
          <cell r="D19" t="str">
            <v>SDM_A5C_7-1_P8</v>
          </cell>
          <cell r="J19">
            <v>1</v>
          </cell>
        </row>
        <row r="20">
          <cell r="D20" t="str">
            <v>SDM_A5C_7-1_P4</v>
          </cell>
          <cell r="J20">
            <v>3</v>
          </cell>
        </row>
        <row r="21">
          <cell r="D21" t="str">
            <v>SDM_A5C_2-1A_P5</v>
          </cell>
          <cell r="J21">
            <v>6</v>
          </cell>
        </row>
        <row r="22">
          <cell r="D22" t="str">
            <v>SDM_A5C_4-1A_P5</v>
          </cell>
          <cell r="J22">
            <v>14</v>
          </cell>
        </row>
        <row r="23">
          <cell r="D23" t="str">
            <v>SDM_A5C_5-1_P15</v>
          </cell>
          <cell r="J23">
            <v>2</v>
          </cell>
        </row>
        <row r="24">
          <cell r="D24" t="str">
            <v>SDM_A5C_5-1_P13</v>
          </cell>
          <cell r="J24">
            <v>2</v>
          </cell>
        </row>
        <row r="25">
          <cell r="D25" t="str">
            <v>SDM_A5C_6-1_P9</v>
          </cell>
          <cell r="J25">
            <v>4</v>
          </cell>
        </row>
        <row r="26">
          <cell r="D26" t="str">
            <v>SDM_A5C_6-1_P13</v>
          </cell>
          <cell r="J26">
            <v>5</v>
          </cell>
        </row>
        <row r="27">
          <cell r="D27" t="str">
            <v>SDM_A5C_6-1_P10</v>
          </cell>
          <cell r="J27">
            <v>6</v>
          </cell>
        </row>
        <row r="28">
          <cell r="D28" t="str">
            <v>SDM_A5C_7-1_P11</v>
          </cell>
          <cell r="J28">
            <v>10</v>
          </cell>
        </row>
        <row r="29">
          <cell r="D29" t="str">
            <v>SDM_A5C_7-1_P10</v>
          </cell>
          <cell r="J29">
            <v>2</v>
          </cell>
        </row>
        <row r="30">
          <cell r="D30" t="str">
            <v>SDM_A22_P3</v>
          </cell>
          <cell r="J30">
            <v>1</v>
          </cell>
        </row>
        <row r="31">
          <cell r="D31" t="str">
            <v>SDM_A5C_1-1D_P20</v>
          </cell>
          <cell r="J31">
            <v>1</v>
          </cell>
        </row>
        <row r="32">
          <cell r="D32" t="str">
            <v>SDM_A22_P2</v>
          </cell>
          <cell r="J32">
            <v>2</v>
          </cell>
        </row>
        <row r="33">
          <cell r="D33" t="str">
            <v>SDM_A5C_1-1D_P19</v>
          </cell>
          <cell r="J33">
            <v>2</v>
          </cell>
        </row>
        <row r="34">
          <cell r="D34" t="str">
            <v>SDM_A5C_5-1_P17</v>
          </cell>
          <cell r="J34">
            <v>1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tabSelected="1" view="pageBreakPreview" zoomScaleNormal="100" zoomScaleSheetLayoutView="100" workbookViewId="0">
      <selection activeCell="J9" sqref="J9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216009.30670000002</v>
      </c>
      <c r="G3" s="94">
        <f>SUM(G4:G23)</f>
        <v>118027.95674611475</v>
      </c>
      <c r="H3" s="94">
        <f>SUM(H4:H23)</f>
        <v>60524.403350000008</v>
      </c>
      <c r="I3" s="95">
        <f>IFERROR(F3/E3," ")</f>
        <v>0.64666230489235688</v>
      </c>
      <c r="J3" s="94">
        <f>SUM(J4:J23)</f>
        <v>51008.607039999988</v>
      </c>
      <c r="K3" s="96">
        <f>SUM(K4:K23)</f>
        <v>9515.7963100000197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94960.500000000015</v>
      </c>
      <c r="G4" s="100">
        <f>+E4-F4</f>
        <v>45127.100000000079</v>
      </c>
      <c r="H4" s="100"/>
      <c r="I4" s="101">
        <f t="shared" ref="I4:I23" si="0">IFERROR(F4/E4," ")</f>
        <v>0.67786513581501828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121048.80670000002</v>
      </c>
      <c r="G5" s="100">
        <f t="shared" ref="G5:G7" si="1">+E5-F5</f>
        <v>72900.856746114674</v>
      </c>
      <c r="H5" s="100">
        <f>+F5*0.5</f>
        <v>60524.403350000008</v>
      </c>
      <c r="I5" s="101">
        <f t="shared" si="0"/>
        <v>0.62412486079735419</v>
      </c>
      <c r="J5" s="100">
        <f>[2]Progress!$BH$4</f>
        <v>51008.607039999988</v>
      </c>
      <c r="K5" s="102">
        <f t="shared" ref="K5:K23" si="2">IF(H5-J5&lt;0,0,H5-J5)</f>
        <v>9515.7963100000197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C332"/>
  <sheetViews>
    <sheetView zoomScale="85" zoomScaleNormal="85" workbookViewId="0">
      <pane xSplit="13" ySplit="29" topLeftCell="AH30" activePane="bottomRight" state="frozen"/>
      <selection activeCell="O42" sqref="O42"/>
      <selection pane="topRight" activeCell="O42" sqref="O42"/>
      <selection pane="bottomLeft" activeCell="O42" sqref="O42"/>
      <selection pane="bottomRight" activeCell="AJ351" sqref="AJ35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2" width="6.875" style="3" customWidth="1"/>
    <col min="43" max="43" width="7.25" style="3" customWidth="1"/>
    <col min="44" max="44" width="8.625" style="3" customWidth="1"/>
    <col min="45" max="45" width="9.875" style="3" customWidth="1"/>
    <col min="46" max="46" width="8.625" style="3" customWidth="1"/>
    <col min="47" max="47" width="8.75" style="3" customWidth="1"/>
    <col min="48" max="48" width="7.5" style="3" customWidth="1"/>
    <col min="49" max="51" width="9" style="3" customWidth="1"/>
    <col min="52" max="52" width="8.75" style="3" customWidth="1"/>
    <col min="53" max="53" width="8.625" style="3" customWidth="1"/>
    <col min="54" max="55" width="9" style="3" customWidth="1"/>
    <col min="56" max="16384" width="8.75" style="3"/>
  </cols>
  <sheetData>
    <row r="1" spans="4:43" ht="19.5">
      <c r="D1" s="1" t="s">
        <v>818</v>
      </c>
      <c r="E1" s="2"/>
      <c r="F1" s="2"/>
      <c r="G1" s="2"/>
      <c r="H1" s="2"/>
    </row>
    <row r="2" spans="4:43" ht="13.5" thickBot="1"/>
    <row r="3" spans="4:4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</row>
    <row r="4" spans="4:4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5"/>
    </row>
    <row r="5" spans="4:43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475</v>
      </c>
      <c r="N5" s="30">
        <f>H8</f>
        <v>94960.500000000015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</row>
    <row r="6" spans="4:43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475</v>
      </c>
      <c r="H6" s="26" cm="1">
        <f t="array" ref="H6">SUMPRODUCT(--($C$30:$C$332=$D6),$L$30:$L$332,$J$30:$J$332)</f>
        <v>94960.500000000015</v>
      </c>
      <c r="I6" s="26" cm="1">
        <f t="array" ref="I6">SUMPRODUCT(--($C$30:$C$332=$D6),$M$30:$M$332)</f>
        <v>290</v>
      </c>
      <c r="J6" s="27" cm="1">
        <f t="array" ref="J6">SUMPRODUCT(--($C$30:$C$332=$D6),$M$30:$M$332,$J$30:$J$332)</f>
        <v>45127.1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</row>
    <row r="7" spans="4:43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3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475</v>
      </c>
      <c r="H8" s="41">
        <f t="shared" si="0"/>
        <v>94960.500000000015</v>
      </c>
      <c r="I8" s="41">
        <f t="shared" si="0"/>
        <v>290</v>
      </c>
      <c r="J8" s="42">
        <f t="shared" si="0"/>
        <v>45127.1</v>
      </c>
    </row>
    <row r="9" spans="4:43" ht="13.5" hidden="1" outlineLevel="1" thickTop="1"/>
    <row r="10" spans="4:43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3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</row>
    <row r="12" spans="4:43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</row>
    <row r="13" spans="4:43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4:43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</row>
    <row r="15" spans="4:43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4:43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</row>
    <row r="17" spans="3:55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3:55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</row>
    <row r="19" spans="3:55" ht="13.5" hidden="1" outlineLevel="1" thickTop="1"/>
    <row r="20" spans="3:55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5" ht="13.5" hidden="1" outlineLevel="1" thickTop="1">
      <c r="D21" s="63" t="s">
        <v>13</v>
      </c>
      <c r="E21" s="64" t="e" cm="1">
        <f t="array" ref="E21:M21">_xlfn._xlws.SORT(MID(TRANSPOSE(_xlfn.UNIQUE(_xlfn._xlws.FILTER(AT30:AT332,(C30:C332=$D$21)*(M30:M332&lt;&gt;0)))),3,3),,1)</f>
        <v>#VALUE!</v>
      </c>
      <c r="F21" s="64" t="str">
        <v>10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</row>
    <row r="22" spans="3:55" ht="30.75" hidden="1" customHeight="1" outlineLevel="2">
      <c r="D22" s="66" t="s">
        <v>24</v>
      </c>
      <c r="E22" s="67" t="e" cm="1">
        <f t="array" ref="E22">SUMPRODUCT(--($C$30:$C$332=$D$21),--($AT$30:$AT$332="PL"&amp;E$21),$J$30:$J$332,$I$30:$I$332)/(7.85*E$21)</f>
        <v>#VALUE!</v>
      </c>
      <c r="F22" s="67" t="e" cm="1">
        <f t="array" ref="F22">SUMPRODUCT(--($C$30:$C$332=$D$21),--($AT$30:$AT$332="PL"&amp;F$21),$J$30:$J$332,$I$30:$I$332)/(7.85*F$21)</f>
        <v>#VALUE!</v>
      </c>
      <c r="G22" s="67" t="e" cm="1">
        <f t="array" ref="G22">SUMPRODUCT(--($C$30:$C$332=$D$21),--($AT$30:$AT$332="PL"&amp;G$21),$J$30:$J$332,$I$30:$I$332)/(7.85*G$21)</f>
        <v>#VALUE!</v>
      </c>
      <c r="H22" s="67" t="e" cm="1">
        <f t="array" ref="H22">SUMPRODUCT(--($C$30:$C$332=$D$21),--($AT$30:$AT$332="PL"&amp;H$21),$J$30:$J$332,$I$30:$I$332)/(7.85*H$21)</f>
        <v>#VALUE!</v>
      </c>
      <c r="I22" s="67" t="e" cm="1">
        <f t="array" ref="I22">SUMPRODUCT(--($C$30:$C$332=$D$21),--($AT$30:$AT$332="PL"&amp;I$21),$J$30:$J$332,$I$30:$I$332)/(7.85*I$21)</f>
        <v>#VALUE!</v>
      </c>
      <c r="J22" s="67" t="e" cm="1">
        <f t="array" ref="J22">SUMPRODUCT(--($C$30:$C$332=$D$21),--($AT$30:$AT$332="PL"&amp;J$21),$J$30:$J$332,$I$30:$I$332)/(7.85*J$21)</f>
        <v>#VALUE!</v>
      </c>
      <c r="K22" s="67" t="e" cm="1">
        <f t="array" ref="K22">SUMPRODUCT(--($C$30:$C$332=$D$21),--($AT$30:$AT$332="PL"&amp;K$21),$J$30:$J$332,$I$30:$I$332)/(7.85*K$21)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3:55" ht="21" hidden="1" customHeight="1" outlineLevel="2">
      <c r="D23" s="66" t="s">
        <v>17</v>
      </c>
      <c r="E23" s="69" t="e" cm="1">
        <f t="array" ref="E23">SUMPRODUCT(--($C$30:$C$332=$D$21),--($AT$30:$AT$332="PL"&amp;E$21),$I$30:$I$332)</f>
        <v>#VALUE!</v>
      </c>
      <c r="F23" s="69" t="e" cm="1">
        <f t="array" ref="F23">SUMPRODUCT(--($C$30:$C$332=$D$21),--($AT$30:$AT$332="PL"&amp;F$21),$I$30:$I$332)</f>
        <v>#VALUE!</v>
      </c>
      <c r="G23" s="69" t="e" cm="1">
        <f t="array" ref="G23">SUMPRODUCT(--($C$30:$C$332=$D$21),--($AT$30:$AT$332="PL"&amp;G$21),$I$30:$I$332)</f>
        <v>#VALUE!</v>
      </c>
      <c r="H23" s="69" t="e" cm="1">
        <f t="array" ref="H23">SUMPRODUCT(--($C$30:$C$332=$D$21),--($AT$30:$AT$332="PL"&amp;H$21),$I$30:$I$332)</f>
        <v>#VALUE!</v>
      </c>
      <c r="I23" s="69" t="e" cm="1">
        <f t="array" ref="I23">SUMPRODUCT(--($C$30:$C$332=$D$21),--($AT$30:$AT$332="PL"&amp;I$21),$I$30:$I$332)</f>
        <v>#VALUE!</v>
      </c>
      <c r="J23" s="69" t="e" cm="1">
        <f t="array" ref="J23">SUMPRODUCT(--($C$30:$C$332=$D$21),--($AT$30:$AT$332="PL"&amp;J$21),$I$30:$I$332)</f>
        <v>#VALUE!</v>
      </c>
      <c r="K23" s="69" t="e" cm="1">
        <f t="array" ref="K23">SUMPRODUCT(--($C$30:$C$332=$D$21),--($AT$30:$AT$332="PL"&amp;K$21),$I$30:$I$332)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</row>
    <row r="24" spans="3:55" ht="25.9" hidden="1" customHeight="1" outlineLevel="2">
      <c r="D24" s="66" t="s">
        <v>25</v>
      </c>
      <c r="E24" s="67" t="e" cm="1">
        <f t="array" ref="E24">SUMPRODUCT(--($C$30:$C$332=$D$21),--($AT$30:$AT$332="PL"&amp;E$21),$J$30:$J$332,$M$30:$M$332)/(7.85*E$21)</f>
        <v>#VALUE!</v>
      </c>
      <c r="F24" s="67" t="e" cm="1">
        <f t="array" ref="F24">SUMPRODUCT(--($C$30:$C$332=$D$21),--($AT$30:$AT$332="PL"&amp;F$21),$J$30:$J$332,$M$30:$M$332)/(7.85*F$21)</f>
        <v>#VALUE!</v>
      </c>
      <c r="G24" s="67" t="e" cm="1">
        <f t="array" ref="G24">SUMPRODUCT(--($C$30:$C$332=$D$21),--($AT$30:$AT$332="PL"&amp;G$21),$J$30:$J$332,$M$30:$M$332)/(7.85*G$21)</f>
        <v>#VALUE!</v>
      </c>
      <c r="H24" s="67" t="e" cm="1">
        <f t="array" ref="H24">SUMPRODUCT(--($C$30:$C$332=$D$21),--($AT$30:$AT$332="PL"&amp;H$21),$J$30:$J$332,$M$30:$M$332)/(7.85*H$21)</f>
        <v>#VALUE!</v>
      </c>
      <c r="I24" s="67" t="e" cm="1">
        <f t="array" ref="I24">SUMPRODUCT(--($C$30:$C$332=$D$21),--($AT$30:$AT$332="PL"&amp;I$21),$J$30:$J$332,$M$30:$M$332)/(7.85*I$21)</f>
        <v>#VALUE!</v>
      </c>
      <c r="J24" s="67" t="e" cm="1">
        <f t="array" ref="J24">SUMPRODUCT(--($C$30:$C$332=$D$21),--($AT$30:$AT$332="PL"&amp;J$21),$J$30:$J$332,$M$30:$M$332)/(7.85*J$21)</f>
        <v>#VALUE!</v>
      </c>
      <c r="K24" s="67" t="e" cm="1">
        <f t="array" ref="K24">SUMPRODUCT(--($C$30:$C$332=$D$21),--($AT$30:$AT$332="PL"&amp;K$21),$J$30:$J$332,$M$30:$M$332)/(7.85*K$21)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3:55" ht="19.5" hidden="1" customHeight="1" outlineLevel="2">
      <c r="D25" s="71" t="s">
        <v>26</v>
      </c>
      <c r="E25" s="69" t="e" cm="1">
        <f t="array" ref="E25">SUMPRODUCT(--($C$30:$C$332=$D$21),--($AT$30:$AT$332="PL"&amp;E$21),$M$30:$M$332)</f>
        <v>#VALUE!</v>
      </c>
      <c r="F25" s="69" t="e" cm="1">
        <f t="array" ref="F25">SUMPRODUCT(--($C$30:$C$332=$D$21),--($AT$30:$AT$332="PL"&amp;F$21),$M$30:$M$332)</f>
        <v>#VALUE!</v>
      </c>
      <c r="G25" s="69" t="e" cm="1">
        <f t="array" ref="G25">SUMPRODUCT(--($C$30:$C$332=$D$21),--($AT$30:$AT$332="PL"&amp;G$21),$M$30:$M$332)</f>
        <v>#VALUE!</v>
      </c>
      <c r="H25" s="69" t="e" cm="1">
        <f t="array" ref="H25">SUMPRODUCT(--($C$30:$C$332=$D$21),--($AT$30:$AT$332="PL"&amp;H$21),$M$30:$M$332)</f>
        <v>#VALUE!</v>
      </c>
      <c r="I25" s="69" t="e" cm="1">
        <f t="array" ref="I25">SUMPRODUCT(--($C$30:$C$332=$D$21),--($AT$30:$AT$332="PL"&amp;I$21),$M$30:$M$332)</f>
        <v>#VALUE!</v>
      </c>
      <c r="J25" s="69" t="e" cm="1">
        <f t="array" ref="J25">SUMPRODUCT(--($C$30:$C$332=$D$21),--($AT$30:$AT$332="PL"&amp;J$21),$M$30:$M$332)</f>
        <v>#VALUE!</v>
      </c>
      <c r="K25" s="69" t="e" cm="1">
        <f t="array" ref="K25">SUMPRODUCT(--($C$30:$C$332=$D$21),--($AT$30:$AT$332="PL"&amp;K$21),$M$30:$M$332)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</row>
    <row r="26" spans="3:55" ht="25.9" hidden="1" customHeight="1" outlineLevel="1" collapsed="1" thickBot="1">
      <c r="D26" s="72" t="s">
        <v>27</v>
      </c>
      <c r="E26" s="67" t="e" cm="1">
        <f t="array" ref="E26">SUMPRODUCT(--($C$30:$C$332=$D$21),--($AT$30:$AT$332="PL"&amp;E$21),$J$30:$J$332,$M$30:$M$332)</f>
        <v>#VALUE!</v>
      </c>
      <c r="F26" s="67" t="e" cm="1">
        <f t="array" ref="F26">SUMPRODUCT(--($C$30:$C$332=$D$21),--($AT$30:$AT$332="PL"&amp;F$21),$J$30:$J$332,$M$30:$M$332)</f>
        <v>#VALUE!</v>
      </c>
      <c r="G26" s="67" t="e" cm="1">
        <f t="array" ref="G26">SUMPRODUCT(--($C$30:$C$332=$D$21),--($AT$30:$AT$332="PL"&amp;G$21),$J$30:$J$332,$M$30:$M$332)</f>
        <v>#VALUE!</v>
      </c>
      <c r="H26" s="67" t="e" cm="1">
        <f t="array" ref="H26">SUMPRODUCT(--($C$30:$C$332=$D$21),--($AT$30:$AT$332="PL"&amp;H$21),$J$30:$J$332,$M$30:$M$332)</f>
        <v>#VALUE!</v>
      </c>
      <c r="I26" s="67" t="e" cm="1">
        <f t="array" ref="I26">SUMPRODUCT(--($C$30:$C$332=$D$21),--($AT$30:$AT$332="PL"&amp;I$21),$J$30:$J$332,$M$30:$M$332)</f>
        <v>#VALUE!</v>
      </c>
      <c r="J26" s="67" t="e" cm="1">
        <f t="array" ref="J26">SUMPRODUCT(--($C$30:$C$332=$D$21),--($AT$30:$AT$332="PL"&amp;J$21),$J$30:$J$332,$M$30:$M$332)</f>
        <v>#VALUE!</v>
      </c>
      <c r="K26" s="67" t="e" cm="1">
        <f t="array" ref="K26">SUMPRODUCT(--($C$30:$C$332=$D$21),--($AT$30:$AT$332="PL"&amp;K$21),$J$30:$J$332,$M$30:$M$332)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3:55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0</v>
      </c>
      <c r="AR27" s="73" cm="1">
        <f t="array" ref="AR27">SUMPRODUCT($J$30:$J$332,AR30:AR332,--(AR30:AR332&lt;&gt;""))</f>
        <v>0</v>
      </c>
    </row>
    <row r="28" spans="3:5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Q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si="1"/>
        <v>0</v>
      </c>
      <c r="AR28" s="75">
        <f t="shared" ref="AR28" si="11">SUM(AR30:AR332)</f>
        <v>0</v>
      </c>
      <c r="AS28" s="74"/>
      <c r="AT28" s="74"/>
    </row>
    <row r="29" spans="3:5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8" t="s">
        <v>34</v>
      </c>
      <c r="AR29" s="77" t="s">
        <v>35</v>
      </c>
      <c r="AS29" s="77" t="s">
        <v>36</v>
      </c>
      <c r="AT29" s="77" t="s">
        <v>37</v>
      </c>
      <c r="AU29" s="80" t="s">
        <v>38</v>
      </c>
      <c r="AV29" s="80" t="s">
        <v>39</v>
      </c>
      <c r="AW29" s="80" t="s">
        <v>40</v>
      </c>
      <c r="AX29" s="80" t="s">
        <v>41</v>
      </c>
      <c r="AY29" s="80" t="s">
        <v>42</v>
      </c>
      <c r="AZ29" s="80" t="s">
        <v>43</v>
      </c>
      <c r="BA29" s="81" t="s">
        <v>44</v>
      </c>
      <c r="BB29" s="80"/>
      <c r="BC29" s="80"/>
    </row>
    <row r="30" spans="3:55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2">MIN(SUM(N30:AQ30),I30)</f>
        <v>4</v>
      </c>
      <c r="M30" s="26">
        <f t="shared" ref="M30:M269" si="1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67">
        <f>SUMIFS([1]Up!$J:$J,[1]Up!$D:$D,D30)</f>
        <v>0</v>
      </c>
      <c r="AS30" s="82"/>
      <c r="AT30" s="82" t="str">
        <f t="shared" ref="AT30:AT269" si="14">IFERROR(IF(C30="Plate",LEFT(E30,FIND("*",E30,1)-1),""),IF(C30="Plate",LEFT(E30,FIND("x",E30,1)-1),""))</f>
        <v>PL10</v>
      </c>
      <c r="AU30" s="53" t="s">
        <v>2254</v>
      </c>
      <c r="AV30" s="53" t="s">
        <v>148</v>
      </c>
      <c r="AW30" s="53"/>
      <c r="AX30" s="53"/>
      <c r="AY30" s="53" t="s">
        <v>57</v>
      </c>
      <c r="AZ30" s="53">
        <v>12</v>
      </c>
      <c r="BA30" s="83"/>
      <c r="BB30" s="53"/>
      <c r="BC30" s="53"/>
    </row>
    <row r="31" spans="3:55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2"/>
        <v>0</v>
      </c>
      <c r="M31" s="26">
        <f t="shared" si="13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67">
        <f>SUMIFS([1]Up!$J:$J,[1]Up!$D:$D,D31)</f>
        <v>0</v>
      </c>
      <c r="AS31" s="82"/>
      <c r="AT31" s="82" t="e">
        <f t="shared" si="14"/>
        <v>#VALUE!</v>
      </c>
      <c r="AU31" s="53" t="str">
        <f t="shared" ref="AU31:AU269" si="15">IF(ROUND(SUM(N31:AQ31)-I31,0)&gt;0,"Thừa "&amp;SUM(N31:AQ31)-I31,"")</f>
        <v/>
      </c>
      <c r="AV31" s="53" t="s">
        <v>154</v>
      </c>
      <c r="AW31" s="53"/>
      <c r="AX31" s="53"/>
      <c r="AY31" s="53" t="s">
        <v>57</v>
      </c>
      <c r="AZ31" s="53">
        <v>6</v>
      </c>
      <c r="BA31" s="83"/>
      <c r="BB31" s="53"/>
      <c r="BC31" s="53"/>
    </row>
    <row r="32" spans="3:55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2"/>
        <v>2</v>
      </c>
      <c r="M32" s="26">
        <f t="shared" si="1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67">
        <f>SUMIFS([1]Up!$J:$J,[1]Up!$D:$D,D32)</f>
        <v>0</v>
      </c>
      <c r="AS32" s="82"/>
      <c r="AT32" s="82" t="str">
        <f t="shared" si="14"/>
        <v>PL10</v>
      </c>
      <c r="AU32" s="53" t="str">
        <f t="shared" si="15"/>
        <v/>
      </c>
      <c r="AV32" s="53" t="s">
        <v>154</v>
      </c>
      <c r="AW32" s="84" t="s">
        <v>210</v>
      </c>
      <c r="AX32" s="53"/>
      <c r="AY32" s="53" t="s">
        <v>211</v>
      </c>
      <c r="AZ32" s="53">
        <v>2</v>
      </c>
      <c r="BA32" s="83">
        <v>46201</v>
      </c>
      <c r="BB32" s="53"/>
      <c r="BC32" s="53"/>
    </row>
    <row r="33" spans="3:55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2"/>
        <v>0</v>
      </c>
      <c r="M33" s="26">
        <f t="shared" si="13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67">
        <f>SUMIFS([1]Up!$J:$J,[1]Up!$D:$D,D33)</f>
        <v>0</v>
      </c>
      <c r="AS33" s="82"/>
      <c r="AT33" s="82" t="str">
        <f t="shared" si="14"/>
        <v>PL10</v>
      </c>
      <c r="AU33" s="53" t="str">
        <f t="shared" si="15"/>
        <v/>
      </c>
      <c r="AV33" s="53" t="s">
        <v>154</v>
      </c>
      <c r="AW33" s="84" t="s">
        <v>210</v>
      </c>
      <c r="AX33" s="53"/>
      <c r="AY33" s="53" t="s">
        <v>211</v>
      </c>
      <c r="AZ33" s="53">
        <v>4</v>
      </c>
      <c r="BA33" s="83">
        <v>46201</v>
      </c>
      <c r="BB33" s="53"/>
      <c r="BC33" s="53"/>
    </row>
    <row r="34" spans="3:55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2"/>
        <v>1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/>
      <c r="AR34" s="67">
        <f>SUMIFS([1]Up!$J:$J,[1]Up!$D:$D,D34)</f>
        <v>0</v>
      </c>
      <c r="AS34" s="82" t="s">
        <v>2239</v>
      </c>
      <c r="AT34" s="82" t="e">
        <f t="shared" si="14"/>
        <v>#VALUE!</v>
      </c>
      <c r="AU34" s="53" t="str">
        <f t="shared" si="15"/>
        <v/>
      </c>
      <c r="AV34" s="53" t="s">
        <v>154</v>
      </c>
      <c r="AW34" s="53"/>
      <c r="AX34" s="53"/>
      <c r="AY34" s="53" t="s">
        <v>57</v>
      </c>
      <c r="AZ34" s="53">
        <v>6</v>
      </c>
      <c r="BA34" s="83"/>
      <c r="BB34" s="53"/>
      <c r="BC34" s="53"/>
    </row>
    <row r="35" spans="3:55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2"/>
        <v>2</v>
      </c>
      <c r="M35" s="26">
        <f t="shared" si="1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67">
        <f>SUMIFS([1]Up!$J:$J,[1]Up!$D:$D,D35)</f>
        <v>0</v>
      </c>
      <c r="AS35" s="82"/>
      <c r="AT35" s="82" t="str">
        <f t="shared" si="14"/>
        <v>PL10</v>
      </c>
      <c r="AU35" s="53" t="str">
        <f t="shared" si="15"/>
        <v/>
      </c>
      <c r="AV35" s="53" t="s">
        <v>148</v>
      </c>
      <c r="AW35" s="84" t="s">
        <v>210</v>
      </c>
      <c r="AX35" s="53"/>
      <c r="AY35" s="53" t="s">
        <v>211</v>
      </c>
      <c r="AZ35" s="53">
        <v>2</v>
      </c>
      <c r="BA35" s="83">
        <v>46201</v>
      </c>
      <c r="BB35" s="53"/>
      <c r="BC35" s="53"/>
    </row>
    <row r="36" spans="3:55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2"/>
        <v>0</v>
      </c>
      <c r="M36" s="26">
        <f t="shared" si="13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67">
        <f>SUMIFS([1]Up!$J:$J,[1]Up!$D:$D,D36)</f>
        <v>0</v>
      </c>
      <c r="AS36" s="82"/>
      <c r="AT36" s="82" t="str">
        <f t="shared" si="14"/>
        <v>PL10</v>
      </c>
      <c r="AU36" s="53" t="str">
        <f t="shared" si="15"/>
        <v/>
      </c>
      <c r="AV36" s="53" t="s">
        <v>154</v>
      </c>
      <c r="AW36" s="84" t="s">
        <v>210</v>
      </c>
      <c r="AX36" s="53"/>
      <c r="AY36" s="53" t="s">
        <v>211</v>
      </c>
      <c r="AZ36" s="53">
        <v>4</v>
      </c>
      <c r="BA36" s="83">
        <v>46201</v>
      </c>
      <c r="BB36" s="53"/>
      <c r="BC36" s="53"/>
    </row>
    <row r="37" spans="3:55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2"/>
        <v>0</v>
      </c>
      <c r="M37" s="26">
        <f t="shared" si="13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67">
        <f>SUMIFS([1]Up!$J:$J,[1]Up!$D:$D,D37)</f>
        <v>0</v>
      </c>
      <c r="AS37" s="82"/>
      <c r="AT37" s="82" t="str">
        <f t="shared" si="14"/>
        <v>PL10</v>
      </c>
      <c r="AU37" s="53" t="str">
        <f t="shared" si="15"/>
        <v/>
      </c>
      <c r="AV37" s="53" t="s">
        <v>154</v>
      </c>
      <c r="AW37" s="84" t="s">
        <v>210</v>
      </c>
      <c r="AX37" s="53"/>
      <c r="AY37" s="53" t="s">
        <v>211</v>
      </c>
      <c r="AZ37" s="53">
        <v>4</v>
      </c>
      <c r="BA37" s="83">
        <v>46201</v>
      </c>
      <c r="BB37" s="53"/>
      <c r="BC37" s="53"/>
    </row>
    <row r="38" spans="3:55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2"/>
        <v>0</v>
      </c>
      <c r="M38" s="26">
        <f t="shared" si="13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67">
        <f>SUMIFS([1]Up!$J:$J,[1]Up!$D:$D,D38)</f>
        <v>0</v>
      </c>
      <c r="AS38" s="82"/>
      <c r="AT38" s="82" t="str">
        <f t="shared" si="14"/>
        <v>PL10</v>
      </c>
      <c r="AU38" s="53" t="str">
        <f t="shared" si="15"/>
        <v/>
      </c>
      <c r="AV38" s="53" t="s">
        <v>154</v>
      </c>
      <c r="AW38" s="84" t="s">
        <v>210</v>
      </c>
      <c r="AX38" s="53"/>
      <c r="AY38" s="53" t="s">
        <v>211</v>
      </c>
      <c r="AZ38" s="53">
        <v>4</v>
      </c>
      <c r="BA38" s="83">
        <v>46201</v>
      </c>
      <c r="BB38" s="53"/>
      <c r="BC38" s="53"/>
    </row>
    <row r="39" spans="3:55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2"/>
        <v>0</v>
      </c>
      <c r="M39" s="26">
        <f t="shared" si="13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67">
        <f>SUMIFS([1]Up!$J:$J,[1]Up!$D:$D,D39)</f>
        <v>0</v>
      </c>
      <c r="AS39" s="82"/>
      <c r="AT39" s="82" t="str">
        <f t="shared" si="14"/>
        <v>PL10</v>
      </c>
      <c r="AU39" s="53" t="str">
        <f t="shared" si="15"/>
        <v/>
      </c>
      <c r="AV39" s="53" t="s">
        <v>154</v>
      </c>
      <c r="AW39" s="84" t="s">
        <v>210</v>
      </c>
      <c r="AX39" s="53"/>
      <c r="AY39" s="53" t="s">
        <v>211</v>
      </c>
      <c r="AZ39" s="53">
        <v>4</v>
      </c>
      <c r="BA39" s="83">
        <v>46201</v>
      </c>
      <c r="BB39" s="53"/>
      <c r="BC39" s="53"/>
    </row>
    <row r="40" spans="3:55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2"/>
        <v>0</v>
      </c>
      <c r="M40" s="26">
        <f t="shared" si="13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67">
        <f>SUMIFS([1]Up!$J:$J,[1]Up!$D:$D,D40)</f>
        <v>0</v>
      </c>
      <c r="AS40" s="82"/>
      <c r="AT40" s="82" t="str">
        <f t="shared" si="14"/>
        <v>PL10</v>
      </c>
      <c r="AU40" s="53" t="str">
        <f t="shared" si="15"/>
        <v/>
      </c>
      <c r="AV40" s="53" t="s">
        <v>154</v>
      </c>
      <c r="AW40" s="84" t="s">
        <v>210</v>
      </c>
      <c r="AX40" s="53"/>
      <c r="AY40" s="53" t="s">
        <v>211</v>
      </c>
      <c r="AZ40" s="53">
        <v>4</v>
      </c>
      <c r="BA40" s="83">
        <v>46201</v>
      </c>
      <c r="BB40" s="53"/>
      <c r="BC40" s="53"/>
    </row>
    <row r="41" spans="3:55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2"/>
        <v>0</v>
      </c>
      <c r="M41" s="26">
        <f t="shared" si="1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67">
        <f>SUMIFS([1]Up!$J:$J,[1]Up!$D:$D,D41)</f>
        <v>0</v>
      </c>
      <c r="AS41" s="82"/>
      <c r="AT41" s="82" t="str">
        <f t="shared" si="14"/>
        <v>PL10</v>
      </c>
      <c r="AU41" s="53" t="str">
        <f t="shared" si="15"/>
        <v/>
      </c>
      <c r="AV41" s="53" t="s">
        <v>154</v>
      </c>
      <c r="AW41" s="84" t="s">
        <v>210</v>
      </c>
      <c r="AX41" s="53"/>
      <c r="AY41" s="53" t="s">
        <v>211</v>
      </c>
      <c r="AZ41" s="53">
        <v>4</v>
      </c>
      <c r="BA41" s="83">
        <v>46201</v>
      </c>
      <c r="BB41" s="53"/>
      <c r="BC41" s="53"/>
    </row>
    <row r="42" spans="3:55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2"/>
        <v>0</v>
      </c>
      <c r="M42" s="26">
        <f t="shared" si="13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67">
        <f>SUMIFS([1]Up!$J:$J,[1]Up!$D:$D,D42)</f>
        <v>0</v>
      </c>
      <c r="AS42" s="82"/>
      <c r="AT42" s="82" t="str">
        <f t="shared" si="14"/>
        <v>PL10</v>
      </c>
      <c r="AU42" s="53" t="str">
        <f t="shared" si="15"/>
        <v/>
      </c>
      <c r="AV42" s="53" t="s">
        <v>154</v>
      </c>
      <c r="AW42" s="84" t="s">
        <v>210</v>
      </c>
      <c r="AX42" s="53"/>
      <c r="AY42" s="53" t="s">
        <v>211</v>
      </c>
      <c r="AZ42" s="53">
        <v>4</v>
      </c>
      <c r="BA42" s="83">
        <v>46201</v>
      </c>
      <c r="BB42" s="53"/>
      <c r="BC42" s="53"/>
    </row>
    <row r="43" spans="3:55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2"/>
        <v>0</v>
      </c>
      <c r="M43" s="26">
        <f t="shared" si="13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67">
        <f>SUMIFS([1]Up!$J:$J,[1]Up!$D:$D,D43)</f>
        <v>0</v>
      </c>
      <c r="AS43" s="82"/>
      <c r="AT43" s="82" t="str">
        <f t="shared" si="14"/>
        <v>PL10</v>
      </c>
      <c r="AU43" s="53" t="str">
        <f t="shared" si="15"/>
        <v/>
      </c>
      <c r="AV43" s="53" t="s">
        <v>154</v>
      </c>
      <c r="AW43" s="84" t="s">
        <v>210</v>
      </c>
      <c r="AX43" s="53"/>
      <c r="AY43" s="53" t="s">
        <v>211</v>
      </c>
      <c r="AZ43" s="53">
        <v>4</v>
      </c>
      <c r="BA43" s="83">
        <v>46201</v>
      </c>
      <c r="BB43" s="53"/>
      <c r="BC43" s="53"/>
    </row>
    <row r="44" spans="3:55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2"/>
        <v>0</v>
      </c>
      <c r="M44" s="26">
        <f t="shared" si="13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67">
        <f>SUMIFS([1]Up!$J:$J,[1]Up!$D:$D,D44)</f>
        <v>0</v>
      </c>
      <c r="AS44" s="82"/>
      <c r="AT44" s="82" t="str">
        <f t="shared" si="14"/>
        <v>PL10</v>
      </c>
      <c r="AU44" s="53" t="str">
        <f t="shared" si="15"/>
        <v/>
      </c>
      <c r="AV44" s="53" t="s">
        <v>154</v>
      </c>
      <c r="AW44" s="84" t="s">
        <v>210</v>
      </c>
      <c r="AX44" s="53"/>
      <c r="AY44" s="53" t="s">
        <v>211</v>
      </c>
      <c r="AZ44" s="53">
        <v>4</v>
      </c>
      <c r="BA44" s="83">
        <v>46201</v>
      </c>
      <c r="BB44" s="53"/>
      <c r="BC44" s="53"/>
    </row>
    <row r="45" spans="3:55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67">
        <f>SUMIFS([1]Up!$J:$J,[1]Up!$D:$D,D45)</f>
        <v>0</v>
      </c>
      <c r="AS45" s="82"/>
      <c r="AT45" s="82" t="str">
        <f t="shared" si="14"/>
        <v>PL10</v>
      </c>
      <c r="AU45" s="53" t="str">
        <f t="shared" si="15"/>
        <v/>
      </c>
      <c r="AV45" s="53" t="s">
        <v>154</v>
      </c>
      <c r="AW45" s="84" t="s">
        <v>210</v>
      </c>
      <c r="AX45" s="53"/>
      <c r="AY45" s="53" t="s">
        <v>211</v>
      </c>
      <c r="AZ45" s="53">
        <v>4</v>
      </c>
      <c r="BA45" s="83">
        <v>46201</v>
      </c>
      <c r="BB45" s="53"/>
      <c r="BC45" s="53"/>
    </row>
    <row r="46" spans="3:55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2"/>
        <v>1</v>
      </c>
      <c r="M46" s="26">
        <f t="shared" si="13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67">
        <f>SUMIFS([1]Up!$J:$J,[1]Up!$D:$D,D46)</f>
        <v>0</v>
      </c>
      <c r="AS46" s="82"/>
      <c r="AT46" s="82" t="str">
        <f t="shared" si="14"/>
        <v>PL20</v>
      </c>
      <c r="AU46" s="53" t="str">
        <f t="shared" si="15"/>
        <v/>
      </c>
      <c r="AV46" s="53" t="s">
        <v>148</v>
      </c>
      <c r="AW46" s="84" t="s">
        <v>319</v>
      </c>
      <c r="AX46" s="53"/>
      <c r="AY46" s="53" t="s">
        <v>320</v>
      </c>
      <c r="AZ46" s="53">
        <v>1</v>
      </c>
      <c r="BA46" s="83">
        <v>46202</v>
      </c>
      <c r="BB46" s="53"/>
      <c r="BC46" s="53"/>
    </row>
    <row r="47" spans="3:55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2"/>
        <v>2</v>
      </c>
      <c r="M47" s="26">
        <f t="shared" si="13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67">
        <f>SUMIFS([1]Up!$J:$J,[1]Up!$D:$D,D47)</f>
        <v>0</v>
      </c>
      <c r="AS47" s="82"/>
      <c r="AT47" s="82" t="str">
        <f t="shared" si="14"/>
        <v>PL20</v>
      </c>
      <c r="AU47" s="53" t="str">
        <f t="shared" si="15"/>
        <v/>
      </c>
      <c r="AV47" s="53" t="s">
        <v>148</v>
      </c>
      <c r="AW47" s="84" t="s">
        <v>319</v>
      </c>
      <c r="AX47" s="53"/>
      <c r="AY47" s="53" t="s">
        <v>320</v>
      </c>
      <c r="AZ47" s="53">
        <v>2</v>
      </c>
      <c r="BA47" s="83">
        <v>46202</v>
      </c>
      <c r="BB47" s="53"/>
      <c r="BC47" s="53"/>
    </row>
    <row r="48" spans="3:55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2"/>
        <v>1</v>
      </c>
      <c r="M48" s="26">
        <f t="shared" si="13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67">
        <f>SUMIFS([1]Up!$J:$J,[1]Up!$D:$D,D48)</f>
        <v>0</v>
      </c>
      <c r="AS48" s="82"/>
      <c r="AT48" s="82" t="str">
        <f t="shared" si="14"/>
        <v>PL20</v>
      </c>
      <c r="AU48" s="53" t="str">
        <f t="shared" si="15"/>
        <v/>
      </c>
      <c r="AV48" s="53" t="s">
        <v>148</v>
      </c>
      <c r="AW48" s="84" t="s">
        <v>319</v>
      </c>
      <c r="AX48" s="53"/>
      <c r="AY48" s="53" t="s">
        <v>320</v>
      </c>
      <c r="AZ48" s="53">
        <v>1</v>
      </c>
      <c r="BA48" s="83">
        <v>46202</v>
      </c>
      <c r="BB48" s="53"/>
      <c r="BC48" s="53"/>
    </row>
    <row r="49" spans="3:55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2"/>
        <v>1</v>
      </c>
      <c r="M49" s="26">
        <f t="shared" si="13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67">
        <f>SUMIFS([1]Up!$J:$J,[1]Up!$D:$D,D49)</f>
        <v>0</v>
      </c>
      <c r="AS49" s="82"/>
      <c r="AT49" s="82" t="str">
        <f t="shared" si="14"/>
        <v>PL20</v>
      </c>
      <c r="AU49" s="53" t="str">
        <f t="shared" si="15"/>
        <v/>
      </c>
      <c r="AV49" s="53" t="s">
        <v>148</v>
      </c>
      <c r="AW49" s="84" t="s">
        <v>319</v>
      </c>
      <c r="AX49" s="53"/>
      <c r="AY49" s="53" t="s">
        <v>320</v>
      </c>
      <c r="AZ49" s="53">
        <v>1</v>
      </c>
      <c r="BA49" s="83">
        <v>46202</v>
      </c>
      <c r="BB49" s="53"/>
      <c r="BC49" s="53"/>
    </row>
    <row r="50" spans="3:55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2"/>
        <v>2</v>
      </c>
      <c r="M50" s="26">
        <f t="shared" si="13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67">
        <f>SUMIFS([1]Up!$J:$J,[1]Up!$D:$D,D50)</f>
        <v>0</v>
      </c>
      <c r="AS50" s="82"/>
      <c r="AT50" s="82" t="str">
        <f t="shared" si="14"/>
        <v>PL20</v>
      </c>
      <c r="AU50" s="53" t="str">
        <f t="shared" si="15"/>
        <v/>
      </c>
      <c r="AV50" s="53" t="s">
        <v>148</v>
      </c>
      <c r="AW50" s="84" t="s">
        <v>319</v>
      </c>
      <c r="AX50" s="53"/>
      <c r="AY50" s="53" t="s">
        <v>320</v>
      </c>
      <c r="AZ50" s="53">
        <v>2</v>
      </c>
      <c r="BA50" s="83">
        <v>46202</v>
      </c>
      <c r="BB50" s="53"/>
      <c r="BC50" s="53"/>
    </row>
    <row r="51" spans="3:55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2"/>
        <v>2</v>
      </c>
      <c r="M51" s="26">
        <f t="shared" si="13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67">
        <f>SUMIFS([1]Up!$J:$J,[1]Up!$D:$D,D51)</f>
        <v>0</v>
      </c>
      <c r="AS51" s="82"/>
      <c r="AT51" s="82" t="str">
        <f t="shared" si="14"/>
        <v>PL25</v>
      </c>
      <c r="AU51" s="53" t="str">
        <f t="shared" si="15"/>
        <v/>
      </c>
      <c r="AV51" s="53" t="s">
        <v>148</v>
      </c>
      <c r="AW51" s="53" t="s">
        <v>803</v>
      </c>
      <c r="AX51" s="53"/>
      <c r="AY51" s="53" t="s">
        <v>804</v>
      </c>
      <c r="AZ51" s="53">
        <v>2</v>
      </c>
      <c r="BA51" s="83">
        <v>46196</v>
      </c>
      <c r="BB51" s="53"/>
      <c r="BC51" s="53"/>
    </row>
    <row r="52" spans="3:55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2"/>
        <v>27</v>
      </c>
      <c r="M52" s="26">
        <f t="shared" si="13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67">
        <f>SUMIFS([1]Up!$J:$J,[1]Up!$D:$D,D52)</f>
        <v>0</v>
      </c>
      <c r="AS52" s="82"/>
      <c r="AT52" s="82" t="str">
        <f t="shared" si="14"/>
        <v>PL15</v>
      </c>
      <c r="AU52" s="53" t="str">
        <f t="shared" si="15"/>
        <v/>
      </c>
      <c r="AV52" s="53" t="s">
        <v>148</v>
      </c>
      <c r="AW52" s="84" t="s">
        <v>200</v>
      </c>
      <c r="AX52" s="53"/>
      <c r="AY52" s="53" t="s">
        <v>201</v>
      </c>
      <c r="AZ52" s="53">
        <v>16</v>
      </c>
      <c r="BA52" s="83">
        <v>46201</v>
      </c>
      <c r="BB52" s="53"/>
      <c r="BC52" s="53"/>
    </row>
    <row r="53" spans="3:55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2"/>
        <v>18</v>
      </c>
      <c r="M53" s="26">
        <f t="shared" si="13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67">
        <f>SUMIFS([1]Up!$J:$J,[1]Up!$D:$D,D53)</f>
        <v>0</v>
      </c>
      <c r="AS53" s="82"/>
      <c r="AT53" s="82" t="str">
        <f t="shared" si="14"/>
        <v>PL15</v>
      </c>
      <c r="AU53" s="53" t="str">
        <f t="shared" si="15"/>
        <v/>
      </c>
      <c r="AV53" s="53" t="s">
        <v>148</v>
      </c>
      <c r="AW53" s="84" t="s">
        <v>200</v>
      </c>
      <c r="AX53" s="53"/>
      <c r="AY53" s="53" t="s">
        <v>201</v>
      </c>
      <c r="AZ53" s="53">
        <v>16</v>
      </c>
      <c r="BA53" s="83">
        <v>46201</v>
      </c>
      <c r="BB53" s="53"/>
      <c r="BC53" s="53"/>
    </row>
    <row r="54" spans="3:55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2"/>
        <v>16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67">
        <f>SUMIFS([1]Up!$J:$J,[1]Up!$D:$D,D54)</f>
        <v>0</v>
      </c>
      <c r="AS54" s="82"/>
      <c r="AT54" s="82" t="str">
        <f t="shared" si="14"/>
        <v>PL15</v>
      </c>
      <c r="AU54" s="53" t="str">
        <f t="shared" si="15"/>
        <v/>
      </c>
      <c r="AV54" s="53" t="s">
        <v>148</v>
      </c>
      <c r="AW54" s="84" t="s">
        <v>200</v>
      </c>
      <c r="AX54" s="53"/>
      <c r="AY54" s="53" t="s">
        <v>201</v>
      </c>
      <c r="AZ54" s="53">
        <v>16</v>
      </c>
      <c r="BA54" s="83">
        <v>46201</v>
      </c>
      <c r="BB54" s="53"/>
      <c r="BC54" s="53"/>
    </row>
    <row r="55" spans="3:55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2"/>
        <v>15</v>
      </c>
      <c r="M55" s="26">
        <f t="shared" si="13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67">
        <f>SUMIFS([1]Up!$J:$J,[1]Up!$D:$D,D55)</f>
        <v>0</v>
      </c>
      <c r="AS55" s="82"/>
      <c r="AT55" s="82" t="str">
        <f t="shared" si="14"/>
        <v>PL15</v>
      </c>
      <c r="AU55" s="53" t="str">
        <f t="shared" si="15"/>
        <v/>
      </c>
      <c r="AV55" s="53" t="s">
        <v>148</v>
      </c>
      <c r="AW55" s="84" t="s">
        <v>200</v>
      </c>
      <c r="AX55" s="53"/>
      <c r="AY55" s="53" t="s">
        <v>201</v>
      </c>
      <c r="AZ55" s="53">
        <v>16</v>
      </c>
      <c r="BA55" s="83">
        <v>46201</v>
      </c>
      <c r="BB55" s="53"/>
      <c r="BC55" s="53"/>
    </row>
    <row r="56" spans="3:55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67">
        <f>SUMIFS([1]Up!$J:$J,[1]Up!$D:$D,D56)</f>
        <v>0</v>
      </c>
      <c r="AS56" s="82"/>
      <c r="AT56" s="82" t="str">
        <f t="shared" si="14"/>
        <v>PL15</v>
      </c>
      <c r="AU56" s="53" t="str">
        <f t="shared" si="15"/>
        <v/>
      </c>
      <c r="AV56" s="53" t="s">
        <v>148</v>
      </c>
      <c r="AW56" s="53"/>
      <c r="AX56" s="53"/>
      <c r="AY56" s="53"/>
      <c r="AZ56" s="53"/>
      <c r="BA56" s="83"/>
      <c r="BB56" s="53"/>
      <c r="BC56" s="53"/>
    </row>
    <row r="57" spans="3:55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2"/>
        <v>0</v>
      </c>
      <c r="M57" s="26">
        <f t="shared" si="13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67">
        <f>SUMIFS([1]Up!$J:$J,[1]Up!$D:$D,D57)</f>
        <v>0</v>
      </c>
      <c r="AS57" s="82"/>
      <c r="AT57" s="82" t="str">
        <f t="shared" si="14"/>
        <v>PL15</v>
      </c>
      <c r="AU57" s="53" t="str">
        <f t="shared" si="15"/>
        <v/>
      </c>
      <c r="AV57" s="53" t="s">
        <v>148</v>
      </c>
      <c r="AW57" s="53"/>
      <c r="AX57" s="53"/>
      <c r="AY57" s="53"/>
      <c r="AZ57" s="53"/>
      <c r="BA57" s="83"/>
      <c r="BB57" s="53"/>
      <c r="BC57" s="53"/>
    </row>
    <row r="58" spans="3:55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2"/>
        <v>0</v>
      </c>
      <c r="M58" s="26">
        <f t="shared" si="1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67">
        <f>SUMIFS([1]Up!$J:$J,[1]Up!$D:$D,D58)</f>
        <v>0</v>
      </c>
      <c r="AS58" s="82"/>
      <c r="AT58" s="82" t="str">
        <f t="shared" si="14"/>
        <v>PL25</v>
      </c>
      <c r="AU58" s="53" t="str">
        <f t="shared" si="15"/>
        <v/>
      </c>
      <c r="AV58" s="53" t="s">
        <v>148</v>
      </c>
      <c r="AW58" s="53" t="s">
        <v>803</v>
      </c>
      <c r="AX58" s="53"/>
      <c r="AY58" s="53" t="s">
        <v>804</v>
      </c>
      <c r="AZ58" s="53">
        <v>1</v>
      </c>
      <c r="BA58" s="83">
        <v>46196</v>
      </c>
      <c r="BB58" s="53"/>
      <c r="BC58" s="53"/>
    </row>
    <row r="59" spans="3:55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2"/>
        <v>0</v>
      </c>
      <c r="M59" s="26">
        <f t="shared" si="13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67">
        <f>SUMIFS([1]Up!$J:$J,[1]Up!$D:$D,D59)</f>
        <v>0</v>
      </c>
      <c r="AS59" s="82"/>
      <c r="AT59" s="82" t="str">
        <f t="shared" si="14"/>
        <v>PL25</v>
      </c>
      <c r="AU59" s="53" t="str">
        <f t="shared" si="15"/>
        <v/>
      </c>
      <c r="AV59" s="53" t="s">
        <v>148</v>
      </c>
      <c r="AW59" s="53" t="s">
        <v>803</v>
      </c>
      <c r="AX59" s="53"/>
      <c r="AY59" s="53" t="s">
        <v>804</v>
      </c>
      <c r="AZ59" s="53">
        <v>2</v>
      </c>
      <c r="BA59" s="83">
        <v>46196</v>
      </c>
      <c r="BB59" s="53"/>
      <c r="BC59" s="53"/>
    </row>
    <row r="60" spans="3:55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2"/>
        <v>0</v>
      </c>
      <c r="M60" s="26">
        <f t="shared" si="1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67">
        <f>SUMIFS([1]Up!$J:$J,[1]Up!$D:$D,D60)</f>
        <v>0</v>
      </c>
      <c r="AS60" s="82"/>
      <c r="AT60" s="82" t="str">
        <f t="shared" si="14"/>
        <v>PL20</v>
      </c>
      <c r="AU60" s="53" t="str">
        <f t="shared" si="15"/>
        <v/>
      </c>
      <c r="AV60" s="53" t="s">
        <v>148</v>
      </c>
      <c r="AW60" s="84" t="s">
        <v>319</v>
      </c>
      <c r="AX60" s="53"/>
      <c r="AY60" s="53" t="s">
        <v>320</v>
      </c>
      <c r="AZ60" s="53">
        <v>1</v>
      </c>
      <c r="BA60" s="83">
        <v>46202</v>
      </c>
      <c r="BB60" s="53"/>
      <c r="BC60" s="53"/>
    </row>
    <row r="61" spans="3:55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2"/>
        <v>0</v>
      </c>
      <c r="M61" s="26">
        <f t="shared" si="13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67">
        <f>SUMIFS([1]Up!$J:$J,[1]Up!$D:$D,D61)</f>
        <v>0</v>
      </c>
      <c r="AS61" s="82"/>
      <c r="AT61" s="82" t="str">
        <f t="shared" si="14"/>
        <v>PL20</v>
      </c>
      <c r="AU61" s="53" t="str">
        <f t="shared" si="15"/>
        <v/>
      </c>
      <c r="AV61" s="53" t="s">
        <v>148</v>
      </c>
      <c r="AW61" s="84" t="s">
        <v>319</v>
      </c>
      <c r="AX61" s="53"/>
      <c r="AY61" s="53" t="s">
        <v>320</v>
      </c>
      <c r="AZ61" s="53">
        <v>2</v>
      </c>
      <c r="BA61" s="83">
        <v>46202</v>
      </c>
      <c r="BB61" s="53"/>
      <c r="BC61" s="53"/>
    </row>
    <row r="62" spans="3:55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2"/>
        <v>0</v>
      </c>
      <c r="M62" s="26">
        <f t="shared" si="13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67">
        <f>SUMIFS([1]Up!$J:$J,[1]Up!$D:$D,D62)</f>
        <v>0</v>
      </c>
      <c r="AS62" s="82"/>
      <c r="AT62" s="82" t="str">
        <f t="shared" si="14"/>
        <v>PL20</v>
      </c>
      <c r="AU62" s="53" t="str">
        <f t="shared" si="15"/>
        <v/>
      </c>
      <c r="AV62" s="53" t="s">
        <v>148</v>
      </c>
      <c r="AW62" s="53"/>
      <c r="AX62" s="53"/>
      <c r="AY62" s="53" t="s">
        <v>57</v>
      </c>
      <c r="AZ62" s="53">
        <v>2</v>
      </c>
      <c r="BA62" s="83"/>
      <c r="BB62" s="53"/>
      <c r="BC62" s="53"/>
    </row>
    <row r="63" spans="3:55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2"/>
        <v>0</v>
      </c>
      <c r="M63" s="26">
        <f t="shared" si="13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67">
        <f>SUMIFS([1]Up!$J:$J,[1]Up!$D:$D,D63)</f>
        <v>0</v>
      </c>
      <c r="AS63" s="82"/>
      <c r="AT63" s="82" t="str">
        <f t="shared" si="14"/>
        <v>PL20</v>
      </c>
      <c r="AU63" s="53" t="str">
        <f t="shared" si="15"/>
        <v/>
      </c>
      <c r="AV63" s="53" t="s">
        <v>148</v>
      </c>
      <c r="AW63" s="84" t="s">
        <v>319</v>
      </c>
      <c r="AX63" s="53"/>
      <c r="AY63" s="53" t="s">
        <v>320</v>
      </c>
      <c r="AZ63" s="53">
        <v>2</v>
      </c>
      <c r="BA63" s="83">
        <v>46202</v>
      </c>
      <c r="BB63" s="53"/>
      <c r="BC63" s="53"/>
    </row>
    <row r="64" spans="3:55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2"/>
        <v>2</v>
      </c>
      <c r="M64" s="26">
        <f t="shared" si="1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67">
        <f>SUMIFS([1]Up!$J:$J,[1]Up!$D:$D,D64)</f>
        <v>0</v>
      </c>
      <c r="AS64" s="82" t="s">
        <v>2233</v>
      </c>
      <c r="AT64" s="82" t="str">
        <f t="shared" si="14"/>
        <v>PL20</v>
      </c>
      <c r="AU64" s="53" t="str">
        <f t="shared" si="15"/>
        <v/>
      </c>
      <c r="AV64" s="53" t="s">
        <v>148</v>
      </c>
      <c r="AW64" s="53"/>
      <c r="AX64" s="53"/>
      <c r="AY64" s="53" t="s">
        <v>57</v>
      </c>
      <c r="AZ64" s="53">
        <v>2</v>
      </c>
      <c r="BA64" s="83"/>
      <c r="BB64" s="53"/>
      <c r="BC64" s="53"/>
    </row>
    <row r="65" spans="3:55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2"/>
        <v>0</v>
      </c>
      <c r="M65" s="26">
        <f t="shared" si="13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67">
        <f>SUMIFS([1]Up!$J:$J,[1]Up!$D:$D,D65)</f>
        <v>0</v>
      </c>
      <c r="AS65" s="82"/>
      <c r="AT65" s="82" t="str">
        <f t="shared" si="14"/>
        <v>PL20</v>
      </c>
      <c r="AU65" s="53" t="str">
        <f t="shared" si="15"/>
        <v/>
      </c>
      <c r="AV65" s="53" t="s">
        <v>148</v>
      </c>
      <c r="AW65" s="84" t="s">
        <v>319</v>
      </c>
      <c r="AX65" s="53"/>
      <c r="AY65" s="53" t="s">
        <v>320</v>
      </c>
      <c r="AZ65" s="53">
        <v>2</v>
      </c>
      <c r="BA65" s="83">
        <v>46202</v>
      </c>
      <c r="BB65" s="53"/>
      <c r="BC65" s="53"/>
    </row>
    <row r="66" spans="3:55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2"/>
        <v>2</v>
      </c>
      <c r="M66" s="26">
        <f t="shared" si="13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67">
        <f>SUMIFS([1]Up!$J:$J,[1]Up!$D:$D,D66)</f>
        <v>0</v>
      </c>
      <c r="AS66" s="82" t="s">
        <v>2234</v>
      </c>
      <c r="AT66" s="82" t="str">
        <f t="shared" si="14"/>
        <v>PL20</v>
      </c>
      <c r="AU66" s="53" t="str">
        <f t="shared" si="15"/>
        <v>Thừa 2</v>
      </c>
      <c r="AV66" s="53" t="s">
        <v>148</v>
      </c>
      <c r="AW66" s="53"/>
      <c r="AX66" s="53"/>
      <c r="AY66" s="53" t="s">
        <v>57</v>
      </c>
      <c r="AZ66" s="53">
        <v>2</v>
      </c>
      <c r="BA66" s="83"/>
      <c r="BB66" s="53"/>
      <c r="BC66" s="53"/>
    </row>
    <row r="67" spans="3:55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67">
        <f>SUMIFS([1]Up!$J:$J,[1]Up!$D:$D,D67)</f>
        <v>0</v>
      </c>
      <c r="AS67" s="82"/>
      <c r="AT67" s="82" t="str">
        <f t="shared" si="14"/>
        <v>PL20</v>
      </c>
      <c r="AU67" s="53" t="str">
        <f t="shared" si="15"/>
        <v/>
      </c>
      <c r="AV67" s="53" t="s">
        <v>148</v>
      </c>
      <c r="AW67" s="84" t="s">
        <v>319</v>
      </c>
      <c r="AX67" s="53"/>
      <c r="AY67" s="53" t="s">
        <v>320</v>
      </c>
      <c r="AZ67" s="53">
        <v>2</v>
      </c>
      <c r="BA67" s="83">
        <v>46202</v>
      </c>
      <c r="BB67" s="53"/>
      <c r="BC67" s="53"/>
    </row>
    <row r="68" spans="3:55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2"/>
        <v>2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67">
        <f>SUMIFS([1]Up!$J:$J,[1]Up!$D:$D,D68)</f>
        <v>0</v>
      </c>
      <c r="AS68" s="82" t="s">
        <v>2076</v>
      </c>
      <c r="AT68" s="82" t="str">
        <f t="shared" si="14"/>
        <v>PL15</v>
      </c>
      <c r="AU68" s="53" t="str">
        <f t="shared" si="15"/>
        <v>Thừa 2</v>
      </c>
      <c r="AV68" s="53" t="s">
        <v>148</v>
      </c>
      <c r="AW68" s="84" t="s">
        <v>200</v>
      </c>
      <c r="AX68" s="53"/>
      <c r="AY68" s="53" t="s">
        <v>201</v>
      </c>
      <c r="AZ68" s="53">
        <v>2</v>
      </c>
      <c r="BA68" s="83">
        <v>46201</v>
      </c>
      <c r="BB68" s="53"/>
      <c r="BC68" s="53"/>
    </row>
    <row r="69" spans="3:55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2"/>
        <v>12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67">
        <f>SUMIFS([1]Up!$J:$J,[1]Up!$D:$D,D69)</f>
        <v>0</v>
      </c>
      <c r="AS69" s="82" t="s">
        <v>2080</v>
      </c>
      <c r="AT69" s="82" t="str">
        <f t="shared" si="14"/>
        <v>PL15</v>
      </c>
      <c r="AU69" s="53" t="str">
        <f t="shared" si="15"/>
        <v>Thừa 12</v>
      </c>
      <c r="AV69" s="53" t="s">
        <v>148</v>
      </c>
      <c r="AW69" s="84" t="s">
        <v>200</v>
      </c>
      <c r="AX69" s="53"/>
      <c r="AY69" s="53" t="s">
        <v>201</v>
      </c>
      <c r="AZ69" s="53">
        <v>12</v>
      </c>
      <c r="BA69" s="83">
        <v>46201</v>
      </c>
      <c r="BB69" s="53"/>
      <c r="BC69" s="53"/>
    </row>
    <row r="70" spans="3:55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2"/>
        <v>4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67">
        <f>SUMIFS([1]Up!$J:$J,[1]Up!$D:$D,D70)</f>
        <v>0</v>
      </c>
      <c r="AS70" s="82" t="s">
        <v>2079</v>
      </c>
      <c r="AT70" s="82" t="str">
        <f t="shared" si="14"/>
        <v>PL15</v>
      </c>
      <c r="AU70" s="53" t="str">
        <f t="shared" si="15"/>
        <v>Thừa 4</v>
      </c>
      <c r="AV70" s="53" t="s">
        <v>148</v>
      </c>
      <c r="AW70" s="84" t="s">
        <v>200</v>
      </c>
      <c r="AX70" s="53"/>
      <c r="AY70" s="53" t="s">
        <v>201</v>
      </c>
      <c r="AZ70" s="53">
        <v>4</v>
      </c>
      <c r="BA70" s="83">
        <v>46201</v>
      </c>
      <c r="BB70" s="53"/>
      <c r="BC70" s="53"/>
    </row>
    <row r="71" spans="3:55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2"/>
        <v>4</v>
      </c>
      <c r="M71" s="26">
        <f t="shared" si="13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67">
        <f>SUMIFS([1]Up!$J:$J,[1]Up!$D:$D,D71)</f>
        <v>0</v>
      </c>
      <c r="AS71" s="82" t="s">
        <v>951</v>
      </c>
      <c r="AT71" s="82" t="e">
        <f t="shared" si="14"/>
        <v>#VALUE!</v>
      </c>
      <c r="AU71" s="53" t="str">
        <f t="shared" si="15"/>
        <v>Thừa 14</v>
      </c>
      <c r="AV71" s="53" t="s">
        <v>154</v>
      </c>
      <c r="AW71" s="53"/>
      <c r="AX71" s="53"/>
      <c r="AY71" s="53" t="s">
        <v>57</v>
      </c>
      <c r="AZ71" s="53">
        <v>4</v>
      </c>
      <c r="BA71" s="83"/>
      <c r="BB71" s="53"/>
      <c r="BC71" s="53"/>
    </row>
    <row r="72" spans="3:55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2"/>
        <v>4</v>
      </c>
      <c r="M72" s="26">
        <f t="shared" si="13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67">
        <f>SUMIFS([1]Up!$J:$J,[1]Up!$D:$D,D72)</f>
        <v>0</v>
      </c>
      <c r="AS72" s="82"/>
      <c r="AT72" s="82" t="str">
        <f t="shared" si="14"/>
        <v>PL10</v>
      </c>
      <c r="AU72" s="53" t="str">
        <f t="shared" si="15"/>
        <v/>
      </c>
      <c r="AV72" s="53" t="s">
        <v>148</v>
      </c>
      <c r="AW72" s="84" t="s">
        <v>210</v>
      </c>
      <c r="AX72" s="53"/>
      <c r="AY72" s="53" t="s">
        <v>211</v>
      </c>
      <c r="AZ72" s="53">
        <v>4</v>
      </c>
      <c r="BA72" s="83">
        <v>46201</v>
      </c>
      <c r="BB72" s="53"/>
      <c r="BC72" s="53"/>
    </row>
    <row r="73" spans="3:55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2"/>
        <v>1</v>
      </c>
      <c r="M73" s="26">
        <f t="shared" si="13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67">
        <f>SUMIFS([1]Up!$J:$J,[1]Up!$D:$D,D73)</f>
        <v>0</v>
      </c>
      <c r="AS73" s="82" t="s">
        <v>2078</v>
      </c>
      <c r="AT73" s="82" t="str">
        <f t="shared" si="14"/>
        <v>PL15</v>
      </c>
      <c r="AU73" s="53" t="str">
        <f t="shared" si="15"/>
        <v>Thừa 2</v>
      </c>
      <c r="AV73" s="53" t="s">
        <v>148</v>
      </c>
      <c r="AW73" s="53"/>
      <c r="AX73" s="53"/>
      <c r="AY73" s="53" t="s">
        <v>57</v>
      </c>
      <c r="AZ73" s="53">
        <v>1</v>
      </c>
      <c r="BA73" s="83"/>
      <c r="BB73" s="53"/>
      <c r="BC73" s="53"/>
    </row>
    <row r="74" spans="3:55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2"/>
        <v>1</v>
      </c>
      <c r="M74" s="26">
        <f t="shared" si="13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/>
      <c r="AR74" s="67">
        <f>SUMIFS([1]Up!$J:$J,[1]Up!$D:$D,D74)</f>
        <v>0</v>
      </c>
      <c r="AS74" s="82" t="s">
        <v>2237</v>
      </c>
      <c r="AT74" s="82" t="e">
        <f t="shared" si="14"/>
        <v>#VALUE!</v>
      </c>
      <c r="AU74" s="53" t="str">
        <f t="shared" si="15"/>
        <v>Thừa 3</v>
      </c>
      <c r="AV74" s="53" t="s">
        <v>154</v>
      </c>
      <c r="AW74" s="53"/>
      <c r="AX74" s="53"/>
      <c r="AY74" s="53" t="s">
        <v>57</v>
      </c>
      <c r="AZ74" s="53">
        <v>1</v>
      </c>
      <c r="BA74" s="83"/>
      <c r="BB74" s="53"/>
      <c r="BC74" s="53"/>
    </row>
    <row r="75" spans="3:55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67">
        <f>SUMIFS([1]Up!$J:$J,[1]Up!$D:$D,D75)</f>
        <v>0</v>
      </c>
      <c r="AS75" s="82"/>
      <c r="AT75" s="82" t="e">
        <f t="shared" si="14"/>
        <v>#VALUE!</v>
      </c>
      <c r="AU75" s="53" t="str">
        <f t="shared" si="15"/>
        <v/>
      </c>
      <c r="AV75" s="53" t="s">
        <v>154</v>
      </c>
      <c r="AW75" s="53"/>
      <c r="AX75" s="53"/>
      <c r="AY75" s="53" t="s">
        <v>57</v>
      </c>
      <c r="AZ75" s="53">
        <v>1</v>
      </c>
      <c r="BA75" s="83"/>
      <c r="BB75" s="53"/>
      <c r="BC75" s="53"/>
    </row>
    <row r="76" spans="3:55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2"/>
        <v>1</v>
      </c>
      <c r="M76" s="26">
        <f t="shared" si="13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67">
        <f>SUMIFS([1]Up!$J:$J,[1]Up!$D:$D,D76)</f>
        <v>0</v>
      </c>
      <c r="AS76" s="82" t="s">
        <v>2260</v>
      </c>
      <c r="AT76" s="82" t="e">
        <f t="shared" si="14"/>
        <v>#VALUE!</v>
      </c>
      <c r="AU76" s="53" t="str">
        <f t="shared" si="15"/>
        <v>Thừa 5</v>
      </c>
      <c r="AV76" s="53" t="s">
        <v>154</v>
      </c>
      <c r="AW76" s="53"/>
      <c r="AX76" s="53"/>
      <c r="AY76" s="53" t="s">
        <v>57</v>
      </c>
      <c r="AZ76" s="53">
        <v>1</v>
      </c>
      <c r="BA76" s="83"/>
      <c r="BB76" s="53"/>
      <c r="BC76" s="53"/>
    </row>
    <row r="77" spans="3:55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2"/>
        <v>2</v>
      </c>
      <c r="M77" s="26">
        <f t="shared" si="13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67">
        <f>SUMIFS([1]Up!$J:$J,[1]Up!$D:$D,D77)</f>
        <v>0</v>
      </c>
      <c r="AS77" s="82"/>
      <c r="AT77" s="82" t="str">
        <f t="shared" si="14"/>
        <v>PL12</v>
      </c>
      <c r="AU77" s="53" t="str">
        <f t="shared" si="15"/>
        <v/>
      </c>
      <c r="AV77" s="53" t="s">
        <v>148</v>
      </c>
      <c r="AW77" s="84" t="s">
        <v>304</v>
      </c>
      <c r="AX77" s="53"/>
      <c r="AY77" s="53" t="s">
        <v>305</v>
      </c>
      <c r="AZ77" s="53">
        <v>2</v>
      </c>
      <c r="BA77" s="83">
        <v>46196</v>
      </c>
      <c r="BB77" s="53"/>
      <c r="BC77" s="53"/>
    </row>
    <row r="78" spans="3:55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2"/>
        <v>2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67">
        <f>SUMIFS([1]Up!$J:$J,[1]Up!$D:$D,D78)</f>
        <v>0</v>
      </c>
      <c r="AS78" s="82"/>
      <c r="AT78" s="82" t="str">
        <f t="shared" si="14"/>
        <v>PL15</v>
      </c>
      <c r="AU78" s="53" t="str">
        <f t="shared" si="15"/>
        <v/>
      </c>
      <c r="AV78" s="53" t="s">
        <v>148</v>
      </c>
      <c r="AW78" s="84" t="s">
        <v>200</v>
      </c>
      <c r="AX78" s="53"/>
      <c r="AY78" s="53" t="s">
        <v>201</v>
      </c>
      <c r="AZ78" s="53">
        <v>2</v>
      </c>
      <c r="BA78" s="83">
        <v>46201</v>
      </c>
      <c r="BB78" s="53"/>
      <c r="BC78" s="53"/>
    </row>
    <row r="79" spans="3:55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2"/>
        <v>1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67">
        <f>SUMIFS([1]Up!$J:$J,[1]Up!$D:$D,D79)</f>
        <v>0</v>
      </c>
      <c r="AS79" s="82" t="s">
        <v>2071</v>
      </c>
      <c r="AT79" s="82" t="str">
        <f t="shared" si="14"/>
        <v>PL15</v>
      </c>
      <c r="AU79" s="53" t="str">
        <f t="shared" si="15"/>
        <v>Thừa 4</v>
      </c>
      <c r="AV79" s="53" t="s">
        <v>148</v>
      </c>
      <c r="AW79" s="53"/>
      <c r="AX79" s="53"/>
      <c r="AY79" s="53" t="s">
        <v>57</v>
      </c>
      <c r="AZ79" s="53">
        <v>1</v>
      </c>
      <c r="BA79" s="83"/>
      <c r="BB79" s="53"/>
      <c r="BC79" s="53"/>
    </row>
    <row r="80" spans="3:55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2"/>
        <v>2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67">
        <f>SUMIFS([1]Up!$J:$J,[1]Up!$D:$D,D80)</f>
        <v>0</v>
      </c>
      <c r="AS80" s="82"/>
      <c r="AT80" s="82" t="str">
        <f t="shared" si="14"/>
        <v>PL15</v>
      </c>
      <c r="AU80" s="53" t="str">
        <f t="shared" si="15"/>
        <v/>
      </c>
      <c r="AV80" s="53" t="s">
        <v>148</v>
      </c>
      <c r="AW80" s="84" t="s">
        <v>200</v>
      </c>
      <c r="AX80" s="53"/>
      <c r="AY80" s="53" t="s">
        <v>201</v>
      </c>
      <c r="AZ80" s="53">
        <v>2</v>
      </c>
      <c r="BA80" s="83">
        <v>46201</v>
      </c>
      <c r="BB80" s="53"/>
      <c r="BC80" s="53"/>
    </row>
    <row r="81" spans="3:55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2"/>
        <v>1</v>
      </c>
      <c r="M81" s="26">
        <f t="shared" si="13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67">
        <f>SUMIFS([1]Up!$J:$J,[1]Up!$D:$D,D81)</f>
        <v>0</v>
      </c>
      <c r="AS81" s="82" t="s">
        <v>847</v>
      </c>
      <c r="AT81" s="82" t="str">
        <f t="shared" si="14"/>
        <v>PL20</v>
      </c>
      <c r="AU81" s="53" t="str">
        <f t="shared" si="15"/>
        <v>Thừa 1</v>
      </c>
      <c r="AV81" s="53" t="s">
        <v>148</v>
      </c>
      <c r="AW81" s="53"/>
      <c r="AX81" s="53"/>
      <c r="AY81" s="53" t="s">
        <v>57</v>
      </c>
      <c r="AZ81" s="53">
        <v>1</v>
      </c>
      <c r="BA81" s="83"/>
      <c r="BB81" s="53"/>
      <c r="BC81" s="53"/>
    </row>
    <row r="82" spans="3:55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2"/>
        <v>1</v>
      </c>
      <c r="M82" s="26">
        <f t="shared" si="13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67">
        <f>SUMIFS([1]Up!$J:$J,[1]Up!$D:$D,D82)</f>
        <v>0</v>
      </c>
      <c r="AS82" s="82"/>
      <c r="AT82" s="82" t="str">
        <f t="shared" si="14"/>
        <v>PL20</v>
      </c>
      <c r="AU82" s="53" t="str">
        <f t="shared" si="15"/>
        <v/>
      </c>
      <c r="AV82" s="53" t="s">
        <v>148</v>
      </c>
      <c r="AW82" s="84" t="s">
        <v>319</v>
      </c>
      <c r="AX82" s="53"/>
      <c r="AY82" s="53" t="s">
        <v>320</v>
      </c>
      <c r="AZ82" s="53">
        <v>2</v>
      </c>
      <c r="BA82" s="83">
        <v>46202</v>
      </c>
      <c r="BB82" s="53"/>
      <c r="BC82" s="53"/>
    </row>
    <row r="83" spans="3:55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67">
        <f>SUMIFS([1]Up!$J:$J,[1]Up!$D:$D,D83)</f>
        <v>0</v>
      </c>
      <c r="AS83" s="82"/>
      <c r="AT83" s="82" t="str">
        <f t="shared" si="14"/>
        <v>PL12</v>
      </c>
      <c r="AU83" s="53" t="str">
        <f t="shared" si="15"/>
        <v/>
      </c>
      <c r="AV83" s="53" t="s">
        <v>154</v>
      </c>
      <c r="AW83" s="84" t="s">
        <v>304</v>
      </c>
      <c r="AX83" s="53"/>
      <c r="AY83" s="53" t="s">
        <v>305</v>
      </c>
      <c r="AZ83" s="53">
        <v>1</v>
      </c>
      <c r="BA83" s="83">
        <v>46196</v>
      </c>
      <c r="BB83" s="53"/>
      <c r="BC83" s="53"/>
    </row>
    <row r="84" spans="3:55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2"/>
        <v>0</v>
      </c>
      <c r="M84" s="26">
        <f t="shared" si="1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67">
        <f>SUMIFS([1]Up!$J:$J,[1]Up!$D:$D,D84)</f>
        <v>0</v>
      </c>
      <c r="AS84" s="82"/>
      <c r="AT84" s="82" t="str">
        <f t="shared" si="14"/>
        <v>PL12</v>
      </c>
      <c r="AU84" s="53" t="str">
        <f t="shared" si="15"/>
        <v/>
      </c>
      <c r="AV84" s="53" t="s">
        <v>154</v>
      </c>
      <c r="AW84" s="84" t="s">
        <v>304</v>
      </c>
      <c r="AX84" s="53"/>
      <c r="AY84" s="53" t="s">
        <v>305</v>
      </c>
      <c r="AZ84" s="53">
        <v>1</v>
      </c>
      <c r="BA84" s="83">
        <v>46196</v>
      </c>
      <c r="BB84" s="53"/>
      <c r="BC84" s="53"/>
    </row>
    <row r="85" spans="3:55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2"/>
        <v>1</v>
      </c>
      <c r="M85" s="26">
        <f t="shared" si="1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67">
        <f>SUMIFS([1]Up!$J:$J,[1]Up!$D:$D,D85)</f>
        <v>0</v>
      </c>
      <c r="AS85" s="82"/>
      <c r="AT85" s="82" t="str">
        <f t="shared" si="14"/>
        <v>PL15</v>
      </c>
      <c r="AU85" s="53" t="str">
        <f t="shared" si="15"/>
        <v/>
      </c>
      <c r="AV85" s="53" t="s">
        <v>148</v>
      </c>
      <c r="AW85" s="84" t="s">
        <v>200</v>
      </c>
      <c r="AX85" s="53"/>
      <c r="AY85" s="53" t="s">
        <v>201</v>
      </c>
      <c r="AZ85" s="53">
        <v>1</v>
      </c>
      <c r="BA85" s="83">
        <v>46201</v>
      </c>
      <c r="BB85" s="53"/>
      <c r="BC85" s="53"/>
    </row>
    <row r="86" spans="3:55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2"/>
        <v>1</v>
      </c>
      <c r="M86" s="26">
        <f t="shared" si="1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67">
        <f>SUMIFS([1]Up!$J:$J,[1]Up!$D:$D,D86)</f>
        <v>0</v>
      </c>
      <c r="AS86" s="82" t="s">
        <v>2259</v>
      </c>
      <c r="AT86" s="82" t="e">
        <f t="shared" si="14"/>
        <v>#VALUE!</v>
      </c>
      <c r="AU86" s="53" t="str">
        <f t="shared" si="15"/>
        <v/>
      </c>
      <c r="AV86" s="53" t="s">
        <v>154</v>
      </c>
      <c r="AW86" s="53"/>
      <c r="AX86" s="53"/>
      <c r="AY86" s="53" t="s">
        <v>57</v>
      </c>
      <c r="AZ86" s="53">
        <v>1</v>
      </c>
      <c r="BA86" s="83"/>
      <c r="BB86" s="53"/>
      <c r="BC86" s="53"/>
    </row>
    <row r="87" spans="3:55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2"/>
        <v>1</v>
      </c>
      <c r="M87" s="26">
        <f t="shared" si="13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67">
        <f>SUMIFS([1]Up!$J:$J,[1]Up!$D:$D,D87)</f>
        <v>0</v>
      </c>
      <c r="AS87" s="82"/>
      <c r="AT87" s="82" t="str">
        <f t="shared" si="14"/>
        <v>PL10</v>
      </c>
      <c r="AU87" s="53" t="str">
        <f t="shared" si="15"/>
        <v/>
      </c>
      <c r="AV87" s="53" t="s">
        <v>148</v>
      </c>
      <c r="AW87" s="84" t="s">
        <v>210</v>
      </c>
      <c r="AX87" s="53"/>
      <c r="AY87" s="53" t="s">
        <v>211</v>
      </c>
      <c r="AZ87" s="53">
        <v>1</v>
      </c>
      <c r="BA87" s="83">
        <v>46201</v>
      </c>
      <c r="BB87" s="53"/>
      <c r="BC87" s="53"/>
    </row>
    <row r="88" spans="3:55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2"/>
        <v>1</v>
      </c>
      <c r="M88" s="26">
        <f t="shared" si="13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67">
        <f>SUMIFS([1]Up!$J:$J,[1]Up!$D:$D,D88)</f>
        <v>0</v>
      </c>
      <c r="AS88" s="82"/>
      <c r="AT88" s="82" t="str">
        <f t="shared" si="14"/>
        <v>PL10</v>
      </c>
      <c r="AU88" s="53" t="str">
        <f t="shared" si="15"/>
        <v/>
      </c>
      <c r="AV88" s="53" t="s">
        <v>148</v>
      </c>
      <c r="AW88" s="84" t="s">
        <v>210</v>
      </c>
      <c r="AX88" s="53"/>
      <c r="AY88" s="53" t="s">
        <v>211</v>
      </c>
      <c r="AZ88" s="53">
        <v>1</v>
      </c>
      <c r="BA88" s="83">
        <v>46201</v>
      </c>
      <c r="BB88" s="53"/>
      <c r="BC88" s="53"/>
    </row>
    <row r="89" spans="3:55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2"/>
        <v>1</v>
      </c>
      <c r="M89" s="26">
        <f t="shared" si="13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67">
        <f>SUMIFS([1]Up!$J:$J,[1]Up!$D:$D,D89)</f>
        <v>0</v>
      </c>
      <c r="AS89" s="82"/>
      <c r="AT89" s="82" t="str">
        <f t="shared" si="14"/>
        <v>PL10</v>
      </c>
      <c r="AU89" s="53" t="str">
        <f t="shared" si="15"/>
        <v/>
      </c>
      <c r="AV89" s="53" t="s">
        <v>148</v>
      </c>
      <c r="AW89" s="84" t="s">
        <v>210</v>
      </c>
      <c r="AX89" s="53"/>
      <c r="AY89" s="53" t="s">
        <v>211</v>
      </c>
      <c r="AZ89" s="53">
        <v>1</v>
      </c>
      <c r="BA89" s="83">
        <v>46201</v>
      </c>
      <c r="BB89" s="53"/>
      <c r="BC89" s="53"/>
    </row>
    <row r="90" spans="3:55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2"/>
        <v>1</v>
      </c>
      <c r="M90" s="26">
        <f t="shared" si="13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67">
        <f>SUMIFS([1]Up!$J:$J,[1]Up!$D:$D,D90)</f>
        <v>0</v>
      </c>
      <c r="AS90" s="82"/>
      <c r="AT90" s="82" t="str">
        <f t="shared" si="14"/>
        <v>PL10</v>
      </c>
      <c r="AU90" s="53" t="str">
        <f t="shared" si="15"/>
        <v/>
      </c>
      <c r="AV90" s="53" t="s">
        <v>148</v>
      </c>
      <c r="AW90" s="84" t="s">
        <v>210</v>
      </c>
      <c r="AX90" s="53"/>
      <c r="AY90" s="53" t="s">
        <v>211</v>
      </c>
      <c r="AZ90" s="53">
        <v>1</v>
      </c>
      <c r="BA90" s="83">
        <v>46201</v>
      </c>
      <c r="BB90" s="53"/>
      <c r="BC90" s="53"/>
    </row>
    <row r="91" spans="3:55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2"/>
        <v>1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67">
        <f>SUMIFS([1]Up!$J:$J,[1]Up!$D:$D,D91)</f>
        <v>0</v>
      </c>
      <c r="AS91" s="82"/>
      <c r="AT91" s="82" t="str">
        <f t="shared" si="14"/>
        <v>PL10</v>
      </c>
      <c r="AU91" s="53" t="str">
        <f t="shared" si="15"/>
        <v/>
      </c>
      <c r="AV91" s="53" t="s">
        <v>148</v>
      </c>
      <c r="AW91" s="84" t="s">
        <v>210</v>
      </c>
      <c r="AX91" s="53"/>
      <c r="AY91" s="53" t="s">
        <v>211</v>
      </c>
      <c r="AZ91" s="53">
        <v>1</v>
      </c>
      <c r="BA91" s="83">
        <v>46201</v>
      </c>
      <c r="BB91" s="53"/>
      <c r="BC91" s="53"/>
    </row>
    <row r="92" spans="3:55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2"/>
        <v>1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67">
        <f>SUMIFS([1]Up!$J:$J,[1]Up!$D:$D,D92)</f>
        <v>0</v>
      </c>
      <c r="AS92" s="82"/>
      <c r="AT92" s="82" t="str">
        <f t="shared" si="14"/>
        <v>PL15</v>
      </c>
      <c r="AU92" s="53" t="str">
        <f t="shared" si="15"/>
        <v/>
      </c>
      <c r="AV92" s="53" t="s">
        <v>148</v>
      </c>
      <c r="AW92" s="84" t="s">
        <v>200</v>
      </c>
      <c r="AX92" s="53"/>
      <c r="AY92" s="53" t="s">
        <v>201</v>
      </c>
      <c r="AZ92" s="53">
        <v>1</v>
      </c>
      <c r="BA92" s="83">
        <v>46201</v>
      </c>
      <c r="BB92" s="53"/>
      <c r="BC92" s="53"/>
    </row>
    <row r="93" spans="3:55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2"/>
        <v>1</v>
      </c>
      <c r="M93" s="26">
        <f t="shared" si="13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67">
        <f>SUMIFS([1]Up!$J:$J,[1]Up!$D:$D,D93)</f>
        <v>0</v>
      </c>
      <c r="AS93" s="82"/>
      <c r="AT93" s="82" t="str">
        <f t="shared" si="14"/>
        <v>PL20</v>
      </c>
      <c r="AU93" s="53" t="str">
        <f t="shared" si="15"/>
        <v/>
      </c>
      <c r="AV93" s="53" t="s">
        <v>148</v>
      </c>
      <c r="AW93" s="84" t="s">
        <v>319</v>
      </c>
      <c r="AX93" s="53"/>
      <c r="AY93" s="53" t="s">
        <v>320</v>
      </c>
      <c r="AZ93" s="53">
        <v>1</v>
      </c>
      <c r="BA93" s="83">
        <v>46202</v>
      </c>
      <c r="BB93" s="53"/>
      <c r="BC93" s="53"/>
    </row>
    <row r="94" spans="3:55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2"/>
        <v>1</v>
      </c>
      <c r="M94" s="26">
        <f t="shared" si="13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67">
        <f>SUMIFS([1]Up!$J:$J,[1]Up!$D:$D,D94)</f>
        <v>0</v>
      </c>
      <c r="AS94" s="82"/>
      <c r="AT94" s="82" t="str">
        <f t="shared" si="14"/>
        <v>PL20</v>
      </c>
      <c r="AU94" s="53" t="str">
        <f t="shared" si="15"/>
        <v/>
      </c>
      <c r="AV94" s="53" t="s">
        <v>148</v>
      </c>
      <c r="AW94" s="84" t="s">
        <v>319</v>
      </c>
      <c r="AX94" s="53"/>
      <c r="AY94" s="53" t="s">
        <v>320</v>
      </c>
      <c r="AZ94" s="53">
        <v>1</v>
      </c>
      <c r="BA94" s="83">
        <v>46202</v>
      </c>
      <c r="BB94" s="53"/>
      <c r="BC94" s="53"/>
    </row>
    <row r="95" spans="3:55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2"/>
        <v>1</v>
      </c>
      <c r="M95" s="26">
        <f t="shared" si="13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67">
        <f>SUMIFS([1]Up!$J:$J,[1]Up!$D:$D,D95)</f>
        <v>0</v>
      </c>
      <c r="AS95" s="82"/>
      <c r="AT95" s="82" t="str">
        <f t="shared" si="14"/>
        <v>PL15</v>
      </c>
      <c r="AU95" s="53" t="str">
        <f t="shared" si="15"/>
        <v/>
      </c>
      <c r="AV95" s="53" t="s">
        <v>148</v>
      </c>
      <c r="AW95" s="84" t="s">
        <v>200</v>
      </c>
      <c r="AX95" s="53"/>
      <c r="AY95" s="53" t="s">
        <v>201</v>
      </c>
      <c r="AZ95" s="53">
        <v>1</v>
      </c>
      <c r="BA95" s="83">
        <v>46201</v>
      </c>
      <c r="BB95" s="53"/>
      <c r="BC95" s="53"/>
    </row>
    <row r="96" spans="3:55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2"/>
        <v>1</v>
      </c>
      <c r="M96" s="26">
        <f t="shared" si="13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67">
        <f>SUMIFS([1]Up!$J:$J,[1]Up!$D:$D,D96)</f>
        <v>0</v>
      </c>
      <c r="AS96" s="82"/>
      <c r="AT96" s="82" t="str">
        <f t="shared" si="14"/>
        <v>PL10</v>
      </c>
      <c r="AU96" s="53" t="str">
        <f t="shared" si="15"/>
        <v/>
      </c>
      <c r="AV96" s="53" t="s">
        <v>148</v>
      </c>
      <c r="AW96" s="84" t="s">
        <v>210</v>
      </c>
      <c r="AX96" s="53"/>
      <c r="AY96" s="53" t="s">
        <v>211</v>
      </c>
      <c r="AZ96" s="53">
        <v>1</v>
      </c>
      <c r="BA96" s="83">
        <v>46201</v>
      </c>
      <c r="BB96" s="53"/>
      <c r="BC96" s="53"/>
    </row>
    <row r="97" spans="3:55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2"/>
        <v>1</v>
      </c>
      <c r="M97" s="26">
        <f t="shared" si="13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67">
        <f>SUMIFS([1]Up!$J:$J,[1]Up!$D:$D,D97)</f>
        <v>0</v>
      </c>
      <c r="AS97" s="82"/>
      <c r="AT97" s="82" t="str">
        <f t="shared" si="14"/>
        <v>PL10</v>
      </c>
      <c r="AU97" s="53" t="str">
        <f t="shared" si="15"/>
        <v/>
      </c>
      <c r="AV97" s="53" t="s">
        <v>148</v>
      </c>
      <c r="AW97" s="84" t="s">
        <v>210</v>
      </c>
      <c r="AX97" s="53"/>
      <c r="AY97" s="53" t="s">
        <v>211</v>
      </c>
      <c r="AZ97" s="53">
        <v>1</v>
      </c>
      <c r="BA97" s="83">
        <v>46201</v>
      </c>
      <c r="BB97" s="53"/>
      <c r="BC97" s="53"/>
    </row>
    <row r="98" spans="3:55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2"/>
        <v>1</v>
      </c>
      <c r="M98" s="26">
        <f t="shared" si="13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67">
        <f>SUMIFS([1]Up!$J:$J,[1]Up!$D:$D,D98)</f>
        <v>0</v>
      </c>
      <c r="AS98" s="82"/>
      <c r="AT98" s="82" t="str">
        <f t="shared" si="14"/>
        <v>PL10</v>
      </c>
      <c r="AU98" s="53" t="str">
        <f t="shared" si="15"/>
        <v/>
      </c>
      <c r="AV98" s="53" t="s">
        <v>148</v>
      </c>
      <c r="AW98" s="84" t="s">
        <v>210</v>
      </c>
      <c r="AX98" s="53"/>
      <c r="AY98" s="53" t="s">
        <v>211</v>
      </c>
      <c r="AZ98" s="53">
        <v>1</v>
      </c>
      <c r="BA98" s="83">
        <v>46201</v>
      </c>
      <c r="BB98" s="53"/>
      <c r="BC98" s="53"/>
    </row>
    <row r="99" spans="3:55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2"/>
        <v>1</v>
      </c>
      <c r="M99" s="26">
        <f t="shared" si="13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67">
        <f>SUMIFS([1]Up!$J:$J,[1]Up!$D:$D,D99)</f>
        <v>0</v>
      </c>
      <c r="AS99" s="82"/>
      <c r="AT99" s="82" t="str">
        <f t="shared" si="14"/>
        <v>PL10</v>
      </c>
      <c r="AU99" s="53" t="str">
        <f t="shared" si="15"/>
        <v/>
      </c>
      <c r="AV99" s="53" t="s">
        <v>148</v>
      </c>
      <c r="AW99" s="84" t="s">
        <v>210</v>
      </c>
      <c r="AX99" s="53"/>
      <c r="AY99" s="53" t="s">
        <v>211</v>
      </c>
      <c r="AZ99" s="53">
        <v>1</v>
      </c>
      <c r="BA99" s="83">
        <v>46201</v>
      </c>
      <c r="BB99" s="53"/>
      <c r="BC99" s="53"/>
    </row>
    <row r="100" spans="3:55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2"/>
        <v>1</v>
      </c>
      <c r="M100" s="26">
        <f t="shared" si="1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67">
        <f>SUMIFS([1]Up!$J:$J,[1]Up!$D:$D,D100)</f>
        <v>0</v>
      </c>
      <c r="AS100" s="82"/>
      <c r="AT100" s="82" t="str">
        <f t="shared" si="14"/>
        <v>PL10</v>
      </c>
      <c r="AU100" s="53" t="str">
        <f t="shared" si="15"/>
        <v/>
      </c>
      <c r="AV100" s="53" t="s">
        <v>148</v>
      </c>
      <c r="AW100" s="84" t="s">
        <v>210</v>
      </c>
      <c r="AX100" s="53"/>
      <c r="AY100" s="53" t="s">
        <v>211</v>
      </c>
      <c r="AZ100" s="53">
        <v>1</v>
      </c>
      <c r="BA100" s="83">
        <v>46201</v>
      </c>
      <c r="BB100" s="53"/>
      <c r="BC100" s="53"/>
    </row>
    <row r="101" spans="3:55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2"/>
        <v>0</v>
      </c>
      <c r="M101" s="26">
        <f t="shared" si="1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67">
        <f>SUMIFS([1]Up!$J:$J,[1]Up!$D:$D,D101)</f>
        <v>0</v>
      </c>
      <c r="AS101" s="82"/>
      <c r="AT101" s="82" t="e">
        <f t="shared" si="14"/>
        <v>#VALUE!</v>
      </c>
      <c r="AU101" s="53" t="str">
        <f t="shared" si="15"/>
        <v/>
      </c>
      <c r="AV101" s="53" t="s">
        <v>154</v>
      </c>
      <c r="AW101" s="53"/>
      <c r="AX101" s="53"/>
      <c r="AY101" s="53" t="s">
        <v>57</v>
      </c>
      <c r="AZ101" s="53">
        <v>1</v>
      </c>
      <c r="BA101" s="83"/>
      <c r="BB101" s="53"/>
      <c r="BC101" s="53"/>
    </row>
    <row r="102" spans="3:55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2"/>
        <v>1</v>
      </c>
      <c r="M102" s="26">
        <f t="shared" si="1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67">
        <f>SUMIFS([1]Up!$J:$J,[1]Up!$D:$D,D102)</f>
        <v>0</v>
      </c>
      <c r="AS102" s="82"/>
      <c r="AT102" s="82" t="str">
        <f t="shared" si="14"/>
        <v>PL15</v>
      </c>
      <c r="AU102" s="53" t="str">
        <f t="shared" si="15"/>
        <v/>
      </c>
      <c r="AV102" s="53" t="s">
        <v>148</v>
      </c>
      <c r="AW102" s="84" t="s">
        <v>200</v>
      </c>
      <c r="AX102" s="53"/>
      <c r="AY102" s="53" t="s">
        <v>201</v>
      </c>
      <c r="AZ102" s="53">
        <v>1</v>
      </c>
      <c r="BA102" s="83">
        <v>46201</v>
      </c>
      <c r="BB102" s="53"/>
      <c r="BC102" s="53"/>
    </row>
    <row r="103" spans="3:55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2"/>
        <v>1</v>
      </c>
      <c r="M103" s="26">
        <f t="shared" si="13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67">
        <f>SUMIFS([1]Up!$J:$J,[1]Up!$D:$D,D103)</f>
        <v>0</v>
      </c>
      <c r="AS103" s="82"/>
      <c r="AT103" s="82" t="str">
        <f t="shared" si="14"/>
        <v>PL20</v>
      </c>
      <c r="AU103" s="53" t="str">
        <f t="shared" si="15"/>
        <v/>
      </c>
      <c r="AV103" s="53" t="s">
        <v>148</v>
      </c>
      <c r="AW103" s="84" t="s">
        <v>319</v>
      </c>
      <c r="AX103" s="53"/>
      <c r="AY103" s="53" t="s">
        <v>320</v>
      </c>
      <c r="AZ103" s="53">
        <v>1</v>
      </c>
      <c r="BA103" s="83">
        <v>46202</v>
      </c>
      <c r="BB103" s="53"/>
      <c r="BC103" s="53"/>
    </row>
    <row r="104" spans="3:55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2"/>
        <v>1</v>
      </c>
      <c r="M104" s="26">
        <f t="shared" si="13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67">
        <f>SUMIFS([1]Up!$J:$J,[1]Up!$D:$D,D104)</f>
        <v>0</v>
      </c>
      <c r="AS104" s="82"/>
      <c r="AT104" s="82" t="str">
        <f t="shared" si="14"/>
        <v>PL20</v>
      </c>
      <c r="AU104" s="53" t="str">
        <f t="shared" si="15"/>
        <v/>
      </c>
      <c r="AV104" s="53" t="s">
        <v>148</v>
      </c>
      <c r="AW104" s="84" t="s">
        <v>319</v>
      </c>
      <c r="AX104" s="53"/>
      <c r="AY104" s="53" t="s">
        <v>320</v>
      </c>
      <c r="AZ104" s="53">
        <v>1</v>
      </c>
      <c r="BA104" s="83">
        <v>46202</v>
      </c>
      <c r="BB104" s="53"/>
      <c r="BC104" s="53"/>
    </row>
    <row r="105" spans="3:55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2"/>
        <v>1</v>
      </c>
      <c r="M105" s="26">
        <f t="shared" si="1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67">
        <f>SUMIFS([1]Up!$J:$J,[1]Up!$D:$D,D105)</f>
        <v>0</v>
      </c>
      <c r="AS105" s="82" t="s">
        <v>2072</v>
      </c>
      <c r="AT105" s="82" t="str">
        <f t="shared" si="14"/>
        <v>PL15</v>
      </c>
      <c r="AU105" s="53" t="str">
        <f t="shared" si="15"/>
        <v>Thừa 2</v>
      </c>
      <c r="AV105" s="53" t="s">
        <v>148</v>
      </c>
      <c r="AW105" s="53"/>
      <c r="AX105" s="53"/>
      <c r="AY105" s="53" t="s">
        <v>57</v>
      </c>
      <c r="AZ105" s="53">
        <v>1</v>
      </c>
      <c r="BA105" s="83"/>
      <c r="BB105" s="53"/>
      <c r="BC105" s="53"/>
    </row>
    <row r="106" spans="3:55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2"/>
        <v>1</v>
      </c>
      <c r="M106" s="26">
        <f t="shared" si="1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67">
        <f>SUMIFS([1]Up!$J:$J,[1]Up!$D:$D,D106)</f>
        <v>0</v>
      </c>
      <c r="AS106" s="82" t="s">
        <v>2247</v>
      </c>
      <c r="AT106" s="82" t="e">
        <f t="shared" si="14"/>
        <v>#VALUE!</v>
      </c>
      <c r="AU106" s="53" t="str">
        <f t="shared" si="15"/>
        <v>Thừa 2</v>
      </c>
      <c r="AV106" s="53" t="s">
        <v>154</v>
      </c>
      <c r="AW106" s="53"/>
      <c r="AX106" s="53"/>
      <c r="AY106" s="53" t="s">
        <v>57</v>
      </c>
      <c r="AZ106" s="53">
        <v>1</v>
      </c>
      <c r="BA106" s="83"/>
      <c r="BB106" s="53"/>
      <c r="BC106" s="53"/>
    </row>
    <row r="107" spans="3:55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2"/>
        <v>1</v>
      </c>
      <c r="M107" s="26">
        <f t="shared" si="1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67">
        <f>SUMIFS([1]Up!$J:$J,[1]Up!$D:$D,D107)</f>
        <v>0</v>
      </c>
      <c r="AS107" s="82" t="s">
        <v>2078</v>
      </c>
      <c r="AT107" s="82" t="str">
        <f t="shared" si="14"/>
        <v>PL15</v>
      </c>
      <c r="AU107" s="53" t="str">
        <f t="shared" si="15"/>
        <v>Thừa 2</v>
      </c>
      <c r="AV107" s="53" t="s">
        <v>148</v>
      </c>
      <c r="AW107" s="53"/>
      <c r="AX107" s="53"/>
      <c r="AY107" s="53" t="s">
        <v>57</v>
      </c>
      <c r="AZ107" s="53">
        <v>1</v>
      </c>
      <c r="BA107" s="83"/>
      <c r="BB107" s="53"/>
      <c r="BC107" s="53"/>
    </row>
    <row r="108" spans="3:55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2"/>
        <v>2</v>
      </c>
      <c r="M108" s="26">
        <f t="shared" si="13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67">
        <f>SUMIFS([1]Up!$J:$J,[1]Up!$D:$D,D108)</f>
        <v>0</v>
      </c>
      <c r="AS108" s="82"/>
      <c r="AT108" s="82" t="str">
        <f t="shared" si="14"/>
        <v>PL20</v>
      </c>
      <c r="AU108" s="53" t="str">
        <f t="shared" si="15"/>
        <v/>
      </c>
      <c r="AV108" s="53" t="s">
        <v>148</v>
      </c>
      <c r="AW108" s="84" t="s">
        <v>319</v>
      </c>
      <c r="AX108" s="53"/>
      <c r="AY108" s="53" t="s">
        <v>320</v>
      </c>
      <c r="AZ108" s="53">
        <v>2</v>
      </c>
      <c r="BA108" s="83">
        <v>46202</v>
      </c>
      <c r="BB108" s="53"/>
      <c r="BC108" s="53"/>
    </row>
    <row r="109" spans="3:55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2"/>
        <v>4</v>
      </c>
      <c r="M109" s="26">
        <f t="shared" si="1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67">
        <f>SUMIFS([1]Up!$J:$J,[1]Up!$D:$D,D109)</f>
        <v>0</v>
      </c>
      <c r="AS109" s="82"/>
      <c r="AT109" s="82" t="str">
        <f t="shared" si="14"/>
        <v>PL3</v>
      </c>
      <c r="AU109" s="53" t="str">
        <f t="shared" si="15"/>
        <v/>
      </c>
      <c r="AV109" s="53" t="s">
        <v>148</v>
      </c>
      <c r="AW109" s="84" t="s">
        <v>682</v>
      </c>
      <c r="AX109" s="53"/>
      <c r="AY109" s="53" t="s">
        <v>683</v>
      </c>
      <c r="AZ109" s="53">
        <v>4</v>
      </c>
      <c r="BA109" s="83">
        <v>46196</v>
      </c>
      <c r="BB109" s="53"/>
      <c r="BC109" s="53"/>
    </row>
    <row r="110" spans="3:55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2"/>
        <v>2</v>
      </c>
      <c r="M110" s="26">
        <f t="shared" si="13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67">
        <f>SUMIFS([1]Up!$J:$J,[1]Up!$D:$D,D110)</f>
        <v>0</v>
      </c>
      <c r="AS110" s="82"/>
      <c r="AT110" s="82" t="str">
        <f t="shared" si="14"/>
        <v>PL20</v>
      </c>
      <c r="AU110" s="53" t="str">
        <f t="shared" si="15"/>
        <v/>
      </c>
      <c r="AV110" s="53" t="s">
        <v>148</v>
      </c>
      <c r="AW110" s="84" t="s">
        <v>319</v>
      </c>
      <c r="AX110" s="53"/>
      <c r="AY110" s="53" t="s">
        <v>320</v>
      </c>
      <c r="AZ110" s="53">
        <v>2</v>
      </c>
      <c r="BA110" s="83">
        <v>46202</v>
      </c>
      <c r="BB110" s="53"/>
      <c r="BC110" s="53"/>
    </row>
    <row r="111" spans="3:55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2"/>
        <v>4</v>
      </c>
      <c r="M111" s="26">
        <f t="shared" si="13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67">
        <f>SUMIFS([1]Up!$J:$J,[1]Up!$D:$D,D111)</f>
        <v>0</v>
      </c>
      <c r="AS111" s="82"/>
      <c r="AT111" s="82" t="str">
        <f t="shared" si="14"/>
        <v>PL20</v>
      </c>
      <c r="AU111" s="53" t="str">
        <f t="shared" si="15"/>
        <v/>
      </c>
      <c r="AV111" s="53" t="s">
        <v>148</v>
      </c>
      <c r="AW111" s="84" t="s">
        <v>319</v>
      </c>
      <c r="AX111" s="53"/>
      <c r="AY111" s="53" t="s">
        <v>320</v>
      </c>
      <c r="AZ111" s="53">
        <v>4</v>
      </c>
      <c r="BA111" s="83">
        <v>46202</v>
      </c>
      <c r="BB111" s="53"/>
      <c r="BC111" s="53"/>
    </row>
    <row r="112" spans="3:55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2"/>
        <v>1</v>
      </c>
      <c r="M112" s="26">
        <f t="shared" si="13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67">
        <f>SUMIFS([1]Up!$J:$J,[1]Up!$D:$D,D112)</f>
        <v>0</v>
      </c>
      <c r="AS112" s="82"/>
      <c r="AT112" s="82" t="str">
        <f t="shared" si="14"/>
        <v>PL30</v>
      </c>
      <c r="AU112" s="53" t="str">
        <f t="shared" si="15"/>
        <v/>
      </c>
      <c r="AV112" s="53" t="s">
        <v>148</v>
      </c>
      <c r="AW112" s="84" t="s">
        <v>688</v>
      </c>
      <c r="AX112" s="53"/>
      <c r="AY112" s="53" t="s">
        <v>689</v>
      </c>
      <c r="AZ112" s="53">
        <v>1</v>
      </c>
      <c r="BA112" s="83">
        <v>46196</v>
      </c>
      <c r="BB112" s="53"/>
      <c r="BC112" s="53"/>
    </row>
    <row r="113" spans="3:55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2"/>
        <v>2</v>
      </c>
      <c r="M113" s="26">
        <f t="shared" si="13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67">
        <f>SUMIFS([1]Up!$J:$J,[1]Up!$D:$D,D113)</f>
        <v>0</v>
      </c>
      <c r="AS113" s="82"/>
      <c r="AT113" s="82" t="str">
        <f t="shared" si="14"/>
        <v>PL20</v>
      </c>
      <c r="AU113" s="53" t="str">
        <f t="shared" si="15"/>
        <v/>
      </c>
      <c r="AV113" s="53" t="s">
        <v>148</v>
      </c>
      <c r="AW113" s="84" t="s">
        <v>319</v>
      </c>
      <c r="AX113" s="53"/>
      <c r="AY113" s="53" t="s">
        <v>320</v>
      </c>
      <c r="AZ113" s="53">
        <v>2</v>
      </c>
      <c r="BA113" s="83">
        <v>46202</v>
      </c>
      <c r="BB113" s="53"/>
      <c r="BC113" s="53"/>
    </row>
    <row r="114" spans="3:55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2"/>
        <v>2</v>
      </c>
      <c r="M114" s="26">
        <f t="shared" si="13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67">
        <f>SUMIFS([1]Up!$J:$J,[1]Up!$D:$D,D114)</f>
        <v>0</v>
      </c>
      <c r="AS114" s="82"/>
      <c r="AT114" s="82" t="str">
        <f t="shared" si="14"/>
        <v>PL20</v>
      </c>
      <c r="AU114" s="53" t="str">
        <f t="shared" si="15"/>
        <v/>
      </c>
      <c r="AV114" s="53" t="s">
        <v>148</v>
      </c>
      <c r="AW114" s="84" t="s">
        <v>319</v>
      </c>
      <c r="AX114" s="53"/>
      <c r="AY114" s="53" t="s">
        <v>320</v>
      </c>
      <c r="AZ114" s="53">
        <v>2</v>
      </c>
      <c r="BA114" s="83">
        <v>46202</v>
      </c>
      <c r="BB114" s="53"/>
      <c r="BC114" s="53"/>
    </row>
    <row r="115" spans="3:55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2"/>
        <v>2</v>
      </c>
      <c r="M115" s="26">
        <f t="shared" si="13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67">
        <f>SUMIFS([1]Up!$J:$J,[1]Up!$D:$D,D115)</f>
        <v>0</v>
      </c>
      <c r="AS115" s="82"/>
      <c r="AT115" s="82" t="str">
        <f t="shared" si="14"/>
        <v>PL20</v>
      </c>
      <c r="AU115" s="53" t="str">
        <f t="shared" si="15"/>
        <v/>
      </c>
      <c r="AV115" s="53" t="s">
        <v>148</v>
      </c>
      <c r="AW115" s="84" t="s">
        <v>319</v>
      </c>
      <c r="AX115" s="53"/>
      <c r="AY115" s="53" t="s">
        <v>320</v>
      </c>
      <c r="AZ115" s="53">
        <v>2</v>
      </c>
      <c r="BA115" s="83">
        <v>46202</v>
      </c>
      <c r="BB115" s="53"/>
      <c r="BC115" s="53"/>
    </row>
    <row r="116" spans="3:55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2"/>
        <v>2</v>
      </c>
      <c r="M116" s="26">
        <f t="shared" si="13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67">
        <f>SUMIFS([1]Up!$J:$J,[1]Up!$D:$D,D116)</f>
        <v>0</v>
      </c>
      <c r="AS116" s="82"/>
      <c r="AT116" s="82" t="str">
        <f t="shared" si="14"/>
        <v>PL20</v>
      </c>
      <c r="AU116" s="53" t="str">
        <f t="shared" si="15"/>
        <v/>
      </c>
      <c r="AV116" s="53" t="s">
        <v>148</v>
      </c>
      <c r="AW116" s="84" t="s">
        <v>319</v>
      </c>
      <c r="AX116" s="53"/>
      <c r="AY116" s="53" t="s">
        <v>320</v>
      </c>
      <c r="AZ116" s="53">
        <v>2</v>
      </c>
      <c r="BA116" s="83">
        <v>46202</v>
      </c>
      <c r="BB116" s="53"/>
      <c r="BC116" s="53"/>
    </row>
    <row r="117" spans="3:55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2"/>
        <v>2</v>
      </c>
      <c r="M117" s="26">
        <f t="shared" si="13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67">
        <f>SUMIFS([1]Up!$J:$J,[1]Up!$D:$D,D117)</f>
        <v>0</v>
      </c>
      <c r="AS117" s="82"/>
      <c r="AT117" s="82" t="str">
        <f t="shared" si="14"/>
        <v>PL20</v>
      </c>
      <c r="AU117" s="53" t="str">
        <f t="shared" si="15"/>
        <v/>
      </c>
      <c r="AV117" s="53" t="s">
        <v>148</v>
      </c>
      <c r="AW117" s="84" t="s">
        <v>319</v>
      </c>
      <c r="AX117" s="53"/>
      <c r="AY117" s="53" t="s">
        <v>320</v>
      </c>
      <c r="AZ117" s="53">
        <v>2</v>
      </c>
      <c r="BA117" s="83">
        <v>46202</v>
      </c>
      <c r="BB117" s="53"/>
      <c r="BC117" s="53"/>
    </row>
    <row r="118" spans="3:55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2"/>
        <v>2</v>
      </c>
      <c r="M118" s="26">
        <f t="shared" si="13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67">
        <f>SUMIFS([1]Up!$J:$J,[1]Up!$D:$D,D118)</f>
        <v>0</v>
      </c>
      <c r="AS118" s="82"/>
      <c r="AT118" s="82" t="str">
        <f t="shared" si="14"/>
        <v>PL20</v>
      </c>
      <c r="AU118" s="53" t="str">
        <f t="shared" si="15"/>
        <v/>
      </c>
      <c r="AV118" s="53" t="s">
        <v>148</v>
      </c>
      <c r="AW118" s="84" t="s">
        <v>319</v>
      </c>
      <c r="AX118" s="53"/>
      <c r="AY118" s="53" t="s">
        <v>320</v>
      </c>
      <c r="AZ118" s="53">
        <v>2</v>
      </c>
      <c r="BA118" s="83">
        <v>46202</v>
      </c>
      <c r="BB118" s="53"/>
      <c r="BC118" s="53"/>
    </row>
    <row r="119" spans="3:55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2"/>
        <v>2</v>
      </c>
      <c r="M119" s="26">
        <f t="shared" si="13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67">
        <f>SUMIFS([1]Up!$J:$J,[1]Up!$D:$D,D119)</f>
        <v>0</v>
      </c>
      <c r="AS119" s="82"/>
      <c r="AT119" s="82" t="str">
        <f t="shared" si="14"/>
        <v>PL20</v>
      </c>
      <c r="AU119" s="53" t="str">
        <f t="shared" si="15"/>
        <v/>
      </c>
      <c r="AV119" s="53" t="s">
        <v>148</v>
      </c>
      <c r="AW119" s="84" t="s">
        <v>319</v>
      </c>
      <c r="AX119" s="53"/>
      <c r="AY119" s="53" t="s">
        <v>320</v>
      </c>
      <c r="AZ119" s="53">
        <v>2</v>
      </c>
      <c r="BA119" s="83">
        <v>46202</v>
      </c>
      <c r="BB119" s="53"/>
      <c r="BC119" s="53"/>
    </row>
    <row r="120" spans="3:55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2"/>
        <v>2</v>
      </c>
      <c r="M120" s="26">
        <f t="shared" si="13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67">
        <f>SUMIFS([1]Up!$J:$J,[1]Up!$D:$D,D120)</f>
        <v>0</v>
      </c>
      <c r="AS120" s="82"/>
      <c r="AT120" s="82" t="str">
        <f t="shared" si="14"/>
        <v>PL20</v>
      </c>
      <c r="AU120" s="53" t="str">
        <f t="shared" si="15"/>
        <v/>
      </c>
      <c r="AV120" s="53" t="s">
        <v>148</v>
      </c>
      <c r="AW120" s="84" t="s">
        <v>319</v>
      </c>
      <c r="AX120" s="53"/>
      <c r="AY120" s="53" t="s">
        <v>320</v>
      </c>
      <c r="AZ120" s="53">
        <v>2</v>
      </c>
      <c r="BA120" s="83">
        <v>46202</v>
      </c>
      <c r="BB120" s="53"/>
      <c r="BC120" s="53"/>
    </row>
    <row r="121" spans="3:55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2"/>
        <v>1</v>
      </c>
      <c r="M121" s="26">
        <f t="shared" si="13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67">
        <f>SUMIFS([1]Up!$J:$J,[1]Up!$D:$D,D121)</f>
        <v>0</v>
      </c>
      <c r="AS121" s="82"/>
      <c r="AT121" s="82" t="str">
        <f t="shared" si="14"/>
        <v>PL5</v>
      </c>
      <c r="AU121" s="53" t="str">
        <f t="shared" si="15"/>
        <v/>
      </c>
      <c r="AV121" s="53" t="s">
        <v>148</v>
      </c>
      <c r="AW121" s="53" t="s">
        <v>704</v>
      </c>
      <c r="AX121" s="53"/>
      <c r="AY121" s="53" t="s">
        <v>705</v>
      </c>
      <c r="AZ121" s="53">
        <v>1</v>
      </c>
      <c r="BA121" s="83">
        <v>46196</v>
      </c>
      <c r="BB121" s="53"/>
      <c r="BC121" s="53"/>
    </row>
    <row r="122" spans="3:55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2"/>
        <v>1</v>
      </c>
      <c r="M122" s="26">
        <f t="shared" si="13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67">
        <f>SUMIFS([1]Up!$J:$J,[1]Up!$D:$D,D122)</f>
        <v>0</v>
      </c>
      <c r="AS122" s="82"/>
      <c r="AT122" s="82" t="str">
        <f t="shared" si="14"/>
        <v>PL20</v>
      </c>
      <c r="AU122" s="53" t="str">
        <f t="shared" si="15"/>
        <v/>
      </c>
      <c r="AV122" s="53" t="s">
        <v>148</v>
      </c>
      <c r="AW122" s="84" t="s">
        <v>319</v>
      </c>
      <c r="AX122" s="53"/>
      <c r="AY122" s="53" t="s">
        <v>320</v>
      </c>
      <c r="AZ122" s="53">
        <v>1</v>
      </c>
      <c r="BA122" s="83">
        <v>46202</v>
      </c>
      <c r="BB122" s="53"/>
      <c r="BC122" s="53"/>
    </row>
    <row r="123" spans="3:55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2"/>
        <v>1</v>
      </c>
      <c r="M123" s="26">
        <f t="shared" si="13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67">
        <f>SUMIFS([1]Up!$J:$J,[1]Up!$D:$D,D123)</f>
        <v>0</v>
      </c>
      <c r="AS123" s="82"/>
      <c r="AT123" s="82" t="str">
        <f t="shared" si="14"/>
        <v>PL20</v>
      </c>
      <c r="AU123" s="53" t="str">
        <f t="shared" si="15"/>
        <v/>
      </c>
      <c r="AV123" s="53" t="s">
        <v>148</v>
      </c>
      <c r="AW123" s="84" t="s">
        <v>319</v>
      </c>
      <c r="AX123" s="53"/>
      <c r="AY123" s="53" t="s">
        <v>320</v>
      </c>
      <c r="AZ123" s="53">
        <v>1</v>
      </c>
      <c r="BA123" s="83">
        <v>46202</v>
      </c>
      <c r="BB123" s="53"/>
      <c r="BC123" s="53"/>
    </row>
    <row r="124" spans="3:55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2"/>
        <v>2</v>
      </c>
      <c r="M124" s="26">
        <f t="shared" si="13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67">
        <f>SUMIFS([1]Up!$J:$J,[1]Up!$D:$D,D124)</f>
        <v>0</v>
      </c>
      <c r="AS124" s="82"/>
      <c r="AT124" s="82" t="str">
        <f t="shared" si="14"/>
        <v>PL20</v>
      </c>
      <c r="AU124" s="53" t="str">
        <f t="shared" si="15"/>
        <v/>
      </c>
      <c r="AV124" s="53" t="s">
        <v>148</v>
      </c>
      <c r="AW124" s="84" t="s">
        <v>319</v>
      </c>
      <c r="AX124" s="53"/>
      <c r="AY124" s="53" t="s">
        <v>320</v>
      </c>
      <c r="AZ124" s="53">
        <v>2</v>
      </c>
      <c r="BA124" s="83">
        <v>46202</v>
      </c>
      <c r="BB124" s="53"/>
      <c r="BC124" s="53"/>
    </row>
    <row r="125" spans="3:55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2"/>
        <v>2</v>
      </c>
      <c r="M125" s="26">
        <f t="shared" si="13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67">
        <f>SUMIFS([1]Up!$J:$J,[1]Up!$D:$D,D125)</f>
        <v>0</v>
      </c>
      <c r="AS125" s="82"/>
      <c r="AT125" s="82" t="str">
        <f t="shared" si="14"/>
        <v>PL20</v>
      </c>
      <c r="AU125" s="53" t="str">
        <f t="shared" si="15"/>
        <v/>
      </c>
      <c r="AV125" s="53" t="s">
        <v>148</v>
      </c>
      <c r="AW125" s="84" t="s">
        <v>319</v>
      </c>
      <c r="AX125" s="53"/>
      <c r="AY125" s="53" t="s">
        <v>320</v>
      </c>
      <c r="AZ125" s="53">
        <v>2</v>
      </c>
      <c r="BA125" s="83">
        <v>46202</v>
      </c>
      <c r="BB125" s="53"/>
      <c r="BC125" s="53"/>
    </row>
    <row r="126" spans="3:55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2"/>
        <v>2</v>
      </c>
      <c r="M126" s="26">
        <f t="shared" si="13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67">
        <f>SUMIFS([1]Up!$J:$J,[1]Up!$D:$D,D126)</f>
        <v>0</v>
      </c>
      <c r="AS126" s="82"/>
      <c r="AT126" s="82" t="str">
        <f t="shared" si="14"/>
        <v>PL20</v>
      </c>
      <c r="AU126" s="53" t="str">
        <f t="shared" si="15"/>
        <v/>
      </c>
      <c r="AV126" s="53" t="s">
        <v>148</v>
      </c>
      <c r="AW126" s="84" t="s">
        <v>319</v>
      </c>
      <c r="AX126" s="53"/>
      <c r="AY126" s="53" t="s">
        <v>320</v>
      </c>
      <c r="AZ126" s="53">
        <v>2</v>
      </c>
      <c r="BA126" s="83">
        <v>46202</v>
      </c>
      <c r="BB126" s="53"/>
      <c r="BC126" s="53"/>
    </row>
    <row r="127" spans="3:55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2"/>
        <v>2</v>
      </c>
      <c r="M127" s="26">
        <f t="shared" si="13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67">
        <f>SUMIFS([1]Up!$J:$J,[1]Up!$D:$D,D127)</f>
        <v>0</v>
      </c>
      <c r="AS127" s="82"/>
      <c r="AT127" s="82" t="str">
        <f t="shared" si="14"/>
        <v>PL20</v>
      </c>
      <c r="AU127" s="53" t="str">
        <f t="shared" si="15"/>
        <v/>
      </c>
      <c r="AV127" s="53" t="s">
        <v>148</v>
      </c>
      <c r="AW127" s="84" t="s">
        <v>319</v>
      </c>
      <c r="AX127" s="53"/>
      <c r="AY127" s="53" t="s">
        <v>320</v>
      </c>
      <c r="AZ127" s="53">
        <v>2</v>
      </c>
      <c r="BA127" s="83">
        <v>46202</v>
      </c>
      <c r="BB127" s="53"/>
      <c r="BC127" s="53"/>
    </row>
    <row r="128" spans="3:55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2"/>
        <v>6</v>
      </c>
      <c r="M128" s="26">
        <f t="shared" si="1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67">
        <f>SUMIFS([1]Up!$J:$J,[1]Up!$D:$D,D128)</f>
        <v>0</v>
      </c>
      <c r="AS128" s="82"/>
      <c r="AT128" s="82" t="str">
        <f t="shared" si="14"/>
        <v>PL15</v>
      </c>
      <c r="AU128" s="53" t="str">
        <f t="shared" si="15"/>
        <v/>
      </c>
      <c r="AV128" s="53" t="s">
        <v>148</v>
      </c>
      <c r="AW128" s="84" t="s">
        <v>200</v>
      </c>
      <c r="AX128" s="53"/>
      <c r="AY128" s="53" t="s">
        <v>201</v>
      </c>
      <c r="AZ128" s="53">
        <v>6</v>
      </c>
      <c r="BA128" s="83">
        <v>46201</v>
      </c>
      <c r="BB128" s="53"/>
      <c r="BC128" s="53"/>
    </row>
    <row r="129" spans="3:55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2"/>
        <v>12</v>
      </c>
      <c r="M129" s="26">
        <f t="shared" si="1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67">
        <f>SUMIFS([1]Up!$J:$J,[1]Up!$D:$D,D129)</f>
        <v>0</v>
      </c>
      <c r="AS129" s="82"/>
      <c r="AT129" s="82" t="str">
        <f t="shared" si="14"/>
        <v>PL15</v>
      </c>
      <c r="AU129" s="53" t="str">
        <f t="shared" si="15"/>
        <v/>
      </c>
      <c r="AV129" s="53" t="s">
        <v>148</v>
      </c>
      <c r="AW129" s="84" t="s">
        <v>200</v>
      </c>
      <c r="AX129" s="53"/>
      <c r="AY129" s="53" t="s">
        <v>201</v>
      </c>
      <c r="AZ129" s="53">
        <v>12</v>
      </c>
      <c r="BA129" s="83">
        <v>46201</v>
      </c>
      <c r="BB129" s="53"/>
      <c r="BC129" s="53"/>
    </row>
    <row r="130" spans="3:55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2"/>
        <v>6</v>
      </c>
      <c r="M130" s="26">
        <f t="shared" si="13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67">
        <f>SUMIFS([1]Up!$J:$J,[1]Up!$D:$D,D130)</f>
        <v>0</v>
      </c>
      <c r="AS130" s="82" t="s">
        <v>2235</v>
      </c>
      <c r="AT130" s="82" t="e">
        <f t="shared" si="14"/>
        <v>#VALUE!</v>
      </c>
      <c r="AU130" s="53" t="str">
        <f t="shared" si="15"/>
        <v>Thừa 18</v>
      </c>
      <c r="AV130" s="53" t="s">
        <v>154</v>
      </c>
      <c r="AW130" s="53"/>
      <c r="AX130" s="53"/>
      <c r="AY130" s="53" t="s">
        <v>57</v>
      </c>
      <c r="AZ130" s="53">
        <v>6</v>
      </c>
      <c r="BA130" s="83"/>
      <c r="BB130" s="53"/>
      <c r="BC130" s="53"/>
    </row>
    <row r="131" spans="3:55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2"/>
        <v>0</v>
      </c>
      <c r="M131" s="26">
        <f t="shared" si="13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67">
        <f>SUMIFS([1]Up!$J:$J,[1]Up!$D:$D,D131)</f>
        <v>0</v>
      </c>
      <c r="AS131" s="82"/>
      <c r="AT131" s="82" t="str">
        <f t="shared" si="14"/>
        <v>PL10</v>
      </c>
      <c r="AU131" s="53" t="str">
        <f t="shared" si="15"/>
        <v/>
      </c>
      <c r="AV131" s="53" t="s">
        <v>148</v>
      </c>
      <c r="AW131" s="84" t="s">
        <v>210</v>
      </c>
      <c r="AX131" s="53"/>
      <c r="AY131" s="53" t="s">
        <v>211</v>
      </c>
      <c r="AZ131" s="53">
        <v>6</v>
      </c>
      <c r="BA131" s="83">
        <v>46201</v>
      </c>
      <c r="BB131" s="53"/>
      <c r="BC131" s="53"/>
    </row>
    <row r="132" spans="3:55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2"/>
        <v>1</v>
      </c>
      <c r="M132" s="26">
        <f t="shared" si="13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67">
        <f>SUMIFS([1]Up!$J:$J,[1]Up!$D:$D,D132)</f>
        <v>0</v>
      </c>
      <c r="AS132" s="82"/>
      <c r="AT132" s="82" t="str">
        <f t="shared" si="14"/>
        <v>PL10</v>
      </c>
      <c r="AU132" s="53" t="str">
        <f t="shared" si="15"/>
        <v/>
      </c>
      <c r="AV132" s="53" t="s">
        <v>148</v>
      </c>
      <c r="AW132" s="84" t="s">
        <v>210</v>
      </c>
      <c r="AX132" s="53"/>
      <c r="AY132" s="53" t="s">
        <v>211</v>
      </c>
      <c r="AZ132" s="53">
        <v>1</v>
      </c>
      <c r="BA132" s="83">
        <v>46201</v>
      </c>
      <c r="BB132" s="53"/>
      <c r="BC132" s="53"/>
    </row>
    <row r="133" spans="3:55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2"/>
        <v>1</v>
      </c>
      <c r="M133" s="26">
        <f t="shared" si="13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67">
        <f>SUMIFS([1]Up!$J:$J,[1]Up!$D:$D,D133)</f>
        <v>0</v>
      </c>
      <c r="AS133" s="82"/>
      <c r="AT133" s="82" t="str">
        <f t="shared" si="14"/>
        <v>PL15</v>
      </c>
      <c r="AU133" s="53" t="str">
        <f t="shared" si="15"/>
        <v/>
      </c>
      <c r="AV133" s="53" t="s">
        <v>148</v>
      </c>
      <c r="AW133" s="84" t="s">
        <v>200</v>
      </c>
      <c r="AX133" s="53"/>
      <c r="AY133" s="53" t="s">
        <v>201</v>
      </c>
      <c r="AZ133" s="53">
        <v>1</v>
      </c>
      <c r="BA133" s="83">
        <v>46201</v>
      </c>
      <c r="BB133" s="53"/>
      <c r="BC133" s="53"/>
    </row>
    <row r="134" spans="3:55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2"/>
        <v>1</v>
      </c>
      <c r="M134" s="26">
        <f t="shared" si="13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67">
        <f>SUMIFS([1]Up!$J:$J,[1]Up!$D:$D,D134)</f>
        <v>0</v>
      </c>
      <c r="AS134" s="82"/>
      <c r="AT134" s="82" t="str">
        <f t="shared" si="14"/>
        <v>PL20</v>
      </c>
      <c r="AU134" s="53" t="str">
        <f t="shared" si="15"/>
        <v/>
      </c>
      <c r="AV134" s="53" t="s">
        <v>148</v>
      </c>
      <c r="AW134" s="84" t="s">
        <v>319</v>
      </c>
      <c r="AX134" s="53"/>
      <c r="AY134" s="53" t="s">
        <v>320</v>
      </c>
      <c r="AZ134" s="53">
        <v>1</v>
      </c>
      <c r="BA134" s="83">
        <v>46202</v>
      </c>
      <c r="BB134" s="53"/>
      <c r="BC134" s="53"/>
    </row>
    <row r="135" spans="3:55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2"/>
        <v>1</v>
      </c>
      <c r="M135" s="26">
        <f t="shared" si="1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67">
        <f>SUMIFS([1]Up!$J:$J,[1]Up!$D:$D,D135)</f>
        <v>0</v>
      </c>
      <c r="AS135" s="82"/>
      <c r="AT135" s="82" t="str">
        <f t="shared" si="14"/>
        <v>PL15</v>
      </c>
      <c r="AU135" s="53" t="str">
        <f t="shared" si="15"/>
        <v/>
      </c>
      <c r="AV135" s="53" t="s">
        <v>148</v>
      </c>
      <c r="AW135" s="84" t="s">
        <v>200</v>
      </c>
      <c r="AX135" s="53"/>
      <c r="AY135" s="53" t="s">
        <v>201</v>
      </c>
      <c r="AZ135" s="53">
        <v>1</v>
      </c>
      <c r="BA135" s="83">
        <v>46201</v>
      </c>
      <c r="BB135" s="53"/>
      <c r="BC135" s="53"/>
    </row>
    <row r="136" spans="3:55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2"/>
        <v>1</v>
      </c>
      <c r="M136" s="26">
        <f t="shared" si="1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67">
        <f>SUMIFS([1]Up!$J:$J,[1]Up!$D:$D,D136)</f>
        <v>0</v>
      </c>
      <c r="AS136" s="82" t="s">
        <v>2072</v>
      </c>
      <c r="AT136" s="82" t="e">
        <f t="shared" si="14"/>
        <v>#VALUE!</v>
      </c>
      <c r="AU136" s="53" t="str">
        <f t="shared" si="15"/>
        <v>Thừa 2</v>
      </c>
      <c r="AV136" s="53" t="s">
        <v>154</v>
      </c>
      <c r="AW136" s="53"/>
      <c r="AX136" s="53"/>
      <c r="AY136" s="53" t="s">
        <v>57</v>
      </c>
      <c r="AZ136" s="53">
        <v>1</v>
      </c>
      <c r="BA136" s="83"/>
      <c r="BB136" s="53"/>
      <c r="BC136" s="53"/>
    </row>
    <row r="137" spans="3:55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2"/>
        <v>1</v>
      </c>
      <c r="M137" s="26">
        <f t="shared" si="1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67">
        <f>SUMIFS([1]Up!$J:$J,[1]Up!$D:$D,D137)</f>
        <v>0</v>
      </c>
      <c r="AS137" s="82"/>
      <c r="AT137" s="82" t="str">
        <f t="shared" si="14"/>
        <v>PL15</v>
      </c>
      <c r="AU137" s="53" t="str">
        <f t="shared" si="15"/>
        <v/>
      </c>
      <c r="AV137" s="53" t="s">
        <v>148</v>
      </c>
      <c r="AW137" s="84" t="s">
        <v>200</v>
      </c>
      <c r="AX137" s="53"/>
      <c r="AY137" s="53" t="s">
        <v>201</v>
      </c>
      <c r="AZ137" s="53">
        <v>1</v>
      </c>
      <c r="BA137" s="83">
        <v>46201</v>
      </c>
      <c r="BB137" s="53"/>
      <c r="BC137" s="53"/>
    </row>
    <row r="138" spans="3:55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2"/>
        <v>1</v>
      </c>
      <c r="M138" s="26">
        <f t="shared" si="13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67">
        <f>SUMIFS([1]Up!$J:$J,[1]Up!$D:$D,D138)</f>
        <v>0</v>
      </c>
      <c r="AS138" s="82"/>
      <c r="AT138" s="82" t="str">
        <f t="shared" si="14"/>
        <v>PL20</v>
      </c>
      <c r="AU138" s="53" t="str">
        <f t="shared" si="15"/>
        <v/>
      </c>
      <c r="AV138" s="53" t="s">
        <v>148</v>
      </c>
      <c r="AW138" s="84" t="s">
        <v>319</v>
      </c>
      <c r="AX138" s="53"/>
      <c r="AY138" s="53" t="s">
        <v>320</v>
      </c>
      <c r="AZ138" s="53">
        <v>1</v>
      </c>
      <c r="BA138" s="83">
        <v>46202</v>
      </c>
      <c r="BB138" s="53"/>
      <c r="BC138" s="53"/>
    </row>
    <row r="139" spans="3:55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2"/>
        <v>0</v>
      </c>
      <c r="M139" s="26">
        <f t="shared" si="13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67">
        <f>SUMIFS([1]Up!$J:$J,[1]Up!$D:$D,D139)</f>
        <v>0</v>
      </c>
      <c r="AS139" s="82"/>
      <c r="AT139" s="82" t="str">
        <f t="shared" si="14"/>
        <v>PL10</v>
      </c>
      <c r="AU139" s="53" t="str">
        <f t="shared" si="15"/>
        <v/>
      </c>
      <c r="AV139" s="53" t="s">
        <v>148</v>
      </c>
      <c r="AW139" s="84" t="s">
        <v>210</v>
      </c>
      <c r="AX139" s="53"/>
      <c r="AY139" s="53" t="s">
        <v>211</v>
      </c>
      <c r="AZ139" s="53">
        <v>1</v>
      </c>
      <c r="BA139" s="83">
        <v>46201</v>
      </c>
      <c r="BB139" s="53"/>
      <c r="BC139" s="53"/>
    </row>
    <row r="140" spans="3:55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2"/>
        <v>1</v>
      </c>
      <c r="M140" s="26">
        <f t="shared" si="1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67">
        <f>SUMIFS([1]Up!$J:$J,[1]Up!$D:$D,D140)</f>
        <v>0</v>
      </c>
      <c r="AS140" s="82"/>
      <c r="AT140" s="82" t="str">
        <f t="shared" si="14"/>
        <v>PL15</v>
      </c>
      <c r="AU140" s="53" t="str">
        <f t="shared" si="15"/>
        <v/>
      </c>
      <c r="AV140" s="53" t="s">
        <v>148</v>
      </c>
      <c r="AW140" s="84" t="s">
        <v>200</v>
      </c>
      <c r="AX140" s="53"/>
      <c r="AY140" s="53" t="s">
        <v>201</v>
      </c>
      <c r="AZ140" s="53">
        <v>1</v>
      </c>
      <c r="BA140" s="83">
        <v>46201</v>
      </c>
      <c r="BB140" s="53"/>
      <c r="BC140" s="53"/>
    </row>
    <row r="141" spans="3:55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2"/>
        <v>1</v>
      </c>
      <c r="M141" s="26">
        <f t="shared" si="13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67">
        <f>SUMIFS([1]Up!$J:$J,[1]Up!$D:$D,D141)</f>
        <v>0</v>
      </c>
      <c r="AS141" s="82" t="s">
        <v>2247</v>
      </c>
      <c r="AT141" s="82" t="e">
        <f t="shared" si="14"/>
        <v>#VALUE!</v>
      </c>
      <c r="AU141" s="53" t="str">
        <f t="shared" si="15"/>
        <v>Thừa 2</v>
      </c>
      <c r="AV141" s="53" t="s">
        <v>154</v>
      </c>
      <c r="AW141" s="53"/>
      <c r="AX141" s="53"/>
      <c r="AY141" s="53" t="s">
        <v>57</v>
      </c>
      <c r="AZ141" s="53">
        <v>1</v>
      </c>
      <c r="BA141" s="83"/>
      <c r="BB141" s="53"/>
      <c r="BC141" s="53"/>
    </row>
    <row r="142" spans="3:55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2"/>
        <v>1</v>
      </c>
      <c r="M142" s="26">
        <f t="shared" si="1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67">
        <f>SUMIFS([1]Up!$J:$J,[1]Up!$D:$D,D142)</f>
        <v>0</v>
      </c>
      <c r="AS142" s="82"/>
      <c r="AT142" s="82" t="str">
        <f t="shared" si="14"/>
        <v>PL15</v>
      </c>
      <c r="AU142" s="53" t="str">
        <f t="shared" si="15"/>
        <v/>
      </c>
      <c r="AV142" s="53" t="s">
        <v>148</v>
      </c>
      <c r="AW142" s="84" t="s">
        <v>200</v>
      </c>
      <c r="AX142" s="53"/>
      <c r="AY142" s="53" t="s">
        <v>201</v>
      </c>
      <c r="AZ142" s="53">
        <v>1</v>
      </c>
      <c r="BA142" s="83">
        <v>46201</v>
      </c>
      <c r="BB142" s="53"/>
      <c r="BC142" s="53"/>
    </row>
    <row r="143" spans="3:55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2"/>
        <v>1</v>
      </c>
      <c r="M143" s="26">
        <f t="shared" si="13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67">
        <f>SUMIFS([1]Up!$J:$J,[1]Up!$D:$D,D143)</f>
        <v>0</v>
      </c>
      <c r="AS143" s="82"/>
      <c r="AT143" s="82" t="str">
        <f t="shared" si="14"/>
        <v>PL20</v>
      </c>
      <c r="AU143" s="53" t="str">
        <f t="shared" si="15"/>
        <v/>
      </c>
      <c r="AV143" s="53" t="s">
        <v>148</v>
      </c>
      <c r="AW143" s="84" t="s">
        <v>319</v>
      </c>
      <c r="AX143" s="53"/>
      <c r="AY143" s="53" t="s">
        <v>320</v>
      </c>
      <c r="AZ143" s="53">
        <v>1</v>
      </c>
      <c r="BA143" s="83">
        <v>46202</v>
      </c>
      <c r="BB143" s="53"/>
      <c r="BC143" s="53"/>
    </row>
    <row r="144" spans="3:55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2"/>
        <v>1</v>
      </c>
      <c r="M144" s="26">
        <f t="shared" si="13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67">
        <f>SUMIFS([1]Up!$J:$J,[1]Up!$D:$D,D144)</f>
        <v>0</v>
      </c>
      <c r="AS144" s="82"/>
      <c r="AT144" s="82" t="str">
        <f t="shared" si="14"/>
        <v>PL10</v>
      </c>
      <c r="AU144" s="53" t="str">
        <f t="shared" si="15"/>
        <v/>
      </c>
      <c r="AV144" s="53" t="s">
        <v>148</v>
      </c>
      <c r="AW144" s="84" t="s">
        <v>210</v>
      </c>
      <c r="AX144" s="53"/>
      <c r="AY144" s="53" t="s">
        <v>211</v>
      </c>
      <c r="AZ144" s="53">
        <v>1</v>
      </c>
      <c r="BA144" s="83">
        <v>46201</v>
      </c>
      <c r="BB144" s="53"/>
      <c r="BC144" s="53"/>
    </row>
    <row r="145" spans="3:55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2"/>
        <v>1</v>
      </c>
      <c r="M145" s="26">
        <f t="shared" si="1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67">
        <f>SUMIFS([1]Up!$J:$J,[1]Up!$D:$D,D145)</f>
        <v>0</v>
      </c>
      <c r="AS145" s="82"/>
      <c r="AT145" s="82" t="str">
        <f t="shared" si="14"/>
        <v>PL15</v>
      </c>
      <c r="AU145" s="53" t="str">
        <f t="shared" si="15"/>
        <v/>
      </c>
      <c r="AV145" s="53" t="s">
        <v>148</v>
      </c>
      <c r="AW145" s="84" t="s">
        <v>200</v>
      </c>
      <c r="AX145" s="53"/>
      <c r="AY145" s="53" t="s">
        <v>201</v>
      </c>
      <c r="AZ145" s="53">
        <v>1</v>
      </c>
      <c r="BA145" s="83">
        <v>46201</v>
      </c>
      <c r="BB145" s="53"/>
      <c r="BC145" s="53"/>
    </row>
    <row r="146" spans="3:55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2"/>
        <v>1</v>
      </c>
      <c r="M146" s="26">
        <f t="shared" si="1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67">
        <f>SUMIFS([1]Up!$J:$J,[1]Up!$D:$D,D146)</f>
        <v>0</v>
      </c>
      <c r="AS146" s="82" t="s">
        <v>2078</v>
      </c>
      <c r="AT146" s="82" t="e">
        <f t="shared" si="14"/>
        <v>#VALUE!</v>
      </c>
      <c r="AU146" s="53" t="str">
        <f t="shared" si="15"/>
        <v>Thừa 2</v>
      </c>
      <c r="AV146" s="53" t="s">
        <v>154</v>
      </c>
      <c r="AW146" s="53"/>
      <c r="AX146" s="53"/>
      <c r="AY146" s="53" t="s">
        <v>57</v>
      </c>
      <c r="AZ146" s="53">
        <v>1</v>
      </c>
      <c r="BA146" s="83"/>
      <c r="BB146" s="53"/>
      <c r="BC146" s="53"/>
    </row>
    <row r="147" spans="3:55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2"/>
        <v>1</v>
      </c>
      <c r="M147" s="26">
        <f t="shared" si="1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67">
        <f>SUMIFS([1]Up!$J:$J,[1]Up!$D:$D,D147)</f>
        <v>0</v>
      </c>
      <c r="AS147" s="82"/>
      <c r="AT147" s="82" t="str">
        <f t="shared" si="14"/>
        <v>PL15</v>
      </c>
      <c r="AU147" s="53" t="str">
        <f t="shared" si="15"/>
        <v/>
      </c>
      <c r="AV147" s="53" t="s">
        <v>148</v>
      </c>
      <c r="AW147" s="84" t="s">
        <v>200</v>
      </c>
      <c r="AX147" s="53"/>
      <c r="AY147" s="53" t="s">
        <v>201</v>
      </c>
      <c r="AZ147" s="53">
        <v>1</v>
      </c>
      <c r="BA147" s="83">
        <v>46201</v>
      </c>
      <c r="BB147" s="53"/>
      <c r="BC147" s="53"/>
    </row>
    <row r="148" spans="3:55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2"/>
        <v>1</v>
      </c>
      <c r="M148" s="26">
        <f t="shared" si="13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67">
        <f>SUMIFS([1]Up!$J:$J,[1]Up!$D:$D,D148)</f>
        <v>0</v>
      </c>
      <c r="AS148" s="82"/>
      <c r="AT148" s="82" t="str">
        <f t="shared" si="14"/>
        <v>PL20</v>
      </c>
      <c r="AU148" s="53" t="str">
        <f t="shared" si="15"/>
        <v/>
      </c>
      <c r="AV148" s="53" t="s">
        <v>148</v>
      </c>
      <c r="AW148" s="84" t="s">
        <v>319</v>
      </c>
      <c r="AX148" s="53"/>
      <c r="AY148" s="53" t="s">
        <v>320</v>
      </c>
      <c r="AZ148" s="53">
        <v>1</v>
      </c>
      <c r="BA148" s="83">
        <v>46202</v>
      </c>
      <c r="BB148" s="53"/>
      <c r="BC148" s="53"/>
    </row>
    <row r="149" spans="3:55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2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67">
        <f>SUMIFS([1]Up!$J:$J,[1]Up!$D:$D,D149)</f>
        <v>0</v>
      </c>
      <c r="AS149" s="82"/>
      <c r="AT149" s="82" t="str">
        <f t="shared" si="14"/>
        <v>PL10</v>
      </c>
      <c r="AU149" s="53" t="str">
        <f t="shared" si="15"/>
        <v/>
      </c>
      <c r="AV149" s="53" t="s">
        <v>148</v>
      </c>
      <c r="AW149" s="53"/>
      <c r="AX149" s="53"/>
      <c r="AY149" s="53"/>
      <c r="AZ149" s="53"/>
      <c r="BA149" s="83"/>
      <c r="BB149" s="53"/>
      <c r="BC149" s="53"/>
    </row>
    <row r="150" spans="3:55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2"/>
        <v>1</v>
      </c>
      <c r="M150" s="26">
        <f t="shared" si="13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67">
        <f>SUMIFS([1]Up!$J:$J,[1]Up!$D:$D,D150)</f>
        <v>0</v>
      </c>
      <c r="AS150" s="82"/>
      <c r="AT150" s="82" t="str">
        <f t="shared" si="14"/>
        <v>PL15</v>
      </c>
      <c r="AU150" s="53" t="str">
        <f t="shared" si="15"/>
        <v/>
      </c>
      <c r="AV150" s="53" t="s">
        <v>148</v>
      </c>
      <c r="AW150" s="84" t="s">
        <v>200</v>
      </c>
      <c r="AX150" s="53"/>
      <c r="AY150" s="53" t="s">
        <v>201</v>
      </c>
      <c r="AZ150" s="53">
        <v>1</v>
      </c>
      <c r="BA150" s="83">
        <v>46201</v>
      </c>
      <c r="BB150" s="53"/>
      <c r="BC150" s="53"/>
    </row>
    <row r="151" spans="3:55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2"/>
        <v>1</v>
      </c>
      <c r="M151" s="26">
        <f t="shared" si="1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67">
        <f>SUMIFS([1]Up!$J:$J,[1]Up!$D:$D,D151)</f>
        <v>0</v>
      </c>
      <c r="AS151" s="82" t="s">
        <v>2386</v>
      </c>
      <c r="AT151" s="82" t="e">
        <f t="shared" si="14"/>
        <v>#VALUE!</v>
      </c>
      <c r="AU151" s="53" t="str">
        <f t="shared" si="15"/>
        <v>Thừa 2</v>
      </c>
      <c r="AV151" s="53" t="s">
        <v>154</v>
      </c>
      <c r="AW151" s="53"/>
      <c r="AX151" s="53"/>
      <c r="AY151" s="53" t="s">
        <v>57</v>
      </c>
      <c r="AZ151" s="53">
        <v>1</v>
      </c>
      <c r="BA151" s="83"/>
      <c r="BB151" s="53"/>
      <c r="BC151" s="53"/>
    </row>
    <row r="152" spans="3:55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2"/>
        <v>1</v>
      </c>
      <c r="M152" s="26">
        <f t="shared" si="1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67">
        <f>SUMIFS([1]Up!$J:$J,[1]Up!$D:$D,D152)</f>
        <v>0</v>
      </c>
      <c r="AS152" s="82"/>
      <c r="AT152" s="82" t="str">
        <f t="shared" si="14"/>
        <v>PL15</v>
      </c>
      <c r="AU152" s="53" t="str">
        <f t="shared" si="15"/>
        <v/>
      </c>
      <c r="AV152" s="53" t="s">
        <v>148</v>
      </c>
      <c r="AW152" s="84" t="s">
        <v>200</v>
      </c>
      <c r="AX152" s="53"/>
      <c r="AY152" s="53" t="s">
        <v>201</v>
      </c>
      <c r="AZ152" s="53">
        <v>1</v>
      </c>
      <c r="BA152" s="83">
        <v>46201</v>
      </c>
      <c r="BB152" s="53"/>
      <c r="BC152" s="53"/>
    </row>
    <row r="153" spans="3:55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2"/>
        <v>1</v>
      </c>
      <c r="M153" s="26">
        <f t="shared" si="13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67">
        <f>SUMIFS([1]Up!$J:$J,[1]Up!$D:$D,D153)</f>
        <v>0</v>
      </c>
      <c r="AS153" s="82"/>
      <c r="AT153" s="82" t="str">
        <f t="shared" si="14"/>
        <v>PL20</v>
      </c>
      <c r="AU153" s="53" t="str">
        <f t="shared" si="15"/>
        <v/>
      </c>
      <c r="AV153" s="53" t="s">
        <v>148</v>
      </c>
      <c r="AW153" s="84" t="s">
        <v>319</v>
      </c>
      <c r="AX153" s="53"/>
      <c r="AY153" s="53" t="s">
        <v>320</v>
      </c>
      <c r="AZ153" s="53">
        <v>1</v>
      </c>
      <c r="BA153" s="83">
        <v>46202</v>
      </c>
      <c r="BB153" s="53"/>
      <c r="BC153" s="53"/>
    </row>
    <row r="154" spans="3:55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2"/>
        <v>1</v>
      </c>
      <c r="M154" s="26">
        <f t="shared" si="13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67">
        <f>SUMIFS([1]Up!$J:$J,[1]Up!$D:$D,D154)</f>
        <v>0</v>
      </c>
      <c r="AS154" s="82"/>
      <c r="AT154" s="82" t="str">
        <f t="shared" si="14"/>
        <v>PL10</v>
      </c>
      <c r="AU154" s="53" t="str">
        <f t="shared" si="15"/>
        <v/>
      </c>
      <c r="AV154" s="53" t="s">
        <v>148</v>
      </c>
      <c r="AW154" s="84" t="s">
        <v>210</v>
      </c>
      <c r="AX154" s="53"/>
      <c r="AY154" s="53" t="s">
        <v>211</v>
      </c>
      <c r="AZ154" s="53">
        <v>1</v>
      </c>
      <c r="BA154" s="83">
        <v>46201</v>
      </c>
      <c r="BB154" s="53"/>
      <c r="BC154" s="53"/>
    </row>
    <row r="155" spans="3:55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2"/>
        <v>1</v>
      </c>
      <c r="M155" s="26">
        <f t="shared" si="1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67">
        <f>SUMIFS([1]Up!$J:$J,[1]Up!$D:$D,D155)</f>
        <v>0</v>
      </c>
      <c r="AS155" s="82"/>
      <c r="AT155" s="82" t="str">
        <f t="shared" si="14"/>
        <v>PL15</v>
      </c>
      <c r="AU155" s="53" t="str">
        <f t="shared" si="15"/>
        <v/>
      </c>
      <c r="AV155" s="53" t="s">
        <v>148</v>
      </c>
      <c r="AW155" s="84" t="s">
        <v>200</v>
      </c>
      <c r="AX155" s="53"/>
      <c r="AY155" s="53" t="s">
        <v>201</v>
      </c>
      <c r="AZ155" s="53">
        <v>1</v>
      </c>
      <c r="BA155" s="83">
        <v>46201</v>
      </c>
      <c r="BB155" s="53"/>
      <c r="BC155" s="53"/>
    </row>
    <row r="156" spans="3:55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2"/>
        <v>1</v>
      </c>
      <c r="M156" s="26">
        <f t="shared" si="1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67">
        <f>SUMIFS([1]Up!$J:$J,[1]Up!$D:$D,D156)</f>
        <v>0</v>
      </c>
      <c r="AS156" s="82" t="s">
        <v>2086</v>
      </c>
      <c r="AT156" s="82" t="e">
        <f t="shared" si="14"/>
        <v>#VALUE!</v>
      </c>
      <c r="AU156" s="53" t="str">
        <f t="shared" si="15"/>
        <v>Thừa 2</v>
      </c>
      <c r="AV156" s="53" t="s">
        <v>154</v>
      </c>
      <c r="AW156" s="53"/>
      <c r="AX156" s="53"/>
      <c r="AY156" s="53" t="s">
        <v>57</v>
      </c>
      <c r="AZ156" s="53">
        <v>1</v>
      </c>
      <c r="BA156" s="83"/>
      <c r="BB156" s="53"/>
      <c r="BC156" s="53"/>
    </row>
    <row r="157" spans="3:55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2"/>
        <v>1</v>
      </c>
      <c r="M157" s="26">
        <f t="shared" si="1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67">
        <f>SUMIFS([1]Up!$J:$J,[1]Up!$D:$D,D157)</f>
        <v>0</v>
      </c>
      <c r="AS157" s="82"/>
      <c r="AT157" s="82" t="str">
        <f t="shared" si="14"/>
        <v>PL15</v>
      </c>
      <c r="AU157" s="53" t="str">
        <f t="shared" si="15"/>
        <v/>
      </c>
      <c r="AV157" s="53" t="s">
        <v>148</v>
      </c>
      <c r="AW157" s="84" t="s">
        <v>200</v>
      </c>
      <c r="AX157" s="53"/>
      <c r="AY157" s="53" t="s">
        <v>201</v>
      </c>
      <c r="AZ157" s="53">
        <v>1</v>
      </c>
      <c r="BA157" s="83">
        <v>46201</v>
      </c>
      <c r="BB157" s="53"/>
      <c r="BC157" s="53"/>
    </row>
    <row r="158" spans="3:55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2"/>
        <v>1</v>
      </c>
      <c r="M158" s="26">
        <f t="shared" si="13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67">
        <f>SUMIFS([1]Up!$J:$J,[1]Up!$D:$D,D158)</f>
        <v>0</v>
      </c>
      <c r="AS158" s="82"/>
      <c r="AT158" s="82" t="str">
        <f t="shared" si="14"/>
        <v>PL20</v>
      </c>
      <c r="AU158" s="53" t="str">
        <f t="shared" si="15"/>
        <v/>
      </c>
      <c r="AV158" s="53" t="s">
        <v>148</v>
      </c>
      <c r="AW158" s="84" t="s">
        <v>319</v>
      </c>
      <c r="AX158" s="53"/>
      <c r="AY158" s="53" t="s">
        <v>320</v>
      </c>
      <c r="AZ158" s="53">
        <v>1</v>
      </c>
      <c r="BA158" s="83">
        <v>46202</v>
      </c>
      <c r="BB158" s="53"/>
      <c r="BC158" s="53"/>
    </row>
    <row r="159" spans="3:55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2"/>
        <v>1</v>
      </c>
      <c r="M159" s="26">
        <f t="shared" si="13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67">
        <f>SUMIFS([1]Up!$J:$J,[1]Up!$D:$D,D159)</f>
        <v>0</v>
      </c>
      <c r="AS159" s="82"/>
      <c r="AT159" s="82" t="str">
        <f t="shared" si="14"/>
        <v>PL10</v>
      </c>
      <c r="AU159" s="53" t="str">
        <f t="shared" si="15"/>
        <v/>
      </c>
      <c r="AV159" s="53" t="s">
        <v>148</v>
      </c>
      <c r="AW159" s="84" t="s">
        <v>210</v>
      </c>
      <c r="AX159" s="53"/>
      <c r="AY159" s="53" t="s">
        <v>211</v>
      </c>
      <c r="AZ159" s="53">
        <v>1</v>
      </c>
      <c r="BA159" s="83">
        <v>46201</v>
      </c>
      <c r="BB159" s="53"/>
      <c r="BC159" s="53"/>
    </row>
    <row r="160" spans="3:55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2"/>
        <v>1</v>
      </c>
      <c r="M160" s="26">
        <f t="shared" si="1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67">
        <f>SUMIFS([1]Up!$J:$J,[1]Up!$D:$D,D160)</f>
        <v>0</v>
      </c>
      <c r="AS160" s="82"/>
      <c r="AT160" s="82" t="str">
        <f t="shared" si="14"/>
        <v>PL15</v>
      </c>
      <c r="AU160" s="53" t="str">
        <f t="shared" si="15"/>
        <v/>
      </c>
      <c r="AV160" s="53" t="s">
        <v>148</v>
      </c>
      <c r="AW160" s="84" t="s">
        <v>200</v>
      </c>
      <c r="AX160" s="53"/>
      <c r="AY160" s="53" t="s">
        <v>201</v>
      </c>
      <c r="AZ160" s="53">
        <v>1</v>
      </c>
      <c r="BA160" s="83">
        <v>46201</v>
      </c>
      <c r="BB160" s="53"/>
      <c r="BC160" s="53"/>
    </row>
    <row r="161" spans="3:55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2"/>
        <v>1</v>
      </c>
      <c r="M161" s="26">
        <f t="shared" si="1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67">
        <f>SUMIFS([1]Up!$J:$J,[1]Up!$D:$D,D161)</f>
        <v>0</v>
      </c>
      <c r="AS161" s="82" t="s">
        <v>2072</v>
      </c>
      <c r="AT161" s="82" t="e">
        <f t="shared" si="14"/>
        <v>#VALUE!</v>
      </c>
      <c r="AU161" s="53" t="str">
        <f t="shared" si="15"/>
        <v>Thừa 2</v>
      </c>
      <c r="AV161" s="53" t="s">
        <v>154</v>
      </c>
      <c r="AW161" s="53"/>
      <c r="AX161" s="53"/>
      <c r="AY161" s="53" t="s">
        <v>57</v>
      </c>
      <c r="AZ161" s="53">
        <v>1</v>
      </c>
      <c r="BA161" s="83"/>
      <c r="BB161" s="53"/>
      <c r="BC161" s="53"/>
    </row>
    <row r="162" spans="3:55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2"/>
        <v>1</v>
      </c>
      <c r="M162" s="26">
        <f t="shared" si="1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67">
        <f>SUMIFS([1]Up!$J:$J,[1]Up!$D:$D,D162)</f>
        <v>0</v>
      </c>
      <c r="AS162" s="82"/>
      <c r="AT162" s="82" t="str">
        <f t="shared" si="14"/>
        <v>PL15</v>
      </c>
      <c r="AU162" s="53" t="str">
        <f t="shared" si="15"/>
        <v/>
      </c>
      <c r="AV162" s="53" t="s">
        <v>148</v>
      </c>
      <c r="AW162" s="84" t="s">
        <v>200</v>
      </c>
      <c r="AX162" s="53"/>
      <c r="AY162" s="53" t="s">
        <v>201</v>
      </c>
      <c r="AZ162" s="53">
        <v>1</v>
      </c>
      <c r="BA162" s="83">
        <v>46201</v>
      </c>
      <c r="BB162" s="53"/>
      <c r="BC162" s="53"/>
    </row>
    <row r="163" spans="3:55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2"/>
        <v>1</v>
      </c>
      <c r="M163" s="26">
        <f t="shared" si="13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67">
        <f>SUMIFS([1]Up!$J:$J,[1]Up!$D:$D,D163)</f>
        <v>0</v>
      </c>
      <c r="AS163" s="82"/>
      <c r="AT163" s="82" t="str">
        <f t="shared" si="14"/>
        <v>PL20</v>
      </c>
      <c r="AU163" s="53" t="str">
        <f t="shared" si="15"/>
        <v/>
      </c>
      <c r="AV163" s="53" t="s">
        <v>148</v>
      </c>
      <c r="AW163" s="84" t="s">
        <v>319</v>
      </c>
      <c r="AX163" s="53"/>
      <c r="AY163" s="53" t="s">
        <v>320</v>
      </c>
      <c r="AZ163" s="53">
        <v>1</v>
      </c>
      <c r="BA163" s="83">
        <v>46202</v>
      </c>
      <c r="BB163" s="53"/>
      <c r="BC163" s="53"/>
    </row>
    <row r="164" spans="3:55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2"/>
        <v>0</v>
      </c>
      <c r="M164" s="26">
        <f t="shared" si="13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67">
        <f>SUMIFS([1]Up!$J:$J,[1]Up!$D:$D,D164)</f>
        <v>0</v>
      </c>
      <c r="AS164" s="82"/>
      <c r="AT164" s="82" t="str">
        <f t="shared" si="14"/>
        <v>PL10</v>
      </c>
      <c r="AU164" s="53" t="str">
        <f t="shared" si="15"/>
        <v/>
      </c>
      <c r="AV164" s="53" t="s">
        <v>148</v>
      </c>
      <c r="AW164" s="53"/>
      <c r="AX164" s="53"/>
      <c r="AY164" s="53"/>
      <c r="AZ164" s="53"/>
      <c r="BA164" s="83"/>
      <c r="BB164" s="53"/>
      <c r="BC164" s="53"/>
    </row>
    <row r="165" spans="3:55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2"/>
        <v>1</v>
      </c>
      <c r="M165" s="26">
        <f t="shared" si="1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67">
        <f>SUMIFS([1]Up!$J:$J,[1]Up!$D:$D,D165)</f>
        <v>0</v>
      </c>
      <c r="AS165" s="82"/>
      <c r="AT165" s="82" t="str">
        <f t="shared" si="14"/>
        <v>PL15</v>
      </c>
      <c r="AU165" s="53" t="str">
        <f t="shared" si="15"/>
        <v/>
      </c>
      <c r="AV165" s="53" t="s">
        <v>148</v>
      </c>
      <c r="AW165" s="84" t="s">
        <v>200</v>
      </c>
      <c r="AX165" s="53"/>
      <c r="AY165" s="53" t="s">
        <v>201</v>
      </c>
      <c r="AZ165" s="53">
        <v>1</v>
      </c>
      <c r="BA165" s="83">
        <v>46201</v>
      </c>
      <c r="BB165" s="53"/>
      <c r="BC165" s="53"/>
    </row>
    <row r="166" spans="3:55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2"/>
        <v>1</v>
      </c>
      <c r="M166" s="26">
        <f t="shared" si="1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67">
        <f>SUMIFS([1]Up!$J:$J,[1]Up!$D:$D,D166)</f>
        <v>0</v>
      </c>
      <c r="AS166" s="82" t="s">
        <v>2078</v>
      </c>
      <c r="AT166" s="82" t="e">
        <f t="shared" si="14"/>
        <v>#VALUE!</v>
      </c>
      <c r="AU166" s="53" t="str">
        <f t="shared" si="15"/>
        <v>Thừa 2</v>
      </c>
      <c r="AV166" s="53" t="s">
        <v>154</v>
      </c>
      <c r="AW166" s="53"/>
      <c r="AX166" s="53"/>
      <c r="AY166" s="53" t="s">
        <v>57</v>
      </c>
      <c r="AZ166" s="53">
        <v>1</v>
      </c>
      <c r="BA166" s="83"/>
      <c r="BB166" s="53"/>
      <c r="BC166" s="53"/>
    </row>
    <row r="167" spans="3:55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2"/>
        <v>1</v>
      </c>
      <c r="M167" s="26">
        <f t="shared" si="1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67">
        <f>SUMIFS([1]Up!$J:$J,[1]Up!$D:$D,D167)</f>
        <v>0</v>
      </c>
      <c r="AS167" s="82"/>
      <c r="AT167" s="82" t="str">
        <f t="shared" si="14"/>
        <v>PL15</v>
      </c>
      <c r="AU167" s="53" t="str">
        <f t="shared" si="15"/>
        <v/>
      </c>
      <c r="AV167" s="53" t="s">
        <v>148</v>
      </c>
      <c r="AW167" s="84" t="s">
        <v>200</v>
      </c>
      <c r="AX167" s="53"/>
      <c r="AY167" s="53" t="s">
        <v>201</v>
      </c>
      <c r="AZ167" s="53">
        <v>1</v>
      </c>
      <c r="BA167" s="83">
        <v>46201</v>
      </c>
      <c r="BB167" s="53"/>
      <c r="BC167" s="53"/>
    </row>
    <row r="168" spans="3:55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2"/>
        <v>1</v>
      </c>
      <c r="M168" s="26">
        <f t="shared" si="13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67">
        <f>SUMIFS([1]Up!$J:$J,[1]Up!$D:$D,D168)</f>
        <v>0</v>
      </c>
      <c r="AS168" s="82"/>
      <c r="AT168" s="82" t="str">
        <f t="shared" si="14"/>
        <v>PL20</v>
      </c>
      <c r="AU168" s="53" t="str">
        <f t="shared" si="15"/>
        <v/>
      </c>
      <c r="AV168" s="53" t="s">
        <v>148</v>
      </c>
      <c r="AW168" s="84" t="s">
        <v>319</v>
      </c>
      <c r="AX168" s="53"/>
      <c r="AY168" s="53" t="s">
        <v>320</v>
      </c>
      <c r="AZ168" s="53">
        <v>1</v>
      </c>
      <c r="BA168" s="83">
        <v>46202</v>
      </c>
      <c r="BB168" s="53"/>
      <c r="BC168" s="53"/>
    </row>
    <row r="169" spans="3:55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2"/>
        <v>0</v>
      </c>
      <c r="M169" s="26">
        <f t="shared" si="13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67">
        <f>SUMIFS([1]Up!$J:$J,[1]Up!$D:$D,D169)</f>
        <v>0</v>
      </c>
      <c r="AS169" s="82"/>
      <c r="AT169" s="82" t="str">
        <f t="shared" si="14"/>
        <v>PL10</v>
      </c>
      <c r="AU169" s="53" t="str">
        <f t="shared" si="15"/>
        <v/>
      </c>
      <c r="AV169" s="53" t="s">
        <v>148</v>
      </c>
      <c r="AW169" s="84" t="s">
        <v>210</v>
      </c>
      <c r="AX169" s="53"/>
      <c r="AY169" s="53" t="s">
        <v>211</v>
      </c>
      <c r="AZ169" s="53">
        <v>1</v>
      </c>
      <c r="BA169" s="83">
        <v>46201</v>
      </c>
      <c r="BB169" s="53"/>
      <c r="BC169" s="53"/>
    </row>
    <row r="170" spans="3:55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2"/>
        <v>1</v>
      </c>
      <c r="M170" s="26">
        <f t="shared" si="1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67">
        <f>SUMIFS([1]Up!$J:$J,[1]Up!$D:$D,D170)</f>
        <v>0</v>
      </c>
      <c r="AS170" s="82"/>
      <c r="AT170" s="82" t="str">
        <f t="shared" si="14"/>
        <v>PL15</v>
      </c>
      <c r="AU170" s="53" t="str">
        <f t="shared" si="15"/>
        <v/>
      </c>
      <c r="AV170" s="53" t="s">
        <v>148</v>
      </c>
      <c r="AW170" s="84" t="s">
        <v>200</v>
      </c>
      <c r="AX170" s="53"/>
      <c r="AY170" s="53" t="s">
        <v>201</v>
      </c>
      <c r="AZ170" s="53">
        <v>1</v>
      </c>
      <c r="BA170" s="83">
        <v>46201</v>
      </c>
      <c r="BB170" s="53"/>
      <c r="BC170" s="53"/>
    </row>
    <row r="171" spans="3:55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2"/>
        <v>1</v>
      </c>
      <c r="M171" s="26">
        <f t="shared" si="1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67">
        <f>SUMIFS([1]Up!$J:$J,[1]Up!$D:$D,D171)</f>
        <v>0</v>
      </c>
      <c r="AS171" s="82" t="s">
        <v>2086</v>
      </c>
      <c r="AT171" s="82" t="e">
        <f t="shared" si="14"/>
        <v>#VALUE!</v>
      </c>
      <c r="AU171" s="53" t="str">
        <f t="shared" si="15"/>
        <v>Thừa 2</v>
      </c>
      <c r="AV171" s="53" t="s">
        <v>154</v>
      </c>
      <c r="AW171" s="53"/>
      <c r="AX171" s="53"/>
      <c r="AY171" s="53" t="s">
        <v>57</v>
      </c>
      <c r="AZ171" s="53">
        <v>1</v>
      </c>
      <c r="BA171" s="83"/>
      <c r="BB171" s="53"/>
      <c r="BC171" s="53"/>
    </row>
    <row r="172" spans="3:55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2"/>
        <v>1</v>
      </c>
      <c r="M172" s="26">
        <f t="shared" si="13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67">
        <f>SUMIFS([1]Up!$J:$J,[1]Up!$D:$D,D172)</f>
        <v>0</v>
      </c>
      <c r="AS172" s="82"/>
      <c r="AT172" s="82" t="str">
        <f t="shared" si="14"/>
        <v>PL20</v>
      </c>
      <c r="AU172" s="53" t="str">
        <f t="shared" si="15"/>
        <v/>
      </c>
      <c r="AV172" s="53" t="s">
        <v>148</v>
      </c>
      <c r="AW172" s="84" t="s">
        <v>319</v>
      </c>
      <c r="AX172" s="53"/>
      <c r="AY172" s="53" t="s">
        <v>320</v>
      </c>
      <c r="AZ172" s="53">
        <v>1</v>
      </c>
      <c r="BA172" s="83">
        <v>46202</v>
      </c>
      <c r="BB172" s="53"/>
      <c r="BC172" s="53"/>
    </row>
    <row r="173" spans="3:55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2"/>
        <v>1</v>
      </c>
      <c r="M173" s="26">
        <f t="shared" si="13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67">
        <f>SUMIFS([1]Up!$J:$J,[1]Up!$D:$D,D173)</f>
        <v>0</v>
      </c>
      <c r="AS173" s="82"/>
      <c r="AT173" s="82" t="str">
        <f t="shared" si="14"/>
        <v>PL10</v>
      </c>
      <c r="AU173" s="53" t="str">
        <f t="shared" si="15"/>
        <v/>
      </c>
      <c r="AV173" s="53" t="s">
        <v>148</v>
      </c>
      <c r="AW173" s="84" t="s">
        <v>210</v>
      </c>
      <c r="AX173" s="53"/>
      <c r="AY173" s="53" t="s">
        <v>211</v>
      </c>
      <c r="AZ173" s="53">
        <v>1</v>
      </c>
      <c r="BA173" s="83">
        <v>46201</v>
      </c>
      <c r="BB173" s="53"/>
      <c r="BC173" s="53"/>
    </row>
    <row r="174" spans="3:55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2"/>
        <v>1</v>
      </c>
      <c r="M174" s="26">
        <f t="shared" si="1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67">
        <f>SUMIFS([1]Up!$J:$J,[1]Up!$D:$D,D174)</f>
        <v>0</v>
      </c>
      <c r="AS174" s="82"/>
      <c r="AT174" s="82" t="str">
        <f t="shared" si="14"/>
        <v>PL15</v>
      </c>
      <c r="AU174" s="53" t="str">
        <f t="shared" si="15"/>
        <v/>
      </c>
      <c r="AV174" s="53" t="s">
        <v>148</v>
      </c>
      <c r="AW174" s="84" t="s">
        <v>200</v>
      </c>
      <c r="AX174" s="53"/>
      <c r="AY174" s="53" t="s">
        <v>201</v>
      </c>
      <c r="AZ174" s="53">
        <v>1</v>
      </c>
      <c r="BA174" s="83">
        <v>46201</v>
      </c>
      <c r="BB174" s="53"/>
      <c r="BC174" s="53"/>
    </row>
    <row r="175" spans="3:55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2"/>
        <v>1</v>
      </c>
      <c r="M175" s="26">
        <f t="shared" si="1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67">
        <f>SUMIFS([1]Up!$J:$J,[1]Up!$D:$D,D175)</f>
        <v>0</v>
      </c>
      <c r="AS175" s="82"/>
      <c r="AT175" s="82" t="str">
        <f t="shared" si="14"/>
        <v>PL15</v>
      </c>
      <c r="AU175" s="53" t="str">
        <f t="shared" si="15"/>
        <v/>
      </c>
      <c r="AV175" s="53" t="s">
        <v>148</v>
      </c>
      <c r="AW175" s="84" t="s">
        <v>200</v>
      </c>
      <c r="AX175" s="53"/>
      <c r="AY175" s="53" t="s">
        <v>201</v>
      </c>
      <c r="AZ175" s="53">
        <v>1</v>
      </c>
      <c r="BA175" s="83">
        <v>46201</v>
      </c>
      <c r="BB175" s="53"/>
      <c r="BC175" s="53"/>
    </row>
    <row r="176" spans="3:55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2"/>
        <v>1</v>
      </c>
      <c r="M176" s="26">
        <f t="shared" si="1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67">
        <f>SUMIFS([1]Up!$J:$J,[1]Up!$D:$D,D176)</f>
        <v>0</v>
      </c>
      <c r="AS176" s="82" t="s">
        <v>2244</v>
      </c>
      <c r="AT176" s="82" t="e">
        <f t="shared" si="14"/>
        <v>#VALUE!</v>
      </c>
      <c r="AU176" s="53" t="str">
        <f t="shared" si="15"/>
        <v>Thừa 1</v>
      </c>
      <c r="AV176" s="53" t="s">
        <v>154</v>
      </c>
      <c r="AW176" s="53"/>
      <c r="AX176" s="53"/>
      <c r="AY176" s="53" t="s">
        <v>57</v>
      </c>
      <c r="AZ176" s="53">
        <v>1</v>
      </c>
      <c r="BA176" s="83"/>
      <c r="BB176" s="53"/>
      <c r="BC176" s="53"/>
    </row>
    <row r="177" spans="3:55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2"/>
        <v>1</v>
      </c>
      <c r="M177" s="26">
        <f t="shared" si="13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67">
        <f>SUMIFS([1]Up!$J:$J,[1]Up!$D:$D,D177)</f>
        <v>0</v>
      </c>
      <c r="AS177" s="82"/>
      <c r="AT177" s="82" t="str">
        <f t="shared" si="14"/>
        <v>PL20</v>
      </c>
      <c r="AU177" s="53" t="str">
        <f t="shared" si="15"/>
        <v/>
      </c>
      <c r="AV177" s="53" t="s">
        <v>148</v>
      </c>
      <c r="AW177" s="84" t="s">
        <v>319</v>
      </c>
      <c r="AX177" s="53"/>
      <c r="AY177" s="53" t="s">
        <v>320</v>
      </c>
      <c r="AZ177" s="53">
        <v>1</v>
      </c>
      <c r="BA177" s="83">
        <v>46202</v>
      </c>
      <c r="BB177" s="53"/>
      <c r="BC177" s="53"/>
    </row>
    <row r="178" spans="3:55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2"/>
        <v>1</v>
      </c>
      <c r="M178" s="26">
        <f t="shared" si="1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67">
        <f>SUMIFS([1]Up!$J:$J,[1]Up!$D:$D,D178)</f>
        <v>0</v>
      </c>
      <c r="AS178" s="82"/>
      <c r="AT178" s="82" t="str">
        <f t="shared" si="14"/>
        <v>PL15</v>
      </c>
      <c r="AU178" s="53" t="str">
        <f t="shared" si="15"/>
        <v/>
      </c>
      <c r="AV178" s="53" t="s">
        <v>148</v>
      </c>
      <c r="AW178" s="84" t="s">
        <v>200</v>
      </c>
      <c r="AX178" s="53"/>
      <c r="AY178" s="53" t="s">
        <v>201</v>
      </c>
      <c r="AZ178" s="53">
        <v>1</v>
      </c>
      <c r="BA178" s="83">
        <v>46201</v>
      </c>
      <c r="BB178" s="53"/>
      <c r="BC178" s="53"/>
    </row>
    <row r="179" spans="3:55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2"/>
        <v>1</v>
      </c>
      <c r="M179" s="26">
        <f t="shared" si="13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67">
        <f>SUMIFS([1]Up!$J:$J,[1]Up!$D:$D,D179)</f>
        <v>0</v>
      </c>
      <c r="AS179" s="82"/>
      <c r="AT179" s="82" t="str">
        <f t="shared" si="14"/>
        <v>PL10</v>
      </c>
      <c r="AU179" s="53" t="str">
        <f t="shared" si="15"/>
        <v/>
      </c>
      <c r="AV179" s="53" t="s">
        <v>148</v>
      </c>
      <c r="AW179" s="84" t="s">
        <v>210</v>
      </c>
      <c r="AX179" s="53"/>
      <c r="AY179" s="53" t="s">
        <v>211</v>
      </c>
      <c r="AZ179" s="53">
        <v>1</v>
      </c>
      <c r="BA179" s="83">
        <v>46201</v>
      </c>
      <c r="BB179" s="53"/>
      <c r="BC179" s="53"/>
    </row>
    <row r="180" spans="3:55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2"/>
        <v>1</v>
      </c>
      <c r="M180" s="26">
        <f t="shared" si="1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67">
        <f>SUMIFS([1]Up!$J:$J,[1]Up!$D:$D,D180)</f>
        <v>0</v>
      </c>
      <c r="AS180" s="82"/>
      <c r="AT180" s="82" t="str">
        <f t="shared" si="14"/>
        <v>PL15</v>
      </c>
      <c r="AU180" s="53" t="str">
        <f t="shared" si="15"/>
        <v/>
      </c>
      <c r="AV180" s="53" t="s">
        <v>148</v>
      </c>
      <c r="AW180" s="84" t="s">
        <v>200</v>
      </c>
      <c r="AX180" s="53"/>
      <c r="AY180" s="53" t="s">
        <v>201</v>
      </c>
      <c r="AZ180" s="53">
        <v>1</v>
      </c>
      <c r="BA180" s="83">
        <v>46201</v>
      </c>
      <c r="BB180" s="53"/>
      <c r="BC180" s="53"/>
    </row>
    <row r="181" spans="3:55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2"/>
        <v>1</v>
      </c>
      <c r="M181" s="26">
        <f t="shared" si="1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67">
        <f>SUMIFS([1]Up!$J:$J,[1]Up!$D:$D,D181)</f>
        <v>0</v>
      </c>
      <c r="AS181" s="82" t="s">
        <v>2246</v>
      </c>
      <c r="AT181" s="82" t="e">
        <f t="shared" si="14"/>
        <v>#VALUE!</v>
      </c>
      <c r="AU181" s="53" t="str">
        <f t="shared" si="15"/>
        <v>Thừa 2</v>
      </c>
      <c r="AV181" s="53" t="s">
        <v>154</v>
      </c>
      <c r="AW181" s="53"/>
      <c r="AX181" s="53"/>
      <c r="AY181" s="53" t="s">
        <v>57</v>
      </c>
      <c r="AZ181" s="53">
        <v>1</v>
      </c>
      <c r="BA181" s="83"/>
      <c r="BB181" s="53"/>
      <c r="BC181" s="53"/>
    </row>
    <row r="182" spans="3:55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2"/>
        <v>1</v>
      </c>
      <c r="M182" s="26">
        <f t="shared" si="13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67">
        <f>SUMIFS([1]Up!$J:$J,[1]Up!$D:$D,D182)</f>
        <v>0</v>
      </c>
      <c r="AS182" s="82"/>
      <c r="AT182" s="82" t="str">
        <f t="shared" si="14"/>
        <v>PL20</v>
      </c>
      <c r="AU182" s="53" t="str">
        <f t="shared" si="15"/>
        <v/>
      </c>
      <c r="AV182" s="53" t="s">
        <v>148</v>
      </c>
      <c r="AW182" s="84" t="s">
        <v>319</v>
      </c>
      <c r="AX182" s="53"/>
      <c r="AY182" s="53" t="s">
        <v>320</v>
      </c>
      <c r="AZ182" s="53">
        <v>1</v>
      </c>
      <c r="BA182" s="83">
        <v>46202</v>
      </c>
      <c r="BB182" s="53"/>
      <c r="BC182" s="53"/>
    </row>
    <row r="183" spans="3:55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2"/>
        <v>1</v>
      </c>
      <c r="M183" s="26">
        <f t="shared" si="13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67">
        <f>SUMIFS([1]Up!$J:$J,[1]Up!$D:$D,D183)</f>
        <v>0</v>
      </c>
      <c r="AS183" s="82"/>
      <c r="AT183" s="82" t="str">
        <f t="shared" si="14"/>
        <v>PL10</v>
      </c>
      <c r="AU183" s="53" t="str">
        <f t="shared" si="15"/>
        <v/>
      </c>
      <c r="AV183" s="53" t="s">
        <v>148</v>
      </c>
      <c r="AW183" s="84" t="s">
        <v>210</v>
      </c>
      <c r="AX183" s="53"/>
      <c r="AY183" s="53" t="s">
        <v>211</v>
      </c>
      <c r="AZ183" s="53">
        <v>1</v>
      </c>
      <c r="BA183" s="83">
        <v>46201</v>
      </c>
      <c r="BB183" s="53"/>
      <c r="BC183" s="53"/>
    </row>
    <row r="184" spans="3:55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2"/>
        <v>1</v>
      </c>
      <c r="M184" s="26">
        <f t="shared" si="1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67">
        <f>SUMIFS([1]Up!$J:$J,[1]Up!$D:$D,D184)</f>
        <v>0</v>
      </c>
      <c r="AS184" s="82"/>
      <c r="AT184" s="82" t="str">
        <f t="shared" si="14"/>
        <v>PL15</v>
      </c>
      <c r="AU184" s="53" t="str">
        <f t="shared" si="15"/>
        <v/>
      </c>
      <c r="AV184" s="53" t="s">
        <v>148</v>
      </c>
      <c r="AW184" s="84" t="s">
        <v>200</v>
      </c>
      <c r="AX184" s="53"/>
      <c r="AY184" s="53" t="s">
        <v>201</v>
      </c>
      <c r="AZ184" s="53">
        <v>1</v>
      </c>
      <c r="BA184" s="83">
        <v>46201</v>
      </c>
      <c r="BB184" s="53"/>
      <c r="BC184" s="53"/>
    </row>
    <row r="185" spans="3:55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2"/>
        <v>1</v>
      </c>
      <c r="M185" s="26">
        <f t="shared" si="1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67">
        <f>SUMIFS([1]Up!$J:$J,[1]Up!$D:$D,D185)</f>
        <v>0</v>
      </c>
      <c r="AS185" s="82"/>
      <c r="AT185" s="82" t="str">
        <f t="shared" si="14"/>
        <v>PL15</v>
      </c>
      <c r="AU185" s="53" t="str">
        <f t="shared" si="15"/>
        <v/>
      </c>
      <c r="AV185" s="53" t="s">
        <v>148</v>
      </c>
      <c r="AW185" s="84" t="s">
        <v>200</v>
      </c>
      <c r="AX185" s="53"/>
      <c r="AY185" s="53" t="s">
        <v>201</v>
      </c>
      <c r="AZ185" s="53">
        <v>1</v>
      </c>
      <c r="BA185" s="83">
        <v>46201</v>
      </c>
      <c r="BB185" s="53"/>
      <c r="BC185" s="53"/>
    </row>
    <row r="186" spans="3:55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2"/>
        <v>1</v>
      </c>
      <c r="M186" s="26">
        <f t="shared" si="1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67">
        <f>SUMIFS([1]Up!$J:$J,[1]Up!$D:$D,D186)</f>
        <v>0</v>
      </c>
      <c r="AS186" s="82" t="s">
        <v>2086</v>
      </c>
      <c r="AT186" s="82" t="e">
        <f t="shared" si="14"/>
        <v>#VALUE!</v>
      </c>
      <c r="AU186" s="53" t="str">
        <f t="shared" si="15"/>
        <v>Thừa 2</v>
      </c>
      <c r="AV186" s="53" t="s">
        <v>154</v>
      </c>
      <c r="AW186" s="53"/>
      <c r="AX186" s="53"/>
      <c r="AY186" s="53" t="s">
        <v>57</v>
      </c>
      <c r="AZ186" s="53">
        <v>1</v>
      </c>
      <c r="BA186" s="83"/>
      <c r="BB186" s="53"/>
      <c r="BC186" s="53"/>
    </row>
    <row r="187" spans="3:55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2"/>
        <v>1</v>
      </c>
      <c r="M187" s="26">
        <f t="shared" si="13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67">
        <f>SUMIFS([1]Up!$J:$J,[1]Up!$D:$D,D187)</f>
        <v>0</v>
      </c>
      <c r="AS187" s="82"/>
      <c r="AT187" s="82" t="str">
        <f t="shared" si="14"/>
        <v>PL20</v>
      </c>
      <c r="AU187" s="53" t="str">
        <f t="shared" si="15"/>
        <v/>
      </c>
      <c r="AV187" s="53" t="s">
        <v>148</v>
      </c>
      <c r="AW187" s="84" t="s">
        <v>319</v>
      </c>
      <c r="AX187" s="53"/>
      <c r="AY187" s="53" t="s">
        <v>320</v>
      </c>
      <c r="AZ187" s="53">
        <v>1</v>
      </c>
      <c r="BA187" s="83">
        <v>46202</v>
      </c>
      <c r="BB187" s="53"/>
      <c r="BC187" s="53"/>
    </row>
    <row r="188" spans="3:55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2"/>
        <v>1</v>
      </c>
      <c r="M188" s="26">
        <f t="shared" si="1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67">
        <f>SUMIFS([1]Up!$J:$J,[1]Up!$D:$D,D188)</f>
        <v>0</v>
      </c>
      <c r="AS188" s="82"/>
      <c r="AT188" s="82" t="str">
        <f t="shared" si="14"/>
        <v>PL15</v>
      </c>
      <c r="AU188" s="53" t="str">
        <f t="shared" si="15"/>
        <v/>
      </c>
      <c r="AV188" s="53" t="s">
        <v>148</v>
      </c>
      <c r="AW188" s="84" t="s">
        <v>200</v>
      </c>
      <c r="AX188" s="53"/>
      <c r="AY188" s="53" t="s">
        <v>201</v>
      </c>
      <c r="AZ188" s="53">
        <v>1</v>
      </c>
      <c r="BA188" s="83">
        <v>46201</v>
      </c>
      <c r="BB188" s="53"/>
      <c r="BC188" s="53"/>
    </row>
    <row r="189" spans="3:55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2"/>
        <v>1</v>
      </c>
      <c r="M189" s="26">
        <f t="shared" si="13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67">
        <f>SUMIFS([1]Up!$J:$J,[1]Up!$D:$D,D189)</f>
        <v>0</v>
      </c>
      <c r="AS189" s="82"/>
      <c r="AT189" s="82" t="str">
        <f t="shared" si="14"/>
        <v>PL10</v>
      </c>
      <c r="AU189" s="53" t="str">
        <f t="shared" si="15"/>
        <v/>
      </c>
      <c r="AV189" s="53" t="s">
        <v>148</v>
      </c>
      <c r="AW189" s="84" t="s">
        <v>210</v>
      </c>
      <c r="AX189" s="53"/>
      <c r="AY189" s="53" t="s">
        <v>211</v>
      </c>
      <c r="AZ189" s="53">
        <v>1</v>
      </c>
      <c r="BA189" s="83">
        <v>46201</v>
      </c>
      <c r="BB189" s="53"/>
      <c r="BC189" s="53"/>
    </row>
    <row r="190" spans="3:55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2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67">
        <f>SUMIFS([1]Up!$J:$J,[1]Up!$D:$D,D190)</f>
        <v>0</v>
      </c>
      <c r="AS190" s="82"/>
      <c r="AT190" s="82" t="str">
        <f t="shared" si="14"/>
        <v>PL15</v>
      </c>
      <c r="AU190" s="53" t="str">
        <f t="shared" si="15"/>
        <v/>
      </c>
      <c r="AV190" s="53" t="s">
        <v>148</v>
      </c>
      <c r="AW190" s="84" t="s">
        <v>200</v>
      </c>
      <c r="AX190" s="53"/>
      <c r="AY190" s="53" t="s">
        <v>201</v>
      </c>
      <c r="AZ190" s="53">
        <v>1</v>
      </c>
      <c r="BA190" s="83">
        <v>46201</v>
      </c>
      <c r="BB190" s="53"/>
      <c r="BC190" s="53"/>
    </row>
    <row r="191" spans="3:55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2"/>
        <v>1</v>
      </c>
      <c r="M191" s="26">
        <f t="shared" si="1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67">
        <f>SUMIFS([1]Up!$J:$J,[1]Up!$D:$D,D191)</f>
        <v>0</v>
      </c>
      <c r="AS191" s="82" t="s">
        <v>2078</v>
      </c>
      <c r="AT191" s="82" t="e">
        <f t="shared" si="14"/>
        <v>#VALUE!</v>
      </c>
      <c r="AU191" s="53" t="str">
        <f t="shared" si="15"/>
        <v>Thừa 2</v>
      </c>
      <c r="AV191" s="53" t="s">
        <v>154</v>
      </c>
      <c r="AW191" s="53"/>
      <c r="AX191" s="53"/>
      <c r="AY191" s="53" t="s">
        <v>57</v>
      </c>
      <c r="AZ191" s="53">
        <v>1</v>
      </c>
      <c r="BA191" s="83"/>
      <c r="BB191" s="53"/>
      <c r="BC191" s="53"/>
    </row>
    <row r="192" spans="3:55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2"/>
        <v>0</v>
      </c>
      <c r="M192" s="26">
        <f t="shared" si="13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67">
        <f>SUMIFS([1]Up!$J:$J,[1]Up!$D:$D,D192)</f>
        <v>0</v>
      </c>
      <c r="AS192" s="82"/>
      <c r="AT192" s="82" t="str">
        <f t="shared" si="14"/>
        <v>PL10</v>
      </c>
      <c r="AU192" s="53" t="str">
        <f t="shared" si="15"/>
        <v/>
      </c>
      <c r="AV192" s="53" t="s">
        <v>148</v>
      </c>
      <c r="AW192" s="53"/>
      <c r="AX192" s="53"/>
      <c r="AY192" s="53"/>
      <c r="AZ192" s="53"/>
      <c r="BA192" s="83"/>
      <c r="BB192" s="53"/>
      <c r="BC192" s="53"/>
    </row>
    <row r="193" spans="3:55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2"/>
        <v>0</v>
      </c>
      <c r="M193" s="26">
        <f t="shared" si="13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67">
        <f>SUMIFS([1]Up!$J:$J,[1]Up!$D:$D,D193)</f>
        <v>0</v>
      </c>
      <c r="AS193" s="82"/>
      <c r="AT193" s="82" t="e">
        <f t="shared" si="14"/>
        <v>#VALUE!</v>
      </c>
      <c r="AU193" s="53" t="str">
        <f t="shared" si="15"/>
        <v/>
      </c>
      <c r="AV193" s="53" t="s">
        <v>154</v>
      </c>
      <c r="AW193" s="53"/>
      <c r="AX193" s="53"/>
      <c r="AY193" s="53"/>
      <c r="AZ193" s="53"/>
      <c r="BA193" s="83"/>
      <c r="BB193" s="53"/>
      <c r="BC193" s="53"/>
    </row>
    <row r="194" spans="3:55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2"/>
        <v>0</v>
      </c>
      <c r="M194" s="26">
        <f t="shared" si="13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67">
        <f>SUMIFS([1]Up!$J:$J,[1]Up!$D:$D,D194)</f>
        <v>0</v>
      </c>
      <c r="AS194" s="82"/>
      <c r="AT194" s="82" t="str">
        <f t="shared" si="14"/>
        <v>PL15</v>
      </c>
      <c r="AU194" s="53" t="str">
        <f t="shared" si="15"/>
        <v/>
      </c>
      <c r="AV194" s="53" t="s">
        <v>148</v>
      </c>
      <c r="AW194" s="53"/>
      <c r="AX194" s="53"/>
      <c r="AY194" s="53"/>
      <c r="AZ194" s="53"/>
      <c r="BA194" s="83"/>
      <c r="BB194" s="53"/>
      <c r="BC194" s="53"/>
    </row>
    <row r="195" spans="3:55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2"/>
        <v>0</v>
      </c>
      <c r="M195" s="26">
        <f t="shared" si="13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67">
        <f>SUMIFS([1]Up!$J:$J,[1]Up!$D:$D,D195)</f>
        <v>0</v>
      </c>
      <c r="AS195" s="82"/>
      <c r="AT195" s="82" t="str">
        <f t="shared" si="14"/>
        <v>PL15</v>
      </c>
      <c r="AU195" s="53" t="str">
        <f t="shared" si="15"/>
        <v/>
      </c>
      <c r="AV195" s="53" t="s">
        <v>148</v>
      </c>
      <c r="AW195" s="53"/>
      <c r="AX195" s="53"/>
      <c r="AY195" s="53"/>
      <c r="AZ195" s="53"/>
      <c r="BA195" s="83"/>
      <c r="BB195" s="53"/>
      <c r="BC195" s="53"/>
    </row>
    <row r="196" spans="3:55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2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67">
        <f>SUMIFS([1]Up!$J:$J,[1]Up!$D:$D,D196)</f>
        <v>0</v>
      </c>
      <c r="AS196" s="82"/>
      <c r="AT196" s="82" t="str">
        <f t="shared" si="14"/>
        <v>PL15</v>
      </c>
      <c r="AU196" s="53" t="str">
        <f t="shared" si="15"/>
        <v/>
      </c>
      <c r="AV196" s="53" t="s">
        <v>148</v>
      </c>
      <c r="AW196" s="53"/>
      <c r="AX196" s="53"/>
      <c r="AY196" s="53"/>
      <c r="AZ196" s="53"/>
      <c r="BA196" s="83"/>
      <c r="BB196" s="53"/>
      <c r="BC196" s="53"/>
    </row>
    <row r="197" spans="3:55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2"/>
        <v>0</v>
      </c>
      <c r="M197" s="26">
        <f t="shared" si="13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67">
        <f>SUMIFS([1]Up!$J:$J,[1]Up!$D:$D,D197)</f>
        <v>0</v>
      </c>
      <c r="AS197" s="82"/>
      <c r="AT197" s="82" t="e">
        <f t="shared" si="14"/>
        <v>#VALUE!</v>
      </c>
      <c r="AU197" s="53" t="str">
        <f t="shared" si="15"/>
        <v/>
      </c>
      <c r="AV197" s="53" t="s">
        <v>148</v>
      </c>
      <c r="AW197" s="53"/>
      <c r="AX197" s="53"/>
      <c r="AY197" s="53"/>
      <c r="AZ197" s="53"/>
      <c r="BA197" s="83"/>
      <c r="BB197" s="53"/>
      <c r="BC197" s="53"/>
    </row>
    <row r="198" spans="3:55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2"/>
        <v>0</v>
      </c>
      <c r="M198" s="26">
        <f t="shared" si="13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67">
        <f>SUMIFS([1]Up!$J:$J,[1]Up!$D:$D,D198)</f>
        <v>0</v>
      </c>
      <c r="AS198" s="82"/>
      <c r="AT198" s="82" t="str">
        <f t="shared" si="14"/>
        <v>PL10</v>
      </c>
      <c r="AU198" s="53" t="str">
        <f t="shared" si="15"/>
        <v/>
      </c>
      <c r="AV198" s="53" t="s">
        <v>148</v>
      </c>
      <c r="AW198" s="53"/>
      <c r="AX198" s="53"/>
      <c r="AY198" s="53"/>
      <c r="AZ198" s="53"/>
      <c r="BA198" s="83"/>
      <c r="BB198" s="53"/>
      <c r="BC198" s="53"/>
    </row>
    <row r="199" spans="3:55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2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67">
        <f>SUMIFS([1]Up!$J:$J,[1]Up!$D:$D,D199)</f>
        <v>0</v>
      </c>
      <c r="AS199" s="82"/>
      <c r="AT199" s="82" t="str">
        <f t="shared" si="14"/>
        <v>PL10</v>
      </c>
      <c r="AU199" s="53" t="str">
        <f t="shared" si="15"/>
        <v/>
      </c>
      <c r="AV199" s="53" t="s">
        <v>148</v>
      </c>
      <c r="AW199" s="53"/>
      <c r="AX199" s="53"/>
      <c r="AY199" s="53"/>
      <c r="AZ199" s="53"/>
      <c r="BA199" s="83"/>
      <c r="BB199" s="53"/>
      <c r="BC199" s="53"/>
    </row>
    <row r="200" spans="3:55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2"/>
        <v>0</v>
      </c>
      <c r="M200" s="26">
        <f t="shared" si="13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67">
        <f>SUMIFS([1]Up!$J:$J,[1]Up!$D:$D,D200)</f>
        <v>0</v>
      </c>
      <c r="AS200" s="82"/>
      <c r="AT200" s="82" t="str">
        <f t="shared" si="14"/>
        <v>PL12</v>
      </c>
      <c r="AU200" s="53" t="str">
        <f t="shared" si="15"/>
        <v/>
      </c>
      <c r="AV200" s="53" t="s">
        <v>148</v>
      </c>
      <c r="AW200" s="53"/>
      <c r="AX200" s="53"/>
      <c r="AY200" s="53"/>
      <c r="AZ200" s="53"/>
      <c r="BA200" s="83"/>
      <c r="BB200" s="53"/>
      <c r="BC200" s="53"/>
    </row>
    <row r="201" spans="3:55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2"/>
        <v>0</v>
      </c>
      <c r="M201" s="26">
        <f t="shared" si="13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67">
        <f>SUMIFS([1]Up!$J:$J,[1]Up!$D:$D,D201)</f>
        <v>0</v>
      </c>
      <c r="AS201" s="82"/>
      <c r="AT201" s="82" t="str">
        <f t="shared" si="14"/>
        <v>PL12</v>
      </c>
      <c r="AU201" s="53" t="str">
        <f t="shared" si="15"/>
        <v/>
      </c>
      <c r="AV201" s="53" t="s">
        <v>148</v>
      </c>
      <c r="AW201" s="53"/>
      <c r="AX201" s="53"/>
      <c r="AY201" s="53"/>
      <c r="AZ201" s="53"/>
      <c r="BA201" s="83"/>
      <c r="BB201" s="53"/>
      <c r="BC201" s="53"/>
    </row>
    <row r="202" spans="3:55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2"/>
        <v>1</v>
      </c>
      <c r="M202" s="26">
        <f t="shared" si="1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67">
        <f>SUMIFS([1]Up!$J:$J,[1]Up!$D:$D,D202)</f>
        <v>0</v>
      </c>
      <c r="AS202" s="82"/>
      <c r="AT202" s="82" t="str">
        <f t="shared" si="14"/>
        <v>PL20</v>
      </c>
      <c r="AU202" s="53" t="str">
        <f t="shared" si="15"/>
        <v/>
      </c>
      <c r="AV202" s="53" t="s">
        <v>148</v>
      </c>
      <c r="AW202" s="53"/>
      <c r="AX202" s="53"/>
      <c r="AY202" s="53"/>
      <c r="AZ202" s="53"/>
      <c r="BA202" s="83"/>
      <c r="BB202" s="53"/>
      <c r="BC202" s="53"/>
    </row>
    <row r="203" spans="3:55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2"/>
        <v>0</v>
      </c>
      <c r="M203" s="26">
        <f t="shared" si="13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67">
        <f>SUMIFS([1]Up!$J:$J,[1]Up!$D:$D,D203)</f>
        <v>0</v>
      </c>
      <c r="AS203" s="82"/>
      <c r="AT203" s="82" t="str">
        <f t="shared" si="14"/>
        <v>PL20</v>
      </c>
      <c r="AU203" s="53" t="str">
        <f t="shared" si="15"/>
        <v/>
      </c>
      <c r="AV203" s="53" t="s">
        <v>148</v>
      </c>
      <c r="AW203" s="53"/>
      <c r="AX203" s="53"/>
      <c r="AY203" s="53"/>
      <c r="AZ203" s="53"/>
      <c r="BA203" s="83"/>
      <c r="BB203" s="53"/>
      <c r="BC203" s="53"/>
    </row>
    <row r="204" spans="3:55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2"/>
        <v>0</v>
      </c>
      <c r="M204" s="26">
        <f t="shared" si="13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67">
        <f>SUMIFS([1]Up!$J:$J,[1]Up!$D:$D,D204)</f>
        <v>0</v>
      </c>
      <c r="AS204" s="82"/>
      <c r="AT204" s="82" t="str">
        <f t="shared" si="14"/>
        <v>PL15</v>
      </c>
      <c r="AU204" s="53" t="str">
        <f t="shared" si="15"/>
        <v/>
      </c>
      <c r="AV204" s="53" t="s">
        <v>148</v>
      </c>
      <c r="AW204" s="53"/>
      <c r="AX204" s="53"/>
      <c r="AY204" s="53"/>
      <c r="AZ204" s="53"/>
      <c r="BA204" s="83"/>
      <c r="BB204" s="53"/>
      <c r="BC204" s="53"/>
    </row>
    <row r="205" spans="3:55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2"/>
        <v>0</v>
      </c>
      <c r="M205" s="26">
        <f t="shared" si="13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67">
        <f>SUMIFS([1]Up!$J:$J,[1]Up!$D:$D,D205)</f>
        <v>0</v>
      </c>
      <c r="AS205" s="82"/>
      <c r="AT205" s="82" t="str">
        <f t="shared" si="14"/>
        <v>PL10</v>
      </c>
      <c r="AU205" s="53" t="str">
        <f t="shared" si="15"/>
        <v/>
      </c>
      <c r="AV205" s="53" t="s">
        <v>148</v>
      </c>
      <c r="AW205" s="53"/>
      <c r="AX205" s="53"/>
      <c r="AY205" s="53"/>
      <c r="AZ205" s="53"/>
      <c r="BA205" s="83"/>
      <c r="BB205" s="53"/>
      <c r="BC205" s="53"/>
    </row>
    <row r="206" spans="3:55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2"/>
        <v>0</v>
      </c>
      <c r="M206" s="26">
        <f t="shared" si="13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67">
        <f>SUMIFS([1]Up!$J:$J,[1]Up!$D:$D,D206)</f>
        <v>0</v>
      </c>
      <c r="AS206" s="82"/>
      <c r="AT206" s="82" t="str">
        <f t="shared" si="14"/>
        <v>PL10</v>
      </c>
      <c r="AU206" s="53" t="str">
        <f t="shared" si="15"/>
        <v/>
      </c>
      <c r="AV206" s="53" t="s">
        <v>148</v>
      </c>
      <c r="AW206" s="53"/>
      <c r="AX206" s="53"/>
      <c r="AY206" s="53"/>
      <c r="AZ206" s="53"/>
      <c r="BA206" s="83"/>
      <c r="BB206" s="53"/>
      <c r="BC206" s="53"/>
    </row>
    <row r="207" spans="3:55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2"/>
        <v>0</v>
      </c>
      <c r="M207" s="26">
        <f t="shared" si="13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67">
        <f>SUMIFS([1]Up!$J:$J,[1]Up!$D:$D,D207)</f>
        <v>0</v>
      </c>
      <c r="AS207" s="82"/>
      <c r="AT207" s="82" t="str">
        <f t="shared" si="14"/>
        <v>PL10</v>
      </c>
      <c r="AU207" s="53" t="str">
        <f t="shared" si="15"/>
        <v/>
      </c>
      <c r="AV207" s="53" t="s">
        <v>148</v>
      </c>
      <c r="AW207" s="53"/>
      <c r="AX207" s="53"/>
      <c r="AY207" s="53"/>
      <c r="AZ207" s="53"/>
      <c r="BA207" s="83"/>
      <c r="BB207" s="53"/>
      <c r="BC207" s="53"/>
    </row>
    <row r="208" spans="3:55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2"/>
        <v>0</v>
      </c>
      <c r="M208" s="26">
        <f t="shared" si="13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67">
        <f>SUMIFS([1]Up!$J:$J,[1]Up!$D:$D,D208)</f>
        <v>0</v>
      </c>
      <c r="AS208" s="82"/>
      <c r="AT208" s="82" t="e">
        <f t="shared" si="14"/>
        <v>#VALUE!</v>
      </c>
      <c r="AU208" s="53" t="str">
        <f t="shared" si="15"/>
        <v/>
      </c>
      <c r="AV208" s="53" t="s">
        <v>148</v>
      </c>
      <c r="AW208" s="53"/>
      <c r="AX208" s="53"/>
      <c r="AY208" s="53"/>
      <c r="AZ208" s="53"/>
      <c r="BA208" s="83"/>
      <c r="BB208" s="53"/>
      <c r="BC208" s="53"/>
    </row>
    <row r="209" spans="3:55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2"/>
        <v>0</v>
      </c>
      <c r="M209" s="26">
        <f t="shared" si="13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67">
        <f>SUMIFS([1]Up!$J:$J,[1]Up!$D:$D,D209)</f>
        <v>0</v>
      </c>
      <c r="AS209" s="82"/>
      <c r="AT209" s="82" t="str">
        <f t="shared" si="14"/>
        <v>PL12</v>
      </c>
      <c r="AU209" s="53" t="str">
        <f t="shared" si="15"/>
        <v/>
      </c>
      <c r="AV209" s="53" t="s">
        <v>148</v>
      </c>
      <c r="AW209" s="53"/>
      <c r="AX209" s="53"/>
      <c r="AY209" s="53"/>
      <c r="AZ209" s="53"/>
      <c r="BA209" s="83"/>
      <c r="BB209" s="53"/>
      <c r="BC209" s="53"/>
    </row>
    <row r="210" spans="3:55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2"/>
        <v>0</v>
      </c>
      <c r="M210" s="26">
        <f t="shared" si="13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67">
        <f>SUMIFS([1]Up!$J:$J,[1]Up!$D:$D,D210)</f>
        <v>0</v>
      </c>
      <c r="AS210" s="82"/>
      <c r="AT210" s="82" t="str">
        <f t="shared" si="14"/>
        <v>PL20</v>
      </c>
      <c r="AU210" s="53" t="str">
        <f t="shared" si="15"/>
        <v/>
      </c>
      <c r="AV210" s="53" t="s">
        <v>148</v>
      </c>
      <c r="AW210" s="53"/>
      <c r="AX210" s="53"/>
      <c r="AY210" s="53"/>
      <c r="AZ210" s="53"/>
      <c r="BA210" s="83"/>
      <c r="BB210" s="53"/>
      <c r="BC210" s="53"/>
    </row>
    <row r="211" spans="3:55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2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67">
        <f>SUMIFS([1]Up!$J:$J,[1]Up!$D:$D,D211)</f>
        <v>0</v>
      </c>
      <c r="AS211" s="82"/>
      <c r="AT211" s="82" t="str">
        <f t="shared" si="14"/>
        <v>PL20</v>
      </c>
      <c r="AU211" s="53" t="str">
        <f t="shared" si="15"/>
        <v/>
      </c>
      <c r="AV211" s="53" t="s">
        <v>148</v>
      </c>
      <c r="AW211" s="53"/>
      <c r="AX211" s="53"/>
      <c r="AY211" s="53"/>
      <c r="AZ211" s="53"/>
      <c r="BA211" s="83"/>
      <c r="BB211" s="53"/>
      <c r="BC211" s="53"/>
    </row>
    <row r="212" spans="3:55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2"/>
        <v>0</v>
      </c>
      <c r="M212" s="26">
        <f t="shared" si="13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67">
        <f>SUMIFS([1]Up!$J:$J,[1]Up!$D:$D,D212)</f>
        <v>0</v>
      </c>
      <c r="AS212" s="82"/>
      <c r="AT212" s="82" t="str">
        <f t="shared" si="14"/>
        <v>PL12</v>
      </c>
      <c r="AU212" s="53" t="str">
        <f t="shared" si="15"/>
        <v/>
      </c>
      <c r="AV212" s="53" t="s">
        <v>148</v>
      </c>
      <c r="AW212" s="53"/>
      <c r="AX212" s="53"/>
      <c r="AY212" s="53"/>
      <c r="AZ212" s="53"/>
      <c r="BA212" s="83"/>
      <c r="BB212" s="53"/>
      <c r="BC212" s="53"/>
    </row>
    <row r="213" spans="3:55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2"/>
        <v>0</v>
      </c>
      <c r="M213" s="26">
        <f t="shared" si="13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67">
        <f>SUMIFS([1]Up!$J:$J,[1]Up!$D:$D,D213)</f>
        <v>0</v>
      </c>
      <c r="AS213" s="82"/>
      <c r="AT213" s="82" t="str">
        <f t="shared" si="14"/>
        <v>PL15</v>
      </c>
      <c r="AU213" s="53" t="str">
        <f t="shared" si="15"/>
        <v/>
      </c>
      <c r="AV213" s="53" t="s">
        <v>148</v>
      </c>
      <c r="AW213" s="53"/>
      <c r="AX213" s="53"/>
      <c r="AY213" s="53"/>
      <c r="AZ213" s="53"/>
      <c r="BA213" s="83"/>
      <c r="BB213" s="53"/>
      <c r="BC213" s="53"/>
    </row>
    <row r="214" spans="3:55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2"/>
        <v>0</v>
      </c>
      <c r="M214" s="26">
        <f t="shared" si="13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67">
        <f>SUMIFS([1]Up!$J:$J,[1]Up!$D:$D,D214)</f>
        <v>0</v>
      </c>
      <c r="AS214" s="82"/>
      <c r="AT214" s="82" t="e">
        <f t="shared" si="14"/>
        <v>#VALUE!</v>
      </c>
      <c r="AU214" s="53" t="str">
        <f t="shared" si="15"/>
        <v/>
      </c>
      <c r="AV214" s="53" t="s">
        <v>148</v>
      </c>
      <c r="AW214" s="53"/>
      <c r="AX214" s="53"/>
      <c r="AY214" s="53"/>
      <c r="AZ214" s="53"/>
      <c r="BA214" s="83"/>
      <c r="BB214" s="53"/>
      <c r="BC214" s="53"/>
    </row>
    <row r="215" spans="3:55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2"/>
        <v>0</v>
      </c>
      <c r="M215" s="26">
        <f t="shared" si="13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67">
        <f>SUMIFS([1]Up!$J:$J,[1]Up!$D:$D,D215)</f>
        <v>0</v>
      </c>
      <c r="AS215" s="82"/>
      <c r="AT215" s="82" t="e">
        <f t="shared" si="14"/>
        <v>#VALUE!</v>
      </c>
      <c r="AU215" s="53" t="str">
        <f t="shared" si="15"/>
        <v/>
      </c>
      <c r="AV215" s="53" t="s">
        <v>148</v>
      </c>
      <c r="AW215" s="53"/>
      <c r="AX215" s="53"/>
      <c r="AY215" s="53"/>
      <c r="AZ215" s="53"/>
      <c r="BA215" s="83"/>
      <c r="BB215" s="53"/>
      <c r="BC215" s="53"/>
    </row>
    <row r="216" spans="3:55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2"/>
        <v>0</v>
      </c>
      <c r="M216" s="26">
        <f t="shared" si="13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67">
        <f>SUMIFS([1]Up!$J:$J,[1]Up!$D:$D,D216)</f>
        <v>0</v>
      </c>
      <c r="AS216" s="82"/>
      <c r="AT216" s="82" t="str">
        <f t="shared" si="14"/>
        <v>PL12</v>
      </c>
      <c r="AU216" s="53" t="str">
        <f t="shared" si="15"/>
        <v/>
      </c>
      <c r="AV216" s="53" t="s">
        <v>148</v>
      </c>
      <c r="AW216" s="53"/>
      <c r="AX216" s="53"/>
      <c r="AY216" s="53"/>
      <c r="AZ216" s="53"/>
      <c r="BA216" s="83"/>
      <c r="BB216" s="53"/>
      <c r="BC216" s="53"/>
    </row>
    <row r="217" spans="3:55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2"/>
        <v>0</v>
      </c>
      <c r="M217" s="26">
        <f t="shared" si="13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67">
        <f>SUMIFS([1]Up!$J:$J,[1]Up!$D:$D,D217)</f>
        <v>0</v>
      </c>
      <c r="AS217" s="82"/>
      <c r="AT217" s="82" t="e">
        <f t="shared" si="14"/>
        <v>#VALUE!</v>
      </c>
      <c r="AU217" s="53" t="str">
        <f t="shared" si="15"/>
        <v/>
      </c>
      <c r="AV217" s="53" t="s">
        <v>148</v>
      </c>
      <c r="AW217" s="53"/>
      <c r="AX217" s="53"/>
      <c r="AY217" s="53"/>
      <c r="AZ217" s="53"/>
      <c r="BA217" s="83"/>
      <c r="BB217" s="53"/>
      <c r="BC217" s="53"/>
    </row>
    <row r="218" spans="3:55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2"/>
        <v>0</v>
      </c>
      <c r="M218" s="26">
        <f t="shared" si="13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67">
        <f>SUMIFS([1]Up!$J:$J,[1]Up!$D:$D,D218)</f>
        <v>0</v>
      </c>
      <c r="AS218" s="82"/>
      <c r="AT218" s="82" t="str">
        <f t="shared" si="14"/>
        <v>PL12</v>
      </c>
      <c r="AU218" s="53" t="str">
        <f t="shared" si="15"/>
        <v/>
      </c>
      <c r="AV218" s="53" t="s">
        <v>148</v>
      </c>
      <c r="AW218" s="53"/>
      <c r="AX218" s="53"/>
      <c r="AY218" s="53"/>
      <c r="AZ218" s="53"/>
      <c r="BA218" s="83"/>
      <c r="BB218" s="53"/>
      <c r="BC218" s="53"/>
    </row>
    <row r="219" spans="3:55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2"/>
        <v>0</v>
      </c>
      <c r="M219" s="26">
        <f t="shared" si="13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67">
        <f>SUMIFS([1]Up!$J:$J,[1]Up!$D:$D,D219)</f>
        <v>0</v>
      </c>
      <c r="AS219" s="82"/>
      <c r="AT219" s="82" t="str">
        <f t="shared" si="14"/>
        <v>PL12</v>
      </c>
      <c r="AU219" s="53" t="str">
        <f t="shared" si="15"/>
        <v/>
      </c>
      <c r="AV219" s="53" t="s">
        <v>148</v>
      </c>
      <c r="AW219" s="53"/>
      <c r="AX219" s="53"/>
      <c r="AY219" s="53"/>
      <c r="AZ219" s="53"/>
      <c r="BA219" s="83"/>
      <c r="BB219" s="53"/>
      <c r="BC219" s="53"/>
    </row>
    <row r="220" spans="3:55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2"/>
        <v>0</v>
      </c>
      <c r="M220" s="26">
        <f t="shared" si="13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67">
        <f>SUMIFS([1]Up!$J:$J,[1]Up!$D:$D,D220)</f>
        <v>0</v>
      </c>
      <c r="AS220" s="82"/>
      <c r="AT220" s="82" t="str">
        <f t="shared" si="14"/>
        <v>PL12</v>
      </c>
      <c r="AU220" s="53" t="str">
        <f t="shared" si="15"/>
        <v/>
      </c>
      <c r="AV220" s="53" t="s">
        <v>148</v>
      </c>
      <c r="AW220" s="53"/>
      <c r="AX220" s="53"/>
      <c r="AY220" s="53"/>
      <c r="AZ220" s="53"/>
      <c r="BA220" s="83"/>
      <c r="BB220" s="53"/>
      <c r="BC220" s="53"/>
    </row>
    <row r="221" spans="3:55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2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67">
        <f>SUMIFS([1]Up!$J:$J,[1]Up!$D:$D,D221)</f>
        <v>0</v>
      </c>
      <c r="AS221" s="82"/>
      <c r="AT221" s="82" t="str">
        <f t="shared" si="14"/>
        <v>PL12</v>
      </c>
      <c r="AU221" s="53" t="str">
        <f t="shared" si="15"/>
        <v/>
      </c>
      <c r="AV221" s="53" t="s">
        <v>148</v>
      </c>
      <c r="AW221" s="53"/>
      <c r="AX221" s="53"/>
      <c r="AY221" s="53"/>
      <c r="AZ221" s="53"/>
      <c r="BA221" s="83"/>
      <c r="BB221" s="53"/>
      <c r="BC221" s="53"/>
    </row>
    <row r="222" spans="3:55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2"/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67">
        <f>SUMIFS([1]Up!$J:$J,[1]Up!$D:$D,D222)</f>
        <v>0</v>
      </c>
      <c r="AS222" s="82"/>
      <c r="AT222" s="82" t="str">
        <f t="shared" si="14"/>
        <v>PL20</v>
      </c>
      <c r="AU222" s="53" t="str">
        <f t="shared" si="15"/>
        <v/>
      </c>
      <c r="AV222" s="53" t="s">
        <v>148</v>
      </c>
      <c r="AW222" s="53"/>
      <c r="AX222" s="53"/>
      <c r="AY222" s="53"/>
      <c r="AZ222" s="53"/>
      <c r="BA222" s="83"/>
      <c r="BB222" s="53"/>
      <c r="BC222" s="53"/>
    </row>
    <row r="223" spans="3:55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67">
        <f>SUMIFS([1]Up!$J:$J,[1]Up!$D:$D,D223)</f>
        <v>0</v>
      </c>
      <c r="AS223" s="82"/>
      <c r="AT223" s="82" t="str">
        <f t="shared" si="14"/>
        <v>PL20</v>
      </c>
      <c r="AU223" s="53" t="str">
        <f t="shared" si="15"/>
        <v/>
      </c>
      <c r="AV223" s="53" t="s">
        <v>148</v>
      </c>
      <c r="AW223" s="53"/>
      <c r="AX223" s="53"/>
      <c r="AY223" s="53"/>
      <c r="AZ223" s="53"/>
      <c r="BA223" s="83"/>
      <c r="BB223" s="53"/>
      <c r="BC223" s="53"/>
    </row>
    <row r="224" spans="3:55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2"/>
        <v>0</v>
      </c>
      <c r="M224" s="26">
        <f t="shared" si="13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67">
        <f>SUMIFS([1]Up!$J:$J,[1]Up!$D:$D,D224)</f>
        <v>0</v>
      </c>
      <c r="AS224" s="82"/>
      <c r="AT224" s="82" t="str">
        <f t="shared" si="14"/>
        <v>PL12</v>
      </c>
      <c r="AU224" s="53" t="str">
        <f t="shared" si="15"/>
        <v/>
      </c>
      <c r="AV224" s="53" t="s">
        <v>148</v>
      </c>
      <c r="AW224" s="53"/>
      <c r="AX224" s="53"/>
      <c r="AY224" s="53"/>
      <c r="AZ224" s="53"/>
      <c r="BA224" s="83"/>
      <c r="BB224" s="53"/>
      <c r="BC224" s="53"/>
    </row>
    <row r="225" spans="3:55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2"/>
        <v>0</v>
      </c>
      <c r="M225" s="26">
        <f t="shared" si="13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67">
        <f>SUMIFS([1]Up!$J:$J,[1]Up!$D:$D,D225)</f>
        <v>0</v>
      </c>
      <c r="AS225" s="82"/>
      <c r="AT225" s="82" t="str">
        <f t="shared" si="14"/>
        <v>PL12</v>
      </c>
      <c r="AU225" s="53" t="str">
        <f t="shared" si="15"/>
        <v/>
      </c>
      <c r="AV225" s="53" t="s">
        <v>148</v>
      </c>
      <c r="AW225" s="53"/>
      <c r="AX225" s="53"/>
      <c r="AY225" s="53"/>
      <c r="AZ225" s="53"/>
      <c r="BA225" s="83"/>
      <c r="BB225" s="53"/>
      <c r="BC225" s="53"/>
    </row>
    <row r="226" spans="3:55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2"/>
        <v>0</v>
      </c>
      <c r="M226" s="26">
        <f t="shared" si="13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67">
        <f>SUMIFS([1]Up!$J:$J,[1]Up!$D:$D,D226)</f>
        <v>0</v>
      </c>
      <c r="AS226" s="82"/>
      <c r="AT226" s="82" t="str">
        <f t="shared" si="14"/>
        <v>PL12</v>
      </c>
      <c r="AU226" s="53" t="str">
        <f t="shared" si="15"/>
        <v/>
      </c>
      <c r="AV226" s="53" t="s">
        <v>148</v>
      </c>
      <c r="AW226" s="53"/>
      <c r="AX226" s="53"/>
      <c r="AY226" s="53"/>
      <c r="AZ226" s="53"/>
      <c r="BA226" s="83"/>
      <c r="BB226" s="53"/>
      <c r="BC226" s="53"/>
    </row>
    <row r="227" spans="3:55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2"/>
        <v>0</v>
      </c>
      <c r="M227" s="26">
        <f t="shared" si="13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67">
        <f>SUMIFS([1]Up!$J:$J,[1]Up!$D:$D,D227)</f>
        <v>0</v>
      </c>
      <c r="AS227" s="82"/>
      <c r="AT227" s="82" t="str">
        <f t="shared" si="14"/>
        <v>PL12</v>
      </c>
      <c r="AU227" s="53" t="str">
        <f t="shared" si="15"/>
        <v/>
      </c>
      <c r="AV227" s="53" t="s">
        <v>148</v>
      </c>
      <c r="AW227" s="53"/>
      <c r="AX227" s="53"/>
      <c r="AY227" s="53"/>
      <c r="AZ227" s="53"/>
      <c r="BA227" s="83"/>
      <c r="BB227" s="53"/>
      <c r="BC227" s="53"/>
    </row>
    <row r="228" spans="3:55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2"/>
        <v>0</v>
      </c>
      <c r="M228" s="26">
        <f t="shared" si="13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67">
        <f>SUMIFS([1]Up!$J:$J,[1]Up!$D:$D,D228)</f>
        <v>0</v>
      </c>
      <c r="AS228" s="82"/>
      <c r="AT228" s="82" t="str">
        <f t="shared" si="14"/>
        <v>PL12</v>
      </c>
      <c r="AU228" s="53" t="str">
        <f t="shared" si="15"/>
        <v/>
      </c>
      <c r="AV228" s="53" t="s">
        <v>148</v>
      </c>
      <c r="AW228" s="53"/>
      <c r="AX228" s="53"/>
      <c r="AY228" s="53"/>
      <c r="AZ228" s="53"/>
      <c r="BA228" s="83"/>
      <c r="BB228" s="53"/>
      <c r="BC228" s="53"/>
    </row>
    <row r="229" spans="3:55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2"/>
        <v>0</v>
      </c>
      <c r="M229" s="26">
        <f t="shared" si="13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67">
        <f>SUMIFS([1]Up!$J:$J,[1]Up!$D:$D,D229)</f>
        <v>0</v>
      </c>
      <c r="AS229" s="82"/>
      <c r="AT229" s="82" t="str">
        <f t="shared" si="14"/>
        <v>PL12</v>
      </c>
      <c r="AU229" s="53" t="str">
        <f t="shared" si="15"/>
        <v/>
      </c>
      <c r="AV229" s="53" t="s">
        <v>148</v>
      </c>
      <c r="AW229" s="53"/>
      <c r="AX229" s="53"/>
      <c r="AY229" s="53"/>
      <c r="AZ229" s="53"/>
      <c r="BA229" s="83"/>
      <c r="BB229" s="53"/>
      <c r="BC229" s="53"/>
    </row>
    <row r="230" spans="3:55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2"/>
        <v>0</v>
      </c>
      <c r="M230" s="26">
        <f t="shared" si="13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67">
        <f>SUMIFS([1]Up!$J:$J,[1]Up!$D:$D,D230)</f>
        <v>0</v>
      </c>
      <c r="AS230" s="82"/>
      <c r="AT230" s="82" t="str">
        <f t="shared" si="14"/>
        <v>PL12</v>
      </c>
      <c r="AU230" s="53" t="str">
        <f t="shared" si="15"/>
        <v/>
      </c>
      <c r="AV230" s="53" t="s">
        <v>154</v>
      </c>
      <c r="AW230" s="53"/>
      <c r="AX230" s="53"/>
      <c r="AY230" s="53"/>
      <c r="AZ230" s="53"/>
      <c r="BA230" s="83"/>
      <c r="BB230" s="53"/>
      <c r="BC230" s="53"/>
    </row>
    <row r="231" spans="3:55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2"/>
        <v>0</v>
      </c>
      <c r="M231" s="26">
        <f t="shared" si="13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67">
        <f>SUMIFS([1]Up!$J:$J,[1]Up!$D:$D,D231)</f>
        <v>0</v>
      </c>
      <c r="AS231" s="82"/>
      <c r="AT231" s="82" t="str">
        <f t="shared" si="14"/>
        <v>PL12</v>
      </c>
      <c r="AU231" s="53" t="str">
        <f t="shared" si="15"/>
        <v/>
      </c>
      <c r="AV231" s="53" t="s">
        <v>154</v>
      </c>
      <c r="AW231" s="53"/>
      <c r="AX231" s="53"/>
      <c r="AY231" s="53"/>
      <c r="AZ231" s="53"/>
      <c r="BA231" s="83"/>
      <c r="BB231" s="53"/>
      <c r="BC231" s="53"/>
    </row>
    <row r="232" spans="3:55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2"/>
        <v>0</v>
      </c>
      <c r="M232" s="26">
        <f t="shared" si="13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67">
        <f>SUMIFS([1]Up!$J:$J,[1]Up!$D:$D,D232)</f>
        <v>0</v>
      </c>
      <c r="AS232" s="82"/>
      <c r="AT232" s="82" t="str">
        <f t="shared" si="14"/>
        <v>PL30</v>
      </c>
      <c r="AU232" s="53" t="str">
        <f t="shared" si="15"/>
        <v/>
      </c>
      <c r="AV232" s="53" t="s">
        <v>148</v>
      </c>
      <c r="AW232" s="53"/>
      <c r="AX232" s="53"/>
      <c r="AY232" s="53"/>
      <c r="AZ232" s="53"/>
      <c r="BA232" s="83"/>
      <c r="BB232" s="53"/>
      <c r="BC232" s="53"/>
    </row>
    <row r="233" spans="3:55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2"/>
        <v>0</v>
      </c>
      <c r="M233" s="26">
        <f t="shared" si="13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67">
        <f>SUMIFS([1]Up!$J:$J,[1]Up!$D:$D,D233)</f>
        <v>0</v>
      </c>
      <c r="AS233" s="82"/>
      <c r="AT233" s="82" t="str">
        <f t="shared" si="14"/>
        <v>PL20</v>
      </c>
      <c r="AU233" s="53" t="str">
        <f t="shared" si="15"/>
        <v/>
      </c>
      <c r="AV233" s="53" t="s">
        <v>148</v>
      </c>
      <c r="AW233" s="53"/>
      <c r="AX233" s="53"/>
      <c r="AY233" s="53"/>
      <c r="AZ233" s="53"/>
      <c r="BA233" s="83"/>
      <c r="BB233" s="53"/>
      <c r="BC233" s="53"/>
    </row>
    <row r="234" spans="3:55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2"/>
        <v>0</v>
      </c>
      <c r="M234" s="26">
        <f t="shared" si="13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67">
        <f>SUMIFS([1]Up!$J:$J,[1]Up!$D:$D,D234)</f>
        <v>0</v>
      </c>
      <c r="AS234" s="82"/>
      <c r="AT234" s="82" t="str">
        <f t="shared" si="14"/>
        <v>PL3</v>
      </c>
      <c r="AU234" s="53" t="str">
        <f t="shared" si="15"/>
        <v/>
      </c>
      <c r="AV234" s="53" t="s">
        <v>148</v>
      </c>
      <c r="AW234" s="53"/>
      <c r="AX234" s="53"/>
      <c r="AY234" s="53"/>
      <c r="AZ234" s="53"/>
      <c r="BA234" s="83"/>
      <c r="BB234" s="53"/>
      <c r="BC234" s="53"/>
    </row>
    <row r="235" spans="3:55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2"/>
        <v>0</v>
      </c>
      <c r="M235" s="26">
        <f t="shared" si="13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67">
        <f>SUMIFS([1]Up!$J:$J,[1]Up!$D:$D,D235)</f>
        <v>0</v>
      </c>
      <c r="AS235" s="82"/>
      <c r="AT235" s="82" t="str">
        <f t="shared" si="14"/>
        <v>PL20</v>
      </c>
      <c r="AU235" s="53" t="str">
        <f t="shared" si="15"/>
        <v/>
      </c>
      <c r="AV235" s="53" t="s">
        <v>148</v>
      </c>
      <c r="AW235" s="53"/>
      <c r="AX235" s="53"/>
      <c r="AY235" s="53"/>
      <c r="AZ235" s="53"/>
      <c r="BA235" s="83"/>
      <c r="BB235" s="53"/>
      <c r="BC235" s="53"/>
    </row>
    <row r="236" spans="3:55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67">
        <f>SUMIFS([1]Up!$J:$J,[1]Up!$D:$D,D236)</f>
        <v>0</v>
      </c>
      <c r="AS236" s="82"/>
      <c r="AT236" s="82" t="str">
        <f t="shared" si="14"/>
        <v>PL20</v>
      </c>
      <c r="AU236" s="53" t="str">
        <f t="shared" si="15"/>
        <v/>
      </c>
      <c r="AV236" s="53" t="s">
        <v>148</v>
      </c>
      <c r="AW236" s="53"/>
      <c r="AX236" s="53"/>
      <c r="AY236" s="53"/>
      <c r="AZ236" s="53"/>
      <c r="BA236" s="83"/>
      <c r="BB236" s="53"/>
      <c r="BC236" s="53"/>
    </row>
    <row r="237" spans="3:55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67">
        <f>SUMIFS([1]Up!$J:$J,[1]Up!$D:$D,D237)</f>
        <v>0</v>
      </c>
      <c r="AS237" s="82"/>
      <c r="AT237" s="82" t="str">
        <f t="shared" si="14"/>
        <v>PL20</v>
      </c>
      <c r="AU237" s="53" t="str">
        <f t="shared" si="15"/>
        <v/>
      </c>
      <c r="AV237" s="53" t="s">
        <v>148</v>
      </c>
      <c r="AW237" s="53"/>
      <c r="AX237" s="53"/>
      <c r="AY237" s="53"/>
      <c r="AZ237" s="53"/>
      <c r="BA237" s="83"/>
      <c r="BB237" s="53"/>
      <c r="BC237" s="53"/>
    </row>
    <row r="238" spans="3:55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67">
        <f>SUMIFS([1]Up!$J:$J,[1]Up!$D:$D,D238)</f>
        <v>0</v>
      </c>
      <c r="AS238" s="82"/>
      <c r="AT238" s="82" t="str">
        <f t="shared" si="14"/>
        <v>PL20</v>
      </c>
      <c r="AU238" s="53" t="str">
        <f t="shared" si="15"/>
        <v/>
      </c>
      <c r="AV238" s="53" t="s">
        <v>148</v>
      </c>
      <c r="AW238" s="53"/>
      <c r="AX238" s="53"/>
      <c r="AY238" s="53"/>
      <c r="AZ238" s="53"/>
      <c r="BA238" s="83"/>
      <c r="BB238" s="53"/>
      <c r="BC238" s="53"/>
    </row>
    <row r="239" spans="3:55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67">
        <f>SUMIFS([1]Up!$J:$J,[1]Up!$D:$D,D239)</f>
        <v>0</v>
      </c>
      <c r="AS239" s="82"/>
      <c r="AT239" s="82" t="str">
        <f t="shared" si="14"/>
        <v>PL20</v>
      </c>
      <c r="AU239" s="53" t="str">
        <f t="shared" si="15"/>
        <v/>
      </c>
      <c r="AV239" s="53" t="s">
        <v>148</v>
      </c>
      <c r="AW239" s="53"/>
      <c r="AX239" s="53"/>
      <c r="AY239" s="53"/>
      <c r="AZ239" s="53"/>
      <c r="BA239" s="83"/>
      <c r="BB239" s="53"/>
      <c r="BC239" s="53"/>
    </row>
    <row r="240" spans="3:55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67">
        <f>SUMIFS([1]Up!$J:$J,[1]Up!$D:$D,D240)</f>
        <v>0</v>
      </c>
      <c r="AS240" s="82"/>
      <c r="AT240" s="82" t="str">
        <f t="shared" si="14"/>
        <v>PL20</v>
      </c>
      <c r="AU240" s="53" t="str">
        <f t="shared" si="15"/>
        <v/>
      </c>
      <c r="AV240" s="53" t="s">
        <v>148</v>
      </c>
      <c r="AW240" s="53"/>
      <c r="AX240" s="53"/>
      <c r="AY240" s="53"/>
      <c r="AZ240" s="53"/>
      <c r="BA240" s="83"/>
      <c r="BB240" s="53"/>
      <c r="BC240" s="53"/>
    </row>
    <row r="241" spans="3:55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2"/>
        <v>1</v>
      </c>
      <c r="M241" s="26">
        <f t="shared" si="13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67">
        <f>SUMIFS([1]Up!$J:$J,[1]Up!$D:$D,D241)</f>
        <v>0</v>
      </c>
      <c r="AS241" s="82"/>
      <c r="AT241" s="82" t="str">
        <f t="shared" si="14"/>
        <v>PL20</v>
      </c>
      <c r="AU241" s="53" t="str">
        <f t="shared" si="15"/>
        <v/>
      </c>
      <c r="AV241" s="53" t="s">
        <v>148</v>
      </c>
      <c r="AW241" s="53"/>
      <c r="AX241" s="53"/>
      <c r="AY241" s="53"/>
      <c r="AZ241" s="53"/>
      <c r="BA241" s="83"/>
      <c r="BB241" s="53"/>
      <c r="BC241" s="53"/>
    </row>
    <row r="242" spans="3:55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2"/>
        <v>0</v>
      </c>
      <c r="M242" s="26">
        <f t="shared" si="13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67">
        <f>SUMIFS([1]Up!$J:$J,[1]Up!$D:$D,D242)</f>
        <v>0</v>
      </c>
      <c r="AS242" s="82"/>
      <c r="AT242" s="82" t="str">
        <f t="shared" si="14"/>
        <v>PL20</v>
      </c>
      <c r="AU242" s="53" t="str">
        <f t="shared" si="15"/>
        <v/>
      </c>
      <c r="AV242" s="53" t="s">
        <v>148</v>
      </c>
      <c r="AW242" s="53"/>
      <c r="AX242" s="53"/>
      <c r="AY242" s="53"/>
      <c r="AZ242" s="53"/>
      <c r="BA242" s="83"/>
      <c r="BB242" s="53"/>
      <c r="BC242" s="53"/>
    </row>
    <row r="243" spans="3:55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2"/>
        <v>0</v>
      </c>
      <c r="M243" s="26">
        <f t="shared" si="13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67">
        <f>SUMIFS([1]Up!$J:$J,[1]Up!$D:$D,D243)</f>
        <v>0</v>
      </c>
      <c r="AS243" s="82"/>
      <c r="AT243" s="82" t="str">
        <f t="shared" si="14"/>
        <v>PL20</v>
      </c>
      <c r="AU243" s="53" t="str">
        <f t="shared" si="15"/>
        <v/>
      </c>
      <c r="AV243" s="53" t="s">
        <v>148</v>
      </c>
      <c r="AW243" s="53"/>
      <c r="AX243" s="53"/>
      <c r="AY243" s="53"/>
      <c r="AZ243" s="53"/>
      <c r="BA243" s="83"/>
      <c r="BB243" s="53"/>
      <c r="BC243" s="53"/>
    </row>
    <row r="244" spans="3:55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2"/>
        <v>0</v>
      </c>
      <c r="M244" s="26">
        <f t="shared" si="13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67">
        <f>SUMIFS([1]Up!$J:$J,[1]Up!$D:$D,D244)</f>
        <v>0</v>
      </c>
      <c r="AS244" s="82"/>
      <c r="AT244" s="82" t="str">
        <f t="shared" si="14"/>
        <v>PL20</v>
      </c>
      <c r="AU244" s="53" t="str">
        <f t="shared" si="15"/>
        <v/>
      </c>
      <c r="AV244" s="53" t="s">
        <v>148</v>
      </c>
      <c r="AW244" s="53"/>
      <c r="AX244" s="53"/>
      <c r="AY244" s="53"/>
      <c r="AZ244" s="53"/>
      <c r="BA244" s="83"/>
      <c r="BB244" s="53"/>
      <c r="BC244" s="53"/>
    </row>
    <row r="245" spans="3:55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2"/>
        <v>0</v>
      </c>
      <c r="M245" s="26">
        <f t="shared" si="13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67">
        <f>SUMIFS([1]Up!$J:$J,[1]Up!$D:$D,D245)</f>
        <v>0</v>
      </c>
      <c r="AS245" s="82"/>
      <c r="AT245" s="82" t="str">
        <f t="shared" si="14"/>
        <v>PL5</v>
      </c>
      <c r="AU245" s="53" t="str">
        <f t="shared" si="15"/>
        <v/>
      </c>
      <c r="AV245" s="53" t="s">
        <v>148</v>
      </c>
      <c r="AW245" s="53"/>
      <c r="AX245" s="53"/>
      <c r="AY245" s="53"/>
      <c r="AZ245" s="53"/>
      <c r="BA245" s="83"/>
      <c r="BB245" s="53"/>
      <c r="BC245" s="53"/>
    </row>
    <row r="246" spans="3:55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2"/>
        <v>0</v>
      </c>
      <c r="M246" s="26">
        <f t="shared" si="13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67">
        <f>SUMIFS([1]Up!$J:$J,[1]Up!$D:$D,D246)</f>
        <v>0</v>
      </c>
      <c r="AS246" s="82"/>
      <c r="AT246" s="82" t="str">
        <f t="shared" si="14"/>
        <v>PL20</v>
      </c>
      <c r="AU246" s="53" t="str">
        <f t="shared" si="15"/>
        <v/>
      </c>
      <c r="AV246" s="53" t="s">
        <v>148</v>
      </c>
      <c r="AW246" s="53"/>
      <c r="AX246" s="53"/>
      <c r="AY246" s="53"/>
      <c r="AZ246" s="53"/>
      <c r="BA246" s="83"/>
      <c r="BB246" s="53"/>
      <c r="BC246" s="53"/>
    </row>
    <row r="247" spans="3:55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2"/>
        <v>0</v>
      </c>
      <c r="M247" s="26">
        <f t="shared" si="13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67">
        <f>SUMIFS([1]Up!$J:$J,[1]Up!$D:$D,D247)</f>
        <v>0</v>
      </c>
      <c r="AS247" s="82"/>
      <c r="AT247" s="82" t="str">
        <f t="shared" si="14"/>
        <v>PL20</v>
      </c>
      <c r="AU247" s="53" t="str">
        <f t="shared" si="15"/>
        <v/>
      </c>
      <c r="AV247" s="53" t="s">
        <v>148</v>
      </c>
      <c r="AW247" s="53"/>
      <c r="AX247" s="53"/>
      <c r="AY247" s="53"/>
      <c r="AZ247" s="53"/>
      <c r="BA247" s="83"/>
      <c r="BB247" s="53"/>
      <c r="BC247" s="53"/>
    </row>
    <row r="248" spans="3:55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2"/>
        <v>0</v>
      </c>
      <c r="M248" s="26">
        <f t="shared" si="13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67">
        <f>SUMIFS([1]Up!$J:$J,[1]Up!$D:$D,D248)</f>
        <v>0</v>
      </c>
      <c r="AS248" s="82"/>
      <c r="AT248" s="82" t="str">
        <f t="shared" si="14"/>
        <v>PL20</v>
      </c>
      <c r="AU248" s="53" t="str">
        <f t="shared" si="15"/>
        <v/>
      </c>
      <c r="AV248" s="53" t="s">
        <v>148</v>
      </c>
      <c r="AW248" s="53"/>
      <c r="AX248" s="53"/>
      <c r="AY248" s="53"/>
      <c r="AZ248" s="53"/>
      <c r="BA248" s="83"/>
      <c r="BB248" s="53"/>
      <c r="BC248" s="53"/>
    </row>
    <row r="249" spans="3:55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2"/>
        <v>2</v>
      </c>
      <c r="M249" s="26">
        <f t="shared" si="1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67">
        <f>SUMIFS([1]Up!$J:$J,[1]Up!$D:$D,D249)</f>
        <v>0</v>
      </c>
      <c r="AS249" s="82"/>
      <c r="AT249" s="82" t="str">
        <f t="shared" si="14"/>
        <v>PL20</v>
      </c>
      <c r="AU249" s="53" t="str">
        <f t="shared" si="15"/>
        <v/>
      </c>
      <c r="AV249" s="53" t="s">
        <v>148</v>
      </c>
      <c r="AW249" s="53"/>
      <c r="AX249" s="53"/>
      <c r="AY249" s="53"/>
      <c r="AZ249" s="53"/>
      <c r="BA249" s="83"/>
      <c r="BB249" s="53"/>
      <c r="BC249" s="53"/>
    </row>
    <row r="250" spans="3:55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2"/>
        <v>1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67">
        <f>SUMIFS([1]Up!$J:$J,[1]Up!$D:$D,D250)</f>
        <v>0</v>
      </c>
      <c r="AS250" s="82" t="s">
        <v>2236</v>
      </c>
      <c r="AT250" s="82" t="e">
        <f t="shared" si="14"/>
        <v>#VALUE!</v>
      </c>
      <c r="AU250" s="53" t="str">
        <f t="shared" si="15"/>
        <v>Thừa 3</v>
      </c>
      <c r="AV250" s="53" t="s">
        <v>154</v>
      </c>
      <c r="AW250" s="53"/>
      <c r="AX250" s="53"/>
      <c r="AY250" s="53" t="s">
        <v>57</v>
      </c>
      <c r="AZ250" s="53">
        <v>1</v>
      </c>
      <c r="BA250" s="83"/>
      <c r="BB250" s="53"/>
      <c r="BC250" s="53"/>
    </row>
    <row r="251" spans="3:55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2"/>
        <v>1</v>
      </c>
      <c r="M251" s="26">
        <f t="shared" si="1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67">
        <f>SUMIFS([1]Up!$J:$J,[1]Up!$D:$D,D251)</f>
        <v>0</v>
      </c>
      <c r="AS251" s="82"/>
      <c r="AT251" s="82" t="str">
        <f t="shared" si="14"/>
        <v>PL10</v>
      </c>
      <c r="AU251" s="53" t="str">
        <f t="shared" si="15"/>
        <v/>
      </c>
      <c r="AV251" s="53" t="s">
        <v>154</v>
      </c>
      <c r="AW251" s="84" t="s">
        <v>210</v>
      </c>
      <c r="AX251" s="53"/>
      <c r="AY251" s="53" t="s">
        <v>211</v>
      </c>
      <c r="AZ251" s="53">
        <v>1</v>
      </c>
      <c r="BA251" s="83">
        <v>46201</v>
      </c>
      <c r="BB251" s="53"/>
      <c r="BC251" s="53"/>
    </row>
    <row r="252" spans="3:55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2"/>
        <v>2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67">
        <f>SUMIFS([1]Up!$J:$J,[1]Up!$D:$D,D252)</f>
        <v>0</v>
      </c>
      <c r="AS252" s="82" t="s">
        <v>2073</v>
      </c>
      <c r="AT252" s="82" t="str">
        <f t="shared" si="14"/>
        <v>PL10</v>
      </c>
      <c r="AU252" s="53" t="str">
        <f t="shared" si="15"/>
        <v>Thừa 6</v>
      </c>
      <c r="AV252" s="53" t="s">
        <v>148</v>
      </c>
      <c r="AW252" s="53"/>
      <c r="AX252" s="53"/>
      <c r="AY252" s="53" t="s">
        <v>57</v>
      </c>
      <c r="AZ252" s="53">
        <v>2</v>
      </c>
      <c r="BA252" s="83"/>
      <c r="BB252" s="53"/>
      <c r="BC252" s="53"/>
    </row>
    <row r="253" spans="3:55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2"/>
        <v>2</v>
      </c>
      <c r="M253" s="26">
        <f t="shared" si="1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67">
        <f>SUMIFS([1]Up!$J:$J,[1]Up!$D:$D,D253)</f>
        <v>0</v>
      </c>
      <c r="AS253" s="82"/>
      <c r="AT253" s="82" t="str">
        <f t="shared" si="14"/>
        <v>PL10</v>
      </c>
      <c r="AU253" s="53" t="str">
        <f t="shared" si="15"/>
        <v/>
      </c>
      <c r="AV253" s="53" t="s">
        <v>154</v>
      </c>
      <c r="AW253" s="84" t="s">
        <v>210</v>
      </c>
      <c r="AX253" s="53"/>
      <c r="AY253" s="53" t="s">
        <v>211</v>
      </c>
      <c r="AZ253" s="53">
        <v>2</v>
      </c>
      <c r="BA253" s="83">
        <v>46201</v>
      </c>
      <c r="BB253" s="53"/>
      <c r="BC253" s="53"/>
    </row>
    <row r="254" spans="3:55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2"/>
        <v>2</v>
      </c>
      <c r="M254" s="26">
        <f t="shared" si="1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67">
        <f>SUMIFS([1]Up!$J:$J,[1]Up!$D:$D,D254)</f>
        <v>0</v>
      </c>
      <c r="AS254" s="82"/>
      <c r="AT254" s="82" t="str">
        <f t="shared" si="14"/>
        <v>PL10</v>
      </c>
      <c r="AU254" s="53" t="str">
        <f t="shared" si="15"/>
        <v/>
      </c>
      <c r="AV254" s="53" t="s">
        <v>154</v>
      </c>
      <c r="AW254" s="84" t="s">
        <v>210</v>
      </c>
      <c r="AX254" s="53"/>
      <c r="AY254" s="53" t="s">
        <v>211</v>
      </c>
      <c r="AZ254" s="53">
        <v>2</v>
      </c>
      <c r="BA254" s="83">
        <v>46201</v>
      </c>
      <c r="BB254" s="53"/>
      <c r="BC254" s="53"/>
    </row>
    <row r="255" spans="3:55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2"/>
        <v>2</v>
      </c>
      <c r="M255" s="26">
        <f t="shared" si="1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67">
        <f>SUMIFS([1]Up!$J:$J,[1]Up!$D:$D,D255)</f>
        <v>0</v>
      </c>
      <c r="AS255" s="82"/>
      <c r="AT255" s="82" t="str">
        <f t="shared" si="14"/>
        <v>PL10</v>
      </c>
      <c r="AU255" s="53" t="str">
        <f t="shared" si="15"/>
        <v/>
      </c>
      <c r="AV255" s="53" t="s">
        <v>154</v>
      </c>
      <c r="AW255" s="84" t="s">
        <v>210</v>
      </c>
      <c r="AX255" s="53"/>
      <c r="AY255" s="53" t="s">
        <v>211</v>
      </c>
      <c r="AZ255" s="53">
        <v>2</v>
      </c>
      <c r="BA255" s="83">
        <v>46201</v>
      </c>
      <c r="BB255" s="53"/>
      <c r="BC255" s="53"/>
    </row>
    <row r="256" spans="3:55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2"/>
        <v>2</v>
      </c>
      <c r="M256" s="26">
        <f t="shared" si="1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67">
        <f>SUMIFS([1]Up!$J:$J,[1]Up!$D:$D,D256)</f>
        <v>0</v>
      </c>
      <c r="AS256" s="82"/>
      <c r="AT256" s="82" t="str">
        <f t="shared" si="14"/>
        <v>PL10</v>
      </c>
      <c r="AU256" s="53" t="str">
        <f t="shared" si="15"/>
        <v/>
      </c>
      <c r="AV256" s="53" t="s">
        <v>154</v>
      </c>
      <c r="AW256" s="84" t="s">
        <v>210</v>
      </c>
      <c r="AX256" s="53"/>
      <c r="AY256" s="53" t="s">
        <v>211</v>
      </c>
      <c r="AZ256" s="53">
        <v>2</v>
      </c>
      <c r="BA256" s="83">
        <v>46201</v>
      </c>
      <c r="BB256" s="53"/>
      <c r="BC256" s="53"/>
    </row>
    <row r="257" spans="3:55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2"/>
        <v>2</v>
      </c>
      <c r="M257" s="26">
        <f t="shared" si="1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67">
        <f>SUMIFS([1]Up!$J:$J,[1]Up!$D:$D,D257)</f>
        <v>0</v>
      </c>
      <c r="AS257" s="82"/>
      <c r="AT257" s="82" t="str">
        <f t="shared" si="14"/>
        <v>PL10</v>
      </c>
      <c r="AU257" s="53" t="str">
        <f t="shared" si="15"/>
        <v/>
      </c>
      <c r="AV257" s="53" t="s">
        <v>154</v>
      </c>
      <c r="AW257" s="84" t="s">
        <v>210</v>
      </c>
      <c r="AX257" s="53"/>
      <c r="AY257" s="53" t="s">
        <v>211</v>
      </c>
      <c r="AZ257" s="53">
        <v>2</v>
      </c>
      <c r="BA257" s="83">
        <v>46201</v>
      </c>
      <c r="BB257" s="53"/>
      <c r="BC257" s="53"/>
    </row>
    <row r="258" spans="3:55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2"/>
        <v>2</v>
      </c>
      <c r="M258" s="26">
        <f t="shared" si="1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67">
        <f>SUMIFS([1]Up!$J:$J,[1]Up!$D:$D,D258)</f>
        <v>0</v>
      </c>
      <c r="AS258" s="82"/>
      <c r="AT258" s="82" t="str">
        <f t="shared" si="14"/>
        <v>PL10</v>
      </c>
      <c r="AU258" s="53" t="str">
        <f t="shared" si="15"/>
        <v/>
      </c>
      <c r="AV258" s="53" t="s">
        <v>154</v>
      </c>
      <c r="AW258" s="84" t="s">
        <v>210</v>
      </c>
      <c r="AX258" s="53"/>
      <c r="AY258" s="53" t="s">
        <v>211</v>
      </c>
      <c r="AZ258" s="53">
        <v>2</v>
      </c>
      <c r="BA258" s="83">
        <v>46201</v>
      </c>
      <c r="BB258" s="53"/>
      <c r="BC258" s="53"/>
    </row>
    <row r="259" spans="3:55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2"/>
        <v>2</v>
      </c>
      <c r="M259" s="26">
        <f t="shared" si="1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67">
        <f>SUMIFS([1]Up!$J:$J,[1]Up!$D:$D,D259)</f>
        <v>0</v>
      </c>
      <c r="AS259" s="82"/>
      <c r="AT259" s="82" t="str">
        <f t="shared" si="14"/>
        <v>PL10</v>
      </c>
      <c r="AU259" s="53" t="str">
        <f t="shared" si="15"/>
        <v/>
      </c>
      <c r="AV259" s="53" t="s">
        <v>154</v>
      </c>
      <c r="AW259" s="84" t="s">
        <v>210</v>
      </c>
      <c r="AX259" s="53"/>
      <c r="AY259" s="53" t="s">
        <v>211</v>
      </c>
      <c r="AZ259" s="53">
        <v>2</v>
      </c>
      <c r="BA259" s="83">
        <v>46201</v>
      </c>
      <c r="BB259" s="53"/>
      <c r="BC259" s="53"/>
    </row>
    <row r="260" spans="3:55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2"/>
        <v>2</v>
      </c>
      <c r="M260" s="26">
        <f t="shared" si="1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67">
        <f>SUMIFS([1]Up!$J:$J,[1]Up!$D:$D,D260)</f>
        <v>0</v>
      </c>
      <c r="AS260" s="82"/>
      <c r="AT260" s="82" t="str">
        <f t="shared" si="14"/>
        <v>PL10</v>
      </c>
      <c r="AU260" s="53" t="str">
        <f t="shared" si="15"/>
        <v/>
      </c>
      <c r="AV260" s="53" t="s">
        <v>154</v>
      </c>
      <c r="AW260" s="84" t="s">
        <v>210</v>
      </c>
      <c r="AX260" s="53"/>
      <c r="AY260" s="53" t="s">
        <v>211</v>
      </c>
      <c r="AZ260" s="53">
        <v>2</v>
      </c>
      <c r="BA260" s="83">
        <v>46201</v>
      </c>
      <c r="BB260" s="53"/>
      <c r="BC260" s="53"/>
    </row>
    <row r="261" spans="3:55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2"/>
        <v>2</v>
      </c>
      <c r="M261" s="26">
        <f t="shared" si="1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67">
        <f>SUMIFS([1]Up!$J:$J,[1]Up!$D:$D,D261)</f>
        <v>0</v>
      </c>
      <c r="AS261" s="82"/>
      <c r="AT261" s="82" t="str">
        <f t="shared" si="14"/>
        <v>PL10</v>
      </c>
      <c r="AU261" s="53" t="str">
        <f t="shared" si="15"/>
        <v/>
      </c>
      <c r="AV261" s="53" t="s">
        <v>154</v>
      </c>
      <c r="AW261" s="84" t="s">
        <v>210</v>
      </c>
      <c r="AX261" s="53"/>
      <c r="AY261" s="53" t="s">
        <v>211</v>
      </c>
      <c r="AZ261" s="53">
        <v>2</v>
      </c>
      <c r="BA261" s="83">
        <v>46201</v>
      </c>
      <c r="BB261" s="53"/>
      <c r="BC261" s="53"/>
    </row>
    <row r="262" spans="3:55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2"/>
        <v>2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67">
        <f>SUMIFS([1]Up!$J:$J,[1]Up!$D:$D,D262)</f>
        <v>0</v>
      </c>
      <c r="AS262" s="82"/>
      <c r="AT262" s="82" t="str">
        <f t="shared" si="14"/>
        <v>PL10</v>
      </c>
      <c r="AU262" s="53" t="str">
        <f t="shared" si="15"/>
        <v/>
      </c>
      <c r="AV262" s="53" t="s">
        <v>154</v>
      </c>
      <c r="AW262" s="84" t="s">
        <v>210</v>
      </c>
      <c r="AX262" s="53"/>
      <c r="AY262" s="53" t="s">
        <v>211</v>
      </c>
      <c r="AZ262" s="53">
        <v>2</v>
      </c>
      <c r="BA262" s="83">
        <v>46201</v>
      </c>
      <c r="BB262" s="53"/>
      <c r="BC262" s="53"/>
    </row>
    <row r="263" spans="3:55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2"/>
        <v>2</v>
      </c>
      <c r="M263" s="26">
        <f t="shared" si="1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67">
        <f>SUMIFS([1]Up!$J:$J,[1]Up!$D:$D,D263)</f>
        <v>0</v>
      </c>
      <c r="AS263" s="82"/>
      <c r="AT263" s="82" t="str">
        <f t="shared" si="14"/>
        <v>PL10</v>
      </c>
      <c r="AU263" s="53" t="str">
        <f t="shared" si="15"/>
        <v/>
      </c>
      <c r="AV263" s="53" t="s">
        <v>154</v>
      </c>
      <c r="AW263" s="84" t="s">
        <v>210</v>
      </c>
      <c r="AX263" s="53"/>
      <c r="AY263" s="53" t="s">
        <v>211</v>
      </c>
      <c r="AZ263" s="53">
        <v>2</v>
      </c>
      <c r="BA263" s="83">
        <v>46201</v>
      </c>
      <c r="BB263" s="53"/>
      <c r="BC263" s="53"/>
    </row>
    <row r="264" spans="3:55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2"/>
        <v>1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67">
        <f>SUMIFS([1]Up!$J:$J,[1]Up!$D:$D,D264)</f>
        <v>0</v>
      </c>
      <c r="AS264" s="82" t="s">
        <v>2243</v>
      </c>
      <c r="AT264" s="82" t="e">
        <f t="shared" si="14"/>
        <v>#VALUE!</v>
      </c>
      <c r="AU264" s="53" t="str">
        <f t="shared" si="15"/>
        <v>Thừa 3</v>
      </c>
      <c r="AV264" s="53" t="s">
        <v>154</v>
      </c>
      <c r="AW264" s="53"/>
      <c r="AX264" s="53"/>
      <c r="AY264" s="53" t="s">
        <v>57</v>
      </c>
      <c r="AZ264" s="53">
        <v>1</v>
      </c>
      <c r="BA264" s="83"/>
      <c r="BB264" s="53"/>
      <c r="BC264" s="53"/>
    </row>
    <row r="265" spans="3:55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2"/>
        <v>1</v>
      </c>
      <c r="M265" s="26">
        <f t="shared" si="13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67">
        <f>SUMIFS([1]Up!$J:$J,[1]Up!$D:$D,D265)</f>
        <v>0</v>
      </c>
      <c r="AS265" s="82"/>
      <c r="AT265" s="82" t="str">
        <f t="shared" si="14"/>
        <v>PL10</v>
      </c>
      <c r="AU265" s="53" t="str">
        <f t="shared" si="15"/>
        <v/>
      </c>
      <c r="AV265" s="53" t="s">
        <v>148</v>
      </c>
      <c r="AW265" s="84" t="s">
        <v>210</v>
      </c>
      <c r="AX265" s="53"/>
      <c r="AY265" s="53" t="s">
        <v>211</v>
      </c>
      <c r="AZ265" s="53">
        <v>1</v>
      </c>
      <c r="BA265" s="83">
        <v>46201</v>
      </c>
      <c r="BB265" s="53"/>
      <c r="BC265" s="53"/>
    </row>
    <row r="266" spans="3:55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2"/>
        <v>1</v>
      </c>
      <c r="M266" s="26">
        <f t="shared" si="13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67">
        <f>SUMIFS([1]Up!$J:$J,[1]Up!$D:$D,D266)</f>
        <v>0</v>
      </c>
      <c r="AS266" s="82" t="s">
        <v>2078</v>
      </c>
      <c r="AT266" s="82" t="str">
        <f t="shared" si="14"/>
        <v>PL15</v>
      </c>
      <c r="AU266" s="53" t="str">
        <f t="shared" si="15"/>
        <v>Thừa 2</v>
      </c>
      <c r="AV266" s="53" t="s">
        <v>148</v>
      </c>
      <c r="AW266" s="53"/>
      <c r="AX266" s="53"/>
      <c r="AY266" s="53" t="s">
        <v>57</v>
      </c>
      <c r="AZ266" s="53">
        <v>1</v>
      </c>
      <c r="BA266" s="83"/>
      <c r="BB266" s="53"/>
      <c r="BC266" s="53"/>
    </row>
    <row r="267" spans="3:55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2"/>
        <v>1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67">
        <f>SUMIFS([1]Up!$J:$J,[1]Up!$D:$D,D267)</f>
        <v>0</v>
      </c>
      <c r="AS267" s="82" t="s">
        <v>2072</v>
      </c>
      <c r="AT267" s="82" t="str">
        <f t="shared" si="14"/>
        <v>PL15</v>
      </c>
      <c r="AU267" s="53" t="str">
        <f t="shared" si="15"/>
        <v>Thừa 2</v>
      </c>
      <c r="AV267" s="53" t="s">
        <v>148</v>
      </c>
      <c r="AW267" s="53"/>
      <c r="AX267" s="53"/>
      <c r="AY267" s="53" t="s">
        <v>57</v>
      </c>
      <c r="AZ267" s="53">
        <v>1</v>
      </c>
      <c r="BA267" s="83"/>
      <c r="BB267" s="53"/>
      <c r="BC267" s="53"/>
    </row>
    <row r="268" spans="3:55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2"/>
        <v>2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67">
        <f>SUMIFS([1]Up!$J:$J,[1]Up!$D:$D,D268)</f>
        <v>0</v>
      </c>
      <c r="AS268" s="82"/>
      <c r="AT268" s="82" t="str">
        <f t="shared" si="14"/>
        <v>PL15</v>
      </c>
      <c r="AU268" s="53" t="str">
        <f t="shared" si="15"/>
        <v/>
      </c>
      <c r="AV268" s="53" t="s">
        <v>148</v>
      </c>
      <c r="AW268" s="84" t="s">
        <v>200</v>
      </c>
      <c r="AX268" s="53"/>
      <c r="AY268" s="53" t="s">
        <v>201</v>
      </c>
      <c r="AZ268" s="53">
        <v>2</v>
      </c>
      <c r="BA268" s="83">
        <v>46201</v>
      </c>
      <c r="BB268" s="53"/>
      <c r="BC268" s="53"/>
    </row>
    <row r="269" spans="3:55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2"/>
        <v>2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67">
        <f>SUMIFS([1]Up!$J:$J,[1]Up!$D:$D,D269)</f>
        <v>0</v>
      </c>
      <c r="AS269" s="82"/>
      <c r="AT269" s="82" t="str">
        <f t="shared" si="14"/>
        <v>PL15</v>
      </c>
      <c r="AU269" s="53" t="str">
        <f t="shared" si="15"/>
        <v/>
      </c>
      <c r="AV269" s="53" t="s">
        <v>148</v>
      </c>
      <c r="AW269" s="84" t="s">
        <v>200</v>
      </c>
      <c r="AX269" s="53"/>
      <c r="AY269" s="53" t="s">
        <v>201</v>
      </c>
      <c r="AZ269" s="53">
        <v>2</v>
      </c>
      <c r="BA269" s="83">
        <v>46201</v>
      </c>
      <c r="BB269" s="53"/>
      <c r="BC269" s="53"/>
    </row>
    <row r="270" spans="3:55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6">MIN(SUM(N270:AQ270),I270)</f>
        <v>1</v>
      </c>
      <c r="M270" s="26">
        <f t="shared" ref="M270:M325" si="17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67">
        <f>SUMIFS([1]Up!$J:$J,[1]Up!$D:$D,D270)</f>
        <v>0</v>
      </c>
      <c r="AS270" s="82"/>
      <c r="AT270" s="82" t="str">
        <f t="shared" ref="AT270:AT325" si="18">IFERROR(IF(C270="Plate",LEFT(E270,FIND("*",E270,1)-1),""),IF(C270="Plate",LEFT(E270,FIND("x",E270,1)-1),""))</f>
        <v>PL15</v>
      </c>
      <c r="AU270" s="53" t="str">
        <f t="shared" ref="AU270:AU325" si="19">IF(ROUND(SUM(N270:AQ270)-I270,0)&gt;0,"Thừa "&amp;SUM(N270:AQ270)-I270,"")</f>
        <v/>
      </c>
      <c r="AV270" s="53" t="s">
        <v>148</v>
      </c>
      <c r="AW270" s="84" t="s">
        <v>200</v>
      </c>
      <c r="AX270" s="53"/>
      <c r="AY270" s="53" t="s">
        <v>201</v>
      </c>
      <c r="AZ270" s="53">
        <v>1</v>
      </c>
      <c r="BA270" s="83">
        <v>46201</v>
      </c>
      <c r="BB270" s="53"/>
      <c r="BC270" s="53"/>
    </row>
    <row r="271" spans="3:55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67">
        <f>SUMIFS([1]Up!$J:$J,[1]Up!$D:$D,D271)</f>
        <v>0</v>
      </c>
      <c r="AS271" s="82"/>
      <c r="AT271" s="82" t="str">
        <f t="shared" si="18"/>
        <v>PL15</v>
      </c>
      <c r="AU271" s="53" t="str">
        <f t="shared" si="19"/>
        <v/>
      </c>
      <c r="AV271" s="53" t="s">
        <v>148</v>
      </c>
      <c r="AW271" s="84" t="s">
        <v>200</v>
      </c>
      <c r="AX271" s="53"/>
      <c r="AY271" s="53" t="s">
        <v>201</v>
      </c>
      <c r="AZ271" s="53">
        <v>1</v>
      </c>
      <c r="BA271" s="83">
        <v>46201</v>
      </c>
      <c r="BB271" s="53"/>
      <c r="BC271" s="53"/>
    </row>
    <row r="272" spans="3:55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6"/>
        <v>1</v>
      </c>
      <c r="M272" s="26">
        <f t="shared" si="17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67">
        <f>SUMIFS([1]Up!$J:$J,[1]Up!$D:$D,D272)</f>
        <v>0</v>
      </c>
      <c r="AS272" s="82"/>
      <c r="AT272" s="82" t="str">
        <f t="shared" si="18"/>
        <v>PL15</v>
      </c>
      <c r="AU272" s="53" t="str">
        <f t="shared" si="19"/>
        <v/>
      </c>
      <c r="AV272" s="53" t="s">
        <v>148</v>
      </c>
      <c r="AW272" s="84" t="s">
        <v>200</v>
      </c>
      <c r="AX272" s="53"/>
      <c r="AY272" s="53" t="s">
        <v>201</v>
      </c>
      <c r="AZ272" s="53">
        <v>1</v>
      </c>
      <c r="BA272" s="83">
        <v>46201</v>
      </c>
      <c r="BB272" s="53"/>
      <c r="BC272" s="53"/>
    </row>
    <row r="273" spans="3:55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6"/>
        <v>1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67">
        <f>SUMIFS([1]Up!$J:$J,[1]Up!$D:$D,D273)</f>
        <v>0</v>
      </c>
      <c r="AS273" s="82"/>
      <c r="AT273" s="82" t="str">
        <f t="shared" si="18"/>
        <v>PL15</v>
      </c>
      <c r="AU273" s="53" t="str">
        <f t="shared" si="19"/>
        <v/>
      </c>
      <c r="AV273" s="53" t="s">
        <v>148</v>
      </c>
      <c r="AW273" s="84" t="s">
        <v>200</v>
      </c>
      <c r="AX273" s="53"/>
      <c r="AY273" s="53" t="s">
        <v>201</v>
      </c>
      <c r="AZ273" s="53">
        <v>1</v>
      </c>
      <c r="BA273" s="83">
        <v>46201</v>
      </c>
      <c r="BB273" s="53"/>
      <c r="BC273" s="53"/>
    </row>
    <row r="274" spans="3:55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6"/>
        <v>1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67">
        <f>SUMIFS([1]Up!$J:$J,[1]Up!$D:$D,D274)</f>
        <v>0</v>
      </c>
      <c r="AS274" s="82"/>
      <c r="AT274" s="82" t="str">
        <f t="shared" si="18"/>
        <v>PL15</v>
      </c>
      <c r="AU274" s="53" t="str">
        <f t="shared" si="19"/>
        <v/>
      </c>
      <c r="AV274" s="53" t="s">
        <v>148</v>
      </c>
      <c r="AW274" s="84" t="s">
        <v>200</v>
      </c>
      <c r="AX274" s="53"/>
      <c r="AY274" s="53" t="s">
        <v>201</v>
      </c>
      <c r="AZ274" s="53">
        <v>1</v>
      </c>
      <c r="BA274" s="83">
        <v>46201</v>
      </c>
      <c r="BB274" s="53"/>
      <c r="BC274" s="53"/>
    </row>
    <row r="275" spans="3:55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6"/>
        <v>2</v>
      </c>
      <c r="M275" s="26">
        <f t="shared" si="17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67">
        <f>SUMIFS([1]Up!$J:$J,[1]Up!$D:$D,D275)</f>
        <v>0</v>
      </c>
      <c r="AS275" s="82"/>
      <c r="AT275" s="82" t="str">
        <f t="shared" si="18"/>
        <v>PL20</v>
      </c>
      <c r="AU275" s="53" t="str">
        <f t="shared" si="19"/>
        <v/>
      </c>
      <c r="AV275" s="53" t="s">
        <v>148</v>
      </c>
      <c r="AW275" s="84" t="s">
        <v>319</v>
      </c>
      <c r="AX275" s="53"/>
      <c r="AY275" s="53" t="s">
        <v>320</v>
      </c>
      <c r="AZ275" s="53">
        <v>2</v>
      </c>
      <c r="BA275" s="83">
        <v>46202</v>
      </c>
      <c r="BB275" s="53"/>
      <c r="BC275" s="53"/>
    </row>
    <row r="276" spans="3:55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6"/>
        <v>2</v>
      </c>
      <c r="M276" s="26">
        <f t="shared" si="17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67">
        <f>SUMIFS([1]Up!$J:$J,[1]Up!$D:$D,D276)</f>
        <v>0</v>
      </c>
      <c r="AS276" s="82"/>
      <c r="AT276" s="82" t="str">
        <f t="shared" si="18"/>
        <v>PL20</v>
      </c>
      <c r="AU276" s="53" t="str">
        <f t="shared" si="19"/>
        <v/>
      </c>
      <c r="AV276" s="53" t="s">
        <v>148</v>
      </c>
      <c r="AW276" s="84" t="s">
        <v>319</v>
      </c>
      <c r="AX276" s="53"/>
      <c r="AY276" s="53" t="s">
        <v>320</v>
      </c>
      <c r="AZ276" s="53">
        <v>2</v>
      </c>
      <c r="BA276" s="83">
        <v>46202</v>
      </c>
      <c r="BB276" s="53"/>
      <c r="BC276" s="53"/>
    </row>
    <row r="277" spans="3:55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67">
        <f>SUMIFS([1]Up!$J:$J,[1]Up!$D:$D,D277)</f>
        <v>0</v>
      </c>
      <c r="AS277" s="82" t="s">
        <v>2083</v>
      </c>
      <c r="AT277" s="82" t="str">
        <f t="shared" si="18"/>
        <v>PL15</v>
      </c>
      <c r="AU277" s="53" t="str">
        <f t="shared" si="19"/>
        <v>Thừa 4</v>
      </c>
      <c r="AV277" s="53" t="s">
        <v>148</v>
      </c>
      <c r="AW277" s="53"/>
      <c r="AX277" s="53"/>
      <c r="AY277" s="53" t="s">
        <v>57</v>
      </c>
      <c r="AZ277" s="53">
        <v>1</v>
      </c>
      <c r="BA277" s="83"/>
      <c r="BB277" s="53"/>
      <c r="BC277" s="53"/>
    </row>
    <row r="278" spans="3:55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6"/>
        <v>2</v>
      </c>
      <c r="M278" s="26">
        <f t="shared" si="17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67">
        <f>SUMIFS([1]Up!$J:$J,[1]Up!$D:$D,D278)</f>
        <v>0</v>
      </c>
      <c r="AS278" s="82"/>
      <c r="AT278" s="82" t="str">
        <f t="shared" si="18"/>
        <v>PL20</v>
      </c>
      <c r="AU278" s="53" t="str">
        <f t="shared" si="19"/>
        <v/>
      </c>
      <c r="AV278" s="53" t="s">
        <v>148</v>
      </c>
      <c r="AW278" s="84" t="s">
        <v>319</v>
      </c>
      <c r="AX278" s="53"/>
      <c r="AY278" s="53" t="s">
        <v>320</v>
      </c>
      <c r="AZ278" s="53">
        <v>2</v>
      </c>
      <c r="BA278" s="83">
        <v>46202</v>
      </c>
      <c r="BB278" s="53"/>
      <c r="BC278" s="53"/>
    </row>
    <row r="279" spans="3:55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6"/>
        <v>4</v>
      </c>
      <c r="M279" s="26">
        <f t="shared" si="17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67">
        <f>SUMIFS([1]Up!$J:$J,[1]Up!$D:$D,D279)</f>
        <v>0</v>
      </c>
      <c r="AS279" s="82"/>
      <c r="AT279" s="82" t="str">
        <f t="shared" si="18"/>
        <v>PL3</v>
      </c>
      <c r="AU279" s="53" t="str">
        <f t="shared" si="19"/>
        <v/>
      </c>
      <c r="AV279" s="53" t="s">
        <v>148</v>
      </c>
      <c r="AW279" s="84" t="s">
        <v>682</v>
      </c>
      <c r="AX279" s="53"/>
      <c r="AY279" s="53" t="s">
        <v>683</v>
      </c>
      <c r="AZ279" s="53">
        <v>4</v>
      </c>
      <c r="BA279" s="83">
        <v>46196</v>
      </c>
      <c r="BB279" s="53"/>
      <c r="BC279" s="53"/>
    </row>
    <row r="280" spans="3:55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6"/>
        <v>2</v>
      </c>
      <c r="M280" s="26">
        <f t="shared" si="17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67">
        <f>SUMIFS([1]Up!$J:$J,[1]Up!$D:$D,D280)</f>
        <v>0</v>
      </c>
      <c r="AS280" s="82"/>
      <c r="AT280" s="82" t="str">
        <f t="shared" si="18"/>
        <v>PL20</v>
      </c>
      <c r="AU280" s="53" t="str">
        <f t="shared" si="19"/>
        <v/>
      </c>
      <c r="AV280" s="53" t="s">
        <v>148</v>
      </c>
      <c r="AW280" s="84" t="s">
        <v>319</v>
      </c>
      <c r="AX280" s="53"/>
      <c r="AY280" s="53" t="s">
        <v>320</v>
      </c>
      <c r="AZ280" s="53">
        <v>2</v>
      </c>
      <c r="BA280" s="83">
        <v>46202</v>
      </c>
      <c r="BB280" s="53"/>
      <c r="BC280" s="53"/>
    </row>
    <row r="281" spans="3:55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6"/>
        <v>4</v>
      </c>
      <c r="M281" s="26">
        <f t="shared" si="17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67">
        <f>SUMIFS([1]Up!$J:$J,[1]Up!$D:$D,D281)</f>
        <v>0</v>
      </c>
      <c r="AS281" s="82"/>
      <c r="AT281" s="82" t="str">
        <f t="shared" si="18"/>
        <v>PL20</v>
      </c>
      <c r="AU281" s="53" t="str">
        <f t="shared" si="19"/>
        <v/>
      </c>
      <c r="AV281" s="53" t="s">
        <v>148</v>
      </c>
      <c r="AW281" s="84" t="s">
        <v>319</v>
      </c>
      <c r="AX281" s="53"/>
      <c r="AY281" s="53" t="s">
        <v>320</v>
      </c>
      <c r="AZ281" s="53">
        <v>4</v>
      </c>
      <c r="BA281" s="83">
        <v>46202</v>
      </c>
      <c r="BB281" s="53"/>
      <c r="BC281" s="53"/>
    </row>
    <row r="282" spans="3:55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6"/>
        <v>1</v>
      </c>
      <c r="M282" s="26">
        <f t="shared" si="17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67">
        <f>SUMIFS([1]Up!$J:$J,[1]Up!$D:$D,D282)</f>
        <v>0</v>
      </c>
      <c r="AS282" s="82"/>
      <c r="AT282" s="82" t="str">
        <f t="shared" si="18"/>
        <v>PL30</v>
      </c>
      <c r="AU282" s="53" t="str">
        <f t="shared" si="19"/>
        <v/>
      </c>
      <c r="AV282" s="53" t="s">
        <v>148</v>
      </c>
      <c r="AW282" s="84" t="s">
        <v>688</v>
      </c>
      <c r="AX282" s="53"/>
      <c r="AY282" s="53" t="s">
        <v>689</v>
      </c>
      <c r="AZ282" s="53">
        <v>1</v>
      </c>
      <c r="BA282" s="83">
        <v>46196</v>
      </c>
      <c r="BB282" s="53"/>
      <c r="BC282" s="53"/>
    </row>
    <row r="283" spans="3:55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6"/>
        <v>2</v>
      </c>
      <c r="M283" s="26">
        <f t="shared" si="17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67">
        <f>SUMIFS([1]Up!$J:$J,[1]Up!$D:$D,D283)</f>
        <v>0</v>
      </c>
      <c r="AS283" s="82"/>
      <c r="AT283" s="82" t="str">
        <f t="shared" si="18"/>
        <v>PL20</v>
      </c>
      <c r="AU283" s="53" t="str">
        <f t="shared" si="19"/>
        <v/>
      </c>
      <c r="AV283" s="53" t="s">
        <v>148</v>
      </c>
      <c r="AW283" s="84" t="s">
        <v>319</v>
      </c>
      <c r="AX283" s="53"/>
      <c r="AY283" s="53" t="s">
        <v>320</v>
      </c>
      <c r="AZ283" s="53">
        <v>2</v>
      </c>
      <c r="BA283" s="83">
        <v>46202</v>
      </c>
      <c r="BB283" s="53"/>
      <c r="BC283" s="53"/>
    </row>
    <row r="284" spans="3:55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6"/>
        <v>2</v>
      </c>
      <c r="M284" s="26">
        <f t="shared" si="17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67">
        <f>SUMIFS([1]Up!$J:$J,[1]Up!$D:$D,D284)</f>
        <v>0</v>
      </c>
      <c r="AS284" s="82"/>
      <c r="AT284" s="82" t="str">
        <f t="shared" si="18"/>
        <v>PL20</v>
      </c>
      <c r="AU284" s="53" t="str">
        <f t="shared" si="19"/>
        <v/>
      </c>
      <c r="AV284" s="53" t="s">
        <v>148</v>
      </c>
      <c r="AW284" s="84" t="s">
        <v>319</v>
      </c>
      <c r="AX284" s="53"/>
      <c r="AY284" s="53" t="s">
        <v>320</v>
      </c>
      <c r="AZ284" s="53">
        <v>2</v>
      </c>
      <c r="BA284" s="83">
        <v>46202</v>
      </c>
      <c r="BB284" s="53"/>
      <c r="BC284" s="53"/>
    </row>
    <row r="285" spans="3:55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6"/>
        <v>4</v>
      </c>
      <c r="M285" s="26">
        <f t="shared" si="17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67">
        <f>SUMIFS([1]Up!$J:$J,[1]Up!$D:$D,D285)</f>
        <v>0</v>
      </c>
      <c r="AS285" s="82"/>
      <c r="AT285" s="82" t="str">
        <f t="shared" si="18"/>
        <v>PL20</v>
      </c>
      <c r="AU285" s="53" t="str">
        <f t="shared" si="19"/>
        <v/>
      </c>
      <c r="AV285" s="53" t="s">
        <v>148</v>
      </c>
      <c r="AW285" s="84" t="s">
        <v>319</v>
      </c>
      <c r="AX285" s="53"/>
      <c r="AY285" s="53" t="s">
        <v>320</v>
      </c>
      <c r="AZ285" s="53">
        <v>4</v>
      </c>
      <c r="BA285" s="83">
        <v>46202</v>
      </c>
      <c r="BB285" s="53"/>
      <c r="BC285" s="53"/>
    </row>
    <row r="286" spans="3:55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6"/>
        <v>2</v>
      </c>
      <c r="M286" s="26">
        <f t="shared" si="17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67">
        <f>SUMIFS([1]Up!$J:$J,[1]Up!$D:$D,D286)</f>
        <v>0</v>
      </c>
      <c r="AS286" s="82"/>
      <c r="AT286" s="82" t="str">
        <f t="shared" si="18"/>
        <v>PL20</v>
      </c>
      <c r="AU286" s="53" t="str">
        <f t="shared" si="19"/>
        <v/>
      </c>
      <c r="AV286" s="53" t="s">
        <v>148</v>
      </c>
      <c r="AW286" s="84" t="s">
        <v>319</v>
      </c>
      <c r="AX286" s="53"/>
      <c r="AY286" s="53" t="s">
        <v>320</v>
      </c>
      <c r="AZ286" s="53">
        <v>2</v>
      </c>
      <c r="BA286" s="83">
        <v>46202</v>
      </c>
      <c r="BB286" s="53"/>
      <c r="BC286" s="53"/>
    </row>
    <row r="287" spans="3:55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6"/>
        <v>2</v>
      </c>
      <c r="M287" s="26">
        <f t="shared" si="17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67">
        <f>SUMIFS([1]Up!$J:$J,[1]Up!$D:$D,D287)</f>
        <v>0</v>
      </c>
      <c r="AS287" s="82"/>
      <c r="AT287" s="82" t="str">
        <f t="shared" si="18"/>
        <v>PL20</v>
      </c>
      <c r="AU287" s="53" t="str">
        <f t="shared" si="19"/>
        <v/>
      </c>
      <c r="AV287" s="53" t="s">
        <v>148</v>
      </c>
      <c r="AW287" s="84" t="s">
        <v>319</v>
      </c>
      <c r="AX287" s="53"/>
      <c r="AY287" s="53" t="s">
        <v>320</v>
      </c>
      <c r="AZ287" s="53">
        <v>2</v>
      </c>
      <c r="BA287" s="83">
        <v>46202</v>
      </c>
      <c r="BB287" s="53"/>
      <c r="BC287" s="53"/>
    </row>
    <row r="288" spans="3:55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6"/>
        <v>4</v>
      </c>
      <c r="M288" s="26">
        <f t="shared" si="17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67">
        <f>SUMIFS([1]Up!$J:$J,[1]Up!$D:$D,D288)</f>
        <v>0</v>
      </c>
      <c r="AS288" s="82"/>
      <c r="AT288" s="82" t="str">
        <f t="shared" si="18"/>
        <v>PL20</v>
      </c>
      <c r="AU288" s="53" t="str">
        <f t="shared" si="19"/>
        <v/>
      </c>
      <c r="AV288" s="53" t="s">
        <v>148</v>
      </c>
      <c r="AW288" s="84" t="s">
        <v>319</v>
      </c>
      <c r="AX288" s="53"/>
      <c r="AY288" s="53" t="s">
        <v>320</v>
      </c>
      <c r="AZ288" s="53">
        <v>4</v>
      </c>
      <c r="BA288" s="83">
        <v>46202</v>
      </c>
      <c r="BB288" s="53"/>
      <c r="BC288" s="53"/>
    </row>
    <row r="289" spans="3:55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6"/>
        <v>1</v>
      </c>
      <c r="M289" s="26">
        <f t="shared" si="1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67">
        <f>SUMIFS([1]Up!$J:$J,[1]Up!$D:$D,D289)</f>
        <v>0</v>
      </c>
      <c r="AS289" s="82"/>
      <c r="AT289" s="82" t="str">
        <f t="shared" si="18"/>
        <v>PL5</v>
      </c>
      <c r="AU289" s="53" t="str">
        <f t="shared" si="19"/>
        <v/>
      </c>
      <c r="AV289" s="53" t="s">
        <v>148</v>
      </c>
      <c r="AW289" s="53" t="s">
        <v>704</v>
      </c>
      <c r="AX289" s="53"/>
      <c r="AY289" s="53" t="s">
        <v>705</v>
      </c>
      <c r="AZ289" s="53">
        <v>1</v>
      </c>
      <c r="BA289" s="83">
        <v>46196</v>
      </c>
      <c r="BB289" s="53"/>
      <c r="BC289" s="53"/>
    </row>
    <row r="290" spans="3:55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6"/>
        <v>1</v>
      </c>
      <c r="M290" s="26">
        <f t="shared" si="17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67">
        <f>SUMIFS([1]Up!$J:$J,[1]Up!$D:$D,D290)</f>
        <v>0</v>
      </c>
      <c r="AS290" s="82"/>
      <c r="AT290" s="82" t="str">
        <f t="shared" si="18"/>
        <v>PL20</v>
      </c>
      <c r="AU290" s="53" t="str">
        <f t="shared" si="19"/>
        <v/>
      </c>
      <c r="AV290" s="53" t="s">
        <v>148</v>
      </c>
      <c r="AW290" s="84" t="s">
        <v>319</v>
      </c>
      <c r="AX290" s="53"/>
      <c r="AY290" s="53" t="s">
        <v>320</v>
      </c>
      <c r="AZ290" s="53">
        <v>1</v>
      </c>
      <c r="BA290" s="83">
        <v>46202</v>
      </c>
      <c r="BB290" s="53"/>
      <c r="BC290" s="53"/>
    </row>
    <row r="291" spans="3:55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6"/>
        <v>1</v>
      </c>
      <c r="M291" s="26">
        <f t="shared" si="17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67">
        <f>SUMIFS([1]Up!$J:$J,[1]Up!$D:$D,D291)</f>
        <v>0</v>
      </c>
      <c r="AS291" s="82"/>
      <c r="AT291" s="82" t="str">
        <f t="shared" si="18"/>
        <v>PL20</v>
      </c>
      <c r="AU291" s="53" t="str">
        <f t="shared" si="19"/>
        <v/>
      </c>
      <c r="AV291" s="53" t="s">
        <v>148</v>
      </c>
      <c r="AW291" s="84" t="s">
        <v>319</v>
      </c>
      <c r="AX291" s="53"/>
      <c r="AY291" s="53" t="s">
        <v>320</v>
      </c>
      <c r="AZ291" s="53">
        <v>1</v>
      </c>
      <c r="BA291" s="83">
        <v>46202</v>
      </c>
      <c r="BB291" s="53"/>
      <c r="BC291" s="53"/>
    </row>
    <row r="292" spans="3:55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6"/>
        <v>2</v>
      </c>
      <c r="M292" s="26">
        <f t="shared" si="17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67">
        <f>SUMIFS([1]Up!$J:$J,[1]Up!$D:$D,D292)</f>
        <v>0</v>
      </c>
      <c r="AS292" s="82"/>
      <c r="AT292" s="82" t="str">
        <f t="shared" si="18"/>
        <v>PL20</v>
      </c>
      <c r="AU292" s="53" t="str">
        <f t="shared" si="19"/>
        <v/>
      </c>
      <c r="AV292" s="53" t="s">
        <v>148</v>
      </c>
      <c r="AW292" s="84" t="s">
        <v>319</v>
      </c>
      <c r="AX292" s="53"/>
      <c r="AY292" s="53" t="s">
        <v>320</v>
      </c>
      <c r="AZ292" s="53">
        <v>2</v>
      </c>
      <c r="BA292" s="83">
        <v>46202</v>
      </c>
      <c r="BB292" s="53"/>
      <c r="BC292" s="53"/>
    </row>
    <row r="293" spans="3:55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6"/>
        <v>2</v>
      </c>
      <c r="M293" s="26">
        <f t="shared" si="17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67">
        <f>SUMIFS([1]Up!$J:$J,[1]Up!$D:$D,D293)</f>
        <v>0</v>
      </c>
      <c r="AS293" s="82"/>
      <c r="AT293" s="82" t="str">
        <f t="shared" si="18"/>
        <v>PL20</v>
      </c>
      <c r="AU293" s="53" t="str">
        <f t="shared" si="19"/>
        <v/>
      </c>
      <c r="AV293" s="53" t="s">
        <v>148</v>
      </c>
      <c r="AW293" s="84" t="s">
        <v>319</v>
      </c>
      <c r="AX293" s="53"/>
      <c r="AY293" s="53" t="s">
        <v>320</v>
      </c>
      <c r="AZ293" s="53">
        <v>2</v>
      </c>
      <c r="BA293" s="83">
        <v>46202</v>
      </c>
      <c r="BB293" s="53"/>
      <c r="BC293" s="53"/>
    </row>
    <row r="294" spans="3:55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6"/>
        <v>2</v>
      </c>
      <c r="M294" s="26">
        <f t="shared" si="17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67">
        <f>SUMIFS([1]Up!$J:$J,[1]Up!$D:$D,D294)</f>
        <v>0</v>
      </c>
      <c r="AS294" s="82"/>
      <c r="AT294" s="82" t="str">
        <f t="shared" si="18"/>
        <v>PL20</v>
      </c>
      <c r="AU294" s="53" t="str">
        <f t="shared" si="19"/>
        <v/>
      </c>
      <c r="AV294" s="53" t="s">
        <v>148</v>
      </c>
      <c r="AW294" s="84" t="s">
        <v>319</v>
      </c>
      <c r="AX294" s="53"/>
      <c r="AY294" s="53" t="s">
        <v>320</v>
      </c>
      <c r="AZ294" s="53">
        <v>2</v>
      </c>
      <c r="BA294" s="83">
        <v>46202</v>
      </c>
      <c r="BB294" s="53"/>
      <c r="BC294" s="53"/>
    </row>
    <row r="295" spans="3:55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6"/>
        <v>2</v>
      </c>
      <c r="M295" s="26">
        <f t="shared" si="1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67">
        <f>SUMIFS([1]Up!$J:$J,[1]Up!$D:$D,D295)</f>
        <v>0</v>
      </c>
      <c r="AS295" s="82"/>
      <c r="AT295" s="82" t="str">
        <f t="shared" si="18"/>
        <v>PL20</v>
      </c>
      <c r="AU295" s="53" t="str">
        <f t="shared" si="19"/>
        <v/>
      </c>
      <c r="AV295" s="53" t="s">
        <v>148</v>
      </c>
      <c r="AW295" s="84" t="s">
        <v>319</v>
      </c>
      <c r="AX295" s="53"/>
      <c r="AY295" s="53" t="s">
        <v>320</v>
      </c>
      <c r="AZ295" s="53">
        <v>2</v>
      </c>
      <c r="BA295" s="83">
        <v>46202</v>
      </c>
      <c r="BB295" s="53"/>
      <c r="BC295" s="53"/>
    </row>
    <row r="296" spans="3:55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6"/>
        <v>0</v>
      </c>
      <c r="M296" s="26">
        <f t="shared" si="17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67">
        <f>SUMIFS([1]Up!$J:$J,[1]Up!$D:$D,D296)</f>
        <v>0</v>
      </c>
      <c r="AS296" s="82"/>
      <c r="AT296" s="82" t="e">
        <f t="shared" si="18"/>
        <v>#VALUE!</v>
      </c>
      <c r="AU296" s="53" t="str">
        <f t="shared" si="19"/>
        <v/>
      </c>
      <c r="AV296" s="53" t="s">
        <v>148</v>
      </c>
      <c r="AW296" s="53"/>
      <c r="AX296" s="53"/>
      <c r="AY296" s="53"/>
      <c r="AZ296" s="53"/>
      <c r="BA296" s="83"/>
      <c r="BB296" s="53"/>
      <c r="BC296" s="53"/>
    </row>
    <row r="297" spans="3:55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6"/>
        <v>0</v>
      </c>
      <c r="M297" s="26">
        <f t="shared" si="17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67">
        <f>SUMIFS([1]Up!$J:$J,[1]Up!$D:$D,D297)</f>
        <v>0</v>
      </c>
      <c r="AS297" s="82"/>
      <c r="AT297" s="82" t="str">
        <f t="shared" si="18"/>
        <v>PL10</v>
      </c>
      <c r="AU297" s="53" t="str">
        <f t="shared" si="19"/>
        <v/>
      </c>
      <c r="AV297" s="53" t="s">
        <v>148</v>
      </c>
      <c r="AW297" s="53"/>
      <c r="AX297" s="53"/>
      <c r="AY297" s="53"/>
      <c r="AZ297" s="53"/>
      <c r="BA297" s="83"/>
      <c r="BB297" s="53"/>
      <c r="BC297" s="53"/>
    </row>
    <row r="298" spans="3:55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6"/>
        <v>0</v>
      </c>
      <c r="M298" s="26">
        <f t="shared" si="17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67">
        <f>SUMIFS([1]Up!$J:$J,[1]Up!$D:$D,D298)</f>
        <v>0</v>
      </c>
      <c r="AS298" s="82"/>
      <c r="AT298" s="82" t="str">
        <f t="shared" si="18"/>
        <v>PL12</v>
      </c>
      <c r="AU298" s="53" t="str">
        <f t="shared" si="19"/>
        <v/>
      </c>
      <c r="AV298" s="53" t="s">
        <v>148</v>
      </c>
      <c r="AW298" s="53"/>
      <c r="AX298" s="53"/>
      <c r="AY298" s="53"/>
      <c r="AZ298" s="53"/>
      <c r="BA298" s="83"/>
      <c r="BB298" s="53"/>
      <c r="BC298" s="53"/>
    </row>
    <row r="299" spans="3:55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6"/>
        <v>0</v>
      </c>
      <c r="M299" s="26">
        <f t="shared" si="17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67">
        <f>SUMIFS([1]Up!$J:$J,[1]Up!$D:$D,D299)</f>
        <v>0</v>
      </c>
      <c r="AS299" s="82"/>
      <c r="AT299" s="82" t="e">
        <f t="shared" si="18"/>
        <v>#VALUE!</v>
      </c>
      <c r="AU299" s="53" t="str">
        <f t="shared" si="19"/>
        <v/>
      </c>
      <c r="AV299" s="53" t="s">
        <v>148</v>
      </c>
      <c r="AW299" s="53"/>
      <c r="AX299" s="53"/>
      <c r="AY299" s="53"/>
      <c r="AZ299" s="53"/>
      <c r="BA299" s="83"/>
      <c r="BB299" s="53"/>
      <c r="BC299" s="53"/>
    </row>
    <row r="300" spans="3:55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6"/>
        <v>0</v>
      </c>
      <c r="M300" s="26">
        <f t="shared" si="17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67">
        <f>SUMIFS([1]Up!$J:$J,[1]Up!$D:$D,D300)</f>
        <v>0</v>
      </c>
      <c r="AS300" s="82"/>
      <c r="AT300" s="82" t="str">
        <f t="shared" si="18"/>
        <v>PL10</v>
      </c>
      <c r="AU300" s="53" t="str">
        <f t="shared" si="19"/>
        <v/>
      </c>
      <c r="AV300" s="53" t="s">
        <v>148</v>
      </c>
      <c r="AW300" s="53"/>
      <c r="AX300" s="53"/>
      <c r="AY300" s="53"/>
      <c r="AZ300" s="53"/>
      <c r="BA300" s="83"/>
      <c r="BB300" s="53"/>
      <c r="BC300" s="53"/>
    </row>
    <row r="301" spans="3:55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6"/>
        <v>0</v>
      </c>
      <c r="M301" s="26">
        <f t="shared" si="17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67">
        <f>SUMIFS([1]Up!$J:$J,[1]Up!$D:$D,D301)</f>
        <v>0</v>
      </c>
      <c r="AS301" s="82"/>
      <c r="AT301" s="82" t="str">
        <f t="shared" si="18"/>
        <v>PL12</v>
      </c>
      <c r="AU301" s="53" t="str">
        <f t="shared" si="19"/>
        <v/>
      </c>
      <c r="AV301" s="53" t="s">
        <v>148</v>
      </c>
      <c r="AW301" s="53"/>
      <c r="AX301" s="53"/>
      <c r="AY301" s="53"/>
      <c r="AZ301" s="53"/>
      <c r="BA301" s="83"/>
      <c r="BB301" s="53"/>
      <c r="BC301" s="53"/>
    </row>
    <row r="302" spans="3:55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6"/>
        <v>0</v>
      </c>
      <c r="M302" s="26">
        <f t="shared" si="17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67">
        <f>SUMIFS([1]Up!$J:$J,[1]Up!$D:$D,D302)</f>
        <v>0</v>
      </c>
      <c r="AS302" s="82"/>
      <c r="AT302" s="82" t="e">
        <f t="shared" si="18"/>
        <v>#VALUE!</v>
      </c>
      <c r="AU302" s="53" t="str">
        <f t="shared" si="19"/>
        <v/>
      </c>
      <c r="AV302" s="53" t="s">
        <v>148</v>
      </c>
      <c r="AW302" s="53"/>
      <c r="AX302" s="53"/>
      <c r="AY302" s="53"/>
      <c r="AZ302" s="53"/>
      <c r="BA302" s="83"/>
      <c r="BB302" s="53"/>
      <c r="BC302" s="53"/>
    </row>
    <row r="303" spans="3:55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6"/>
        <v>0</v>
      </c>
      <c r="M303" s="26">
        <f t="shared" si="17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67">
        <f>SUMIFS([1]Up!$J:$J,[1]Up!$D:$D,D303)</f>
        <v>0</v>
      </c>
      <c r="AS303" s="82"/>
      <c r="AT303" s="82" t="str">
        <f t="shared" si="18"/>
        <v>PL10</v>
      </c>
      <c r="AU303" s="53" t="str">
        <f t="shared" si="19"/>
        <v/>
      </c>
      <c r="AV303" s="53" t="s">
        <v>148</v>
      </c>
      <c r="AW303" s="53"/>
      <c r="AX303" s="53"/>
      <c r="AY303" s="53"/>
      <c r="AZ303" s="53"/>
      <c r="BA303" s="83"/>
      <c r="BB303" s="53"/>
      <c r="BC303" s="53"/>
    </row>
    <row r="304" spans="3:55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6"/>
        <v>0</v>
      </c>
      <c r="M304" s="26">
        <f t="shared" si="1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67">
        <f>SUMIFS([1]Up!$J:$J,[1]Up!$D:$D,D304)</f>
        <v>0</v>
      </c>
      <c r="AS304" s="82"/>
      <c r="AT304" s="82" t="str">
        <f t="shared" si="18"/>
        <v>PL10</v>
      </c>
      <c r="AU304" s="53" t="str">
        <f t="shared" si="19"/>
        <v/>
      </c>
      <c r="AV304" s="53" t="s">
        <v>148</v>
      </c>
      <c r="AW304" s="53"/>
      <c r="AX304" s="53"/>
      <c r="AY304" s="53"/>
      <c r="AZ304" s="53"/>
      <c r="BA304" s="83"/>
      <c r="BB304" s="53"/>
      <c r="BC304" s="53"/>
    </row>
    <row r="305" spans="3:55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6"/>
        <v>0</v>
      </c>
      <c r="M305" s="26">
        <f t="shared" si="17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67">
        <f>SUMIFS([1]Up!$J:$J,[1]Up!$D:$D,D305)</f>
        <v>0</v>
      </c>
      <c r="AS305" s="82"/>
      <c r="AT305" s="82" t="e">
        <f t="shared" si="18"/>
        <v>#VALUE!</v>
      </c>
      <c r="AU305" s="53" t="str">
        <f t="shared" si="19"/>
        <v/>
      </c>
      <c r="AV305" s="53" t="s">
        <v>148</v>
      </c>
      <c r="AW305" s="53"/>
      <c r="AX305" s="53"/>
      <c r="AY305" s="53"/>
      <c r="AZ305" s="53"/>
      <c r="BA305" s="83"/>
      <c r="BB305" s="53"/>
      <c r="BC305" s="53"/>
    </row>
    <row r="306" spans="3:55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6"/>
        <v>0</v>
      </c>
      <c r="M306" s="26">
        <f t="shared" si="1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67">
        <f>SUMIFS([1]Up!$J:$J,[1]Up!$D:$D,D306)</f>
        <v>0</v>
      </c>
      <c r="AS306" s="82"/>
      <c r="AT306" s="82" t="str">
        <f t="shared" si="18"/>
        <v>PL10</v>
      </c>
      <c r="AU306" s="53" t="str">
        <f t="shared" si="19"/>
        <v/>
      </c>
      <c r="AV306" s="53" t="s">
        <v>148</v>
      </c>
      <c r="AW306" s="53"/>
      <c r="AX306" s="53"/>
      <c r="AY306" s="53"/>
      <c r="AZ306" s="53"/>
      <c r="BA306" s="83"/>
      <c r="BB306" s="53"/>
      <c r="BC306" s="53"/>
    </row>
    <row r="307" spans="3:55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6"/>
        <v>0</v>
      </c>
      <c r="M307" s="26">
        <f t="shared" si="17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67">
        <f>SUMIFS([1]Up!$J:$J,[1]Up!$D:$D,D307)</f>
        <v>0</v>
      </c>
      <c r="AS307" s="82"/>
      <c r="AT307" s="82" t="str">
        <f t="shared" si="18"/>
        <v>PL12</v>
      </c>
      <c r="AU307" s="53" t="str">
        <f t="shared" si="19"/>
        <v/>
      </c>
      <c r="AV307" s="53" t="s">
        <v>148</v>
      </c>
      <c r="AW307" s="53"/>
      <c r="AX307" s="53"/>
      <c r="AY307" s="53"/>
      <c r="AZ307" s="53"/>
      <c r="BA307" s="83"/>
      <c r="BB307" s="53"/>
      <c r="BC307" s="53"/>
    </row>
    <row r="308" spans="3:55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6"/>
        <v>0</v>
      </c>
      <c r="M308" s="26">
        <f t="shared" si="1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67">
        <f>SUMIFS([1]Up!$J:$J,[1]Up!$D:$D,D308)</f>
        <v>0</v>
      </c>
      <c r="AS308" s="82"/>
      <c r="AT308" s="82" t="e">
        <f t="shared" si="18"/>
        <v>#VALUE!</v>
      </c>
      <c r="AU308" s="53" t="str">
        <f t="shared" si="19"/>
        <v/>
      </c>
      <c r="AV308" s="53" t="s">
        <v>148</v>
      </c>
      <c r="AW308" s="53"/>
      <c r="AX308" s="53"/>
      <c r="AY308" s="53"/>
      <c r="AZ308" s="53"/>
      <c r="BA308" s="83"/>
      <c r="BB308" s="53"/>
      <c r="BC308" s="53"/>
    </row>
    <row r="309" spans="3:55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6"/>
        <v>0</v>
      </c>
      <c r="M309" s="26">
        <f t="shared" si="1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67">
        <f>SUMIFS([1]Up!$J:$J,[1]Up!$D:$D,D309)</f>
        <v>0</v>
      </c>
      <c r="AS309" s="82"/>
      <c r="AT309" s="82" t="str">
        <f t="shared" si="18"/>
        <v>PL12</v>
      </c>
      <c r="AU309" s="53" t="str">
        <f t="shared" si="19"/>
        <v/>
      </c>
      <c r="AV309" s="53" t="s">
        <v>148</v>
      </c>
      <c r="AW309" s="53"/>
      <c r="AX309" s="53"/>
      <c r="AY309" s="53"/>
      <c r="AZ309" s="53"/>
      <c r="BA309" s="83"/>
      <c r="BB309" s="53"/>
      <c r="BC309" s="53"/>
    </row>
    <row r="310" spans="3:55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6"/>
        <v>0</v>
      </c>
      <c r="M310" s="26">
        <f t="shared" si="17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67">
        <f>SUMIFS([1]Up!$J:$J,[1]Up!$D:$D,D310)</f>
        <v>0</v>
      </c>
      <c r="AS310" s="82"/>
      <c r="AT310" s="82" t="str">
        <f t="shared" si="18"/>
        <v>PL10</v>
      </c>
      <c r="AU310" s="53" t="str">
        <f t="shared" si="19"/>
        <v/>
      </c>
      <c r="AV310" s="53" t="s">
        <v>148</v>
      </c>
      <c r="AW310" s="53"/>
      <c r="AX310" s="53"/>
      <c r="AY310" s="53"/>
      <c r="AZ310" s="53"/>
      <c r="BA310" s="83"/>
      <c r="BB310" s="53"/>
      <c r="BC310" s="53"/>
    </row>
    <row r="311" spans="3:55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6"/>
        <v>0</v>
      </c>
      <c r="M311" s="26">
        <f t="shared" si="1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67">
        <f>SUMIFS([1]Up!$J:$J,[1]Up!$D:$D,D311)</f>
        <v>0</v>
      </c>
      <c r="AS311" s="82"/>
      <c r="AT311" s="82" t="e">
        <f t="shared" si="18"/>
        <v>#VALUE!</v>
      </c>
      <c r="AU311" s="53" t="str">
        <f t="shared" si="19"/>
        <v/>
      </c>
      <c r="AV311" s="53" t="s">
        <v>148</v>
      </c>
      <c r="AW311" s="53"/>
      <c r="AX311" s="53"/>
      <c r="AY311" s="53"/>
      <c r="AZ311" s="53"/>
      <c r="BA311" s="83"/>
      <c r="BB311" s="53"/>
      <c r="BC311" s="53"/>
    </row>
    <row r="312" spans="3:55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6"/>
        <v>0</v>
      </c>
      <c r="M312" s="26">
        <f t="shared" si="1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67">
        <f>SUMIFS([1]Up!$J:$J,[1]Up!$D:$D,D312)</f>
        <v>0</v>
      </c>
      <c r="AS312" s="82"/>
      <c r="AT312" s="82" t="str">
        <f t="shared" si="18"/>
        <v>PL10</v>
      </c>
      <c r="AU312" s="53" t="str">
        <f t="shared" si="19"/>
        <v/>
      </c>
      <c r="AV312" s="53" t="s">
        <v>148</v>
      </c>
      <c r="AW312" s="53"/>
      <c r="AX312" s="53"/>
      <c r="AY312" s="53"/>
      <c r="AZ312" s="53"/>
      <c r="BA312" s="83"/>
      <c r="BB312" s="53"/>
      <c r="BC312" s="53"/>
    </row>
    <row r="313" spans="3:55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6"/>
        <v>0</v>
      </c>
      <c r="M313" s="26">
        <f t="shared" si="17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67">
        <f>SUMIFS([1]Up!$J:$J,[1]Up!$D:$D,D313)</f>
        <v>0</v>
      </c>
      <c r="AS313" s="82"/>
      <c r="AT313" s="82" t="str">
        <f t="shared" si="18"/>
        <v>PL10</v>
      </c>
      <c r="AU313" s="53" t="str">
        <f t="shared" si="19"/>
        <v/>
      </c>
      <c r="AV313" s="53" t="s">
        <v>148</v>
      </c>
      <c r="AW313" s="53"/>
      <c r="AX313" s="53"/>
      <c r="AY313" s="53"/>
      <c r="AZ313" s="53"/>
      <c r="BA313" s="83"/>
      <c r="BB313" s="53"/>
      <c r="BC313" s="53"/>
    </row>
    <row r="314" spans="3:55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6"/>
        <v>5</v>
      </c>
      <c r="M314" s="26">
        <f t="shared" si="17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67">
        <f>SUMIFS([1]Up!$J:$J,[1]Up!$D:$D,D314)</f>
        <v>0</v>
      </c>
      <c r="AS314" s="82" t="s">
        <v>2257</v>
      </c>
      <c r="AT314" s="82" t="e">
        <f t="shared" si="18"/>
        <v>#VALUE!</v>
      </c>
      <c r="AU314" s="53" t="str">
        <f t="shared" si="19"/>
        <v/>
      </c>
      <c r="AV314" s="53" t="s">
        <v>154</v>
      </c>
      <c r="AW314" s="53"/>
      <c r="AX314" s="53"/>
      <c r="AY314" s="53"/>
      <c r="AZ314" s="53"/>
      <c r="BA314" s="83"/>
      <c r="BB314" s="53"/>
      <c r="BC314" s="53"/>
    </row>
    <row r="315" spans="3:55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6"/>
        <v>0</v>
      </c>
      <c r="M315" s="26">
        <f t="shared" si="17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67">
        <f>SUMIFS([1]Up!$J:$J,[1]Up!$D:$D,D315)</f>
        <v>0</v>
      </c>
      <c r="AS315" s="82"/>
      <c r="AT315" s="82" t="str">
        <f t="shared" si="18"/>
        <v>PL10</v>
      </c>
      <c r="AU315" s="53" t="str">
        <f t="shared" si="19"/>
        <v/>
      </c>
      <c r="AV315" s="53" t="s">
        <v>148</v>
      </c>
      <c r="AW315" s="53"/>
      <c r="AX315" s="53"/>
      <c r="AY315" s="53"/>
      <c r="AZ315" s="53"/>
      <c r="BA315" s="83"/>
      <c r="BB315" s="53"/>
      <c r="BC315" s="53"/>
    </row>
    <row r="316" spans="3:55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6"/>
        <v>32</v>
      </c>
      <c r="M316" s="26">
        <f t="shared" si="17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67">
        <f>SUMIFS([1]Up!$J:$J,[1]Up!$D:$D,D316)</f>
        <v>0</v>
      </c>
      <c r="AS316" s="82" t="s">
        <v>2382</v>
      </c>
      <c r="AT316" s="82" t="str">
        <f t="shared" si="18"/>
        <v>PL15</v>
      </c>
      <c r="AU316" s="53" t="str">
        <f t="shared" si="19"/>
        <v/>
      </c>
      <c r="AV316" s="53" t="s">
        <v>148</v>
      </c>
      <c r="AW316" s="53"/>
      <c r="AX316" s="53"/>
      <c r="AY316" s="53"/>
      <c r="AZ316" s="53"/>
      <c r="BA316" s="83"/>
      <c r="BB316" s="53"/>
      <c r="BC316" s="53"/>
    </row>
    <row r="317" spans="3:55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6"/>
        <v>8</v>
      </c>
      <c r="M317" s="26">
        <f t="shared" si="17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67">
        <f>SUMIFS([1]Up!$J:$J,[1]Up!$D:$D,D317)</f>
        <v>0</v>
      </c>
      <c r="AS317" s="82" t="s">
        <v>2383</v>
      </c>
      <c r="AT317" s="82" t="str">
        <f t="shared" si="18"/>
        <v>PL15</v>
      </c>
      <c r="AU317" s="53" t="str">
        <f t="shared" si="19"/>
        <v/>
      </c>
      <c r="AV317" s="53" t="s">
        <v>148</v>
      </c>
      <c r="AW317" s="53"/>
      <c r="AX317" s="53"/>
      <c r="AY317" s="53"/>
      <c r="AZ317" s="53"/>
      <c r="BA317" s="83"/>
      <c r="BB317" s="53"/>
      <c r="BC317" s="53"/>
    </row>
    <row r="318" spans="3:55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6"/>
        <v>8</v>
      </c>
      <c r="M318" s="26">
        <f t="shared" si="17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67">
        <f>SUMIFS([1]Up!$J:$J,[1]Up!$D:$D,D318)</f>
        <v>0</v>
      </c>
      <c r="AS318" s="82" t="s">
        <v>2258</v>
      </c>
      <c r="AT318" s="82" t="e">
        <f t="shared" si="18"/>
        <v>#VALUE!</v>
      </c>
      <c r="AU318" s="53" t="str">
        <f t="shared" si="19"/>
        <v>Thừa 6</v>
      </c>
      <c r="AV318" s="53" t="s">
        <v>154</v>
      </c>
      <c r="AW318" s="53"/>
      <c r="AX318" s="53"/>
      <c r="AY318" s="53" t="s">
        <v>57</v>
      </c>
      <c r="AZ318" s="53">
        <v>16</v>
      </c>
      <c r="BA318" s="83"/>
      <c r="BB318" s="53"/>
      <c r="BC318" s="53"/>
    </row>
    <row r="319" spans="3:55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6"/>
        <v>0</v>
      </c>
      <c r="M319" s="26">
        <f t="shared" si="17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67">
        <f>SUMIFS([1]Up!$J:$J,[1]Up!$D:$D,D319)</f>
        <v>0</v>
      </c>
      <c r="AS319" s="82"/>
      <c r="AT319" s="82" t="str">
        <f t="shared" si="18"/>
        <v>PL10</v>
      </c>
      <c r="AU319" s="53" t="str">
        <f t="shared" si="19"/>
        <v/>
      </c>
      <c r="AV319" s="53" t="s">
        <v>148</v>
      </c>
      <c r="AW319" s="84" t="s">
        <v>210</v>
      </c>
      <c r="AX319" s="53"/>
      <c r="AY319" s="53" t="s">
        <v>211</v>
      </c>
      <c r="AZ319" s="53">
        <v>8</v>
      </c>
      <c r="BA319" s="83">
        <v>46201</v>
      </c>
      <c r="BB319" s="53"/>
      <c r="BC319" s="53"/>
    </row>
    <row r="320" spans="3:55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6"/>
        <v>22</v>
      </c>
      <c r="M320" s="26">
        <f t="shared" si="17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67">
        <f>SUMIFS([1]Up!$J:$J,[1]Up!$D:$D,D320)</f>
        <v>0</v>
      </c>
      <c r="AS320" s="82" t="s">
        <v>2384</v>
      </c>
      <c r="AT320" s="82" t="str">
        <f t="shared" si="18"/>
        <v>PL15</v>
      </c>
      <c r="AU320" s="53" t="str">
        <f t="shared" si="19"/>
        <v/>
      </c>
      <c r="AV320" s="53" t="s">
        <v>148</v>
      </c>
      <c r="AW320" s="84" t="s">
        <v>200</v>
      </c>
      <c r="AX320" s="53"/>
      <c r="AY320" s="53" t="s">
        <v>201</v>
      </c>
      <c r="AZ320" s="53">
        <v>24</v>
      </c>
      <c r="BA320" s="83">
        <v>46201</v>
      </c>
      <c r="BB320" s="53"/>
      <c r="BC320" s="53"/>
    </row>
    <row r="321" spans="3:55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6"/>
        <v>8</v>
      </c>
      <c r="M321" s="26">
        <f t="shared" si="17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67">
        <f>SUMIFS([1]Up!$J:$J,[1]Up!$D:$D,D321)</f>
        <v>0</v>
      </c>
      <c r="AS321" s="82" t="s">
        <v>2383</v>
      </c>
      <c r="AT321" s="82" t="str">
        <f t="shared" si="18"/>
        <v>PL15</v>
      </c>
      <c r="AU321" s="53" t="str">
        <f t="shared" si="19"/>
        <v/>
      </c>
      <c r="AV321" s="53" t="s">
        <v>148</v>
      </c>
      <c r="AW321" s="84" t="s">
        <v>200</v>
      </c>
      <c r="AX321" s="53"/>
      <c r="AY321" s="53" t="s">
        <v>201</v>
      </c>
      <c r="AZ321" s="53">
        <v>8</v>
      </c>
      <c r="BA321" s="83">
        <v>46201</v>
      </c>
      <c r="BB321" s="53"/>
      <c r="BC321" s="53"/>
    </row>
    <row r="322" spans="3:55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6"/>
        <v>16</v>
      </c>
      <c r="M322" s="26">
        <f t="shared" si="17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67">
        <f>SUMIFS([1]Up!$J:$J,[1]Up!$D:$D,D322)</f>
        <v>0</v>
      </c>
      <c r="AS322" s="82" t="s">
        <v>2385</v>
      </c>
      <c r="AT322" s="82" t="str">
        <f t="shared" si="18"/>
        <v>PL15</v>
      </c>
      <c r="AU322" s="53" t="str">
        <f t="shared" si="19"/>
        <v/>
      </c>
      <c r="AV322" s="53" t="s">
        <v>148</v>
      </c>
      <c r="AW322" s="53"/>
      <c r="AX322" s="53"/>
      <c r="AY322" s="53"/>
      <c r="AZ322" s="53"/>
      <c r="BA322" s="83"/>
      <c r="BB322" s="53"/>
      <c r="BC322" s="53"/>
    </row>
    <row r="323" spans="3:55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6"/>
        <v>8</v>
      </c>
      <c r="M323" s="26">
        <f t="shared" si="17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67">
        <f>SUMIFS([1]Up!$J:$J,[1]Up!$D:$D,D323)</f>
        <v>0</v>
      </c>
      <c r="AS323" s="82" t="s">
        <v>2383</v>
      </c>
      <c r="AT323" s="82" t="str">
        <f t="shared" si="18"/>
        <v>PL15</v>
      </c>
      <c r="AU323" s="53" t="str">
        <f t="shared" si="19"/>
        <v/>
      </c>
      <c r="AV323" s="53" t="s">
        <v>148</v>
      </c>
      <c r="AW323" s="53"/>
      <c r="AX323" s="53"/>
      <c r="AY323" s="53"/>
      <c r="AZ323" s="53"/>
      <c r="BA323" s="83"/>
      <c r="BB323" s="53"/>
      <c r="BC323" s="53"/>
    </row>
    <row r="324" spans="3:55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6"/>
        <v>2</v>
      </c>
      <c r="M324" s="26">
        <f t="shared" si="17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67">
        <f>SUMIFS([1]Up!$J:$J,[1]Up!$D:$D,D324)</f>
        <v>0</v>
      </c>
      <c r="AS324" s="82" t="s">
        <v>2255</v>
      </c>
      <c r="AT324" s="82" t="e">
        <f t="shared" si="18"/>
        <v>#VALUE!</v>
      </c>
      <c r="AU324" s="53" t="str">
        <f t="shared" si="19"/>
        <v/>
      </c>
      <c r="AV324" s="53" t="s">
        <v>154</v>
      </c>
      <c r="AW324" s="53"/>
      <c r="AX324" s="53"/>
      <c r="AY324" s="53"/>
      <c r="AZ324" s="53"/>
      <c r="BA324" s="83"/>
      <c r="BB324" s="53"/>
      <c r="BC324" s="53"/>
    </row>
    <row r="325" spans="3:55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6"/>
        <v>0</v>
      </c>
      <c r="M325" s="26">
        <f t="shared" si="17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67">
        <f>SUMIFS([1]Up!$J:$J,[1]Up!$D:$D,D325)</f>
        <v>0</v>
      </c>
      <c r="AS325" s="82"/>
      <c r="AT325" s="82" t="str">
        <f t="shared" si="18"/>
        <v>PL10</v>
      </c>
      <c r="AU325" s="53" t="str">
        <f t="shared" si="19"/>
        <v/>
      </c>
      <c r="AV325" s="53" t="s">
        <v>148</v>
      </c>
      <c r="AW325" s="53"/>
      <c r="AX325" s="53"/>
      <c r="AY325" s="53"/>
      <c r="AZ325" s="53"/>
      <c r="BA325" s="83"/>
      <c r="BB325" s="53"/>
      <c r="BC325" s="53"/>
    </row>
    <row r="326" spans="3:55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67"/>
      <c r="AS326" s="82"/>
      <c r="AT326" s="82"/>
      <c r="AU326" s="53"/>
      <c r="AV326" s="53"/>
      <c r="AW326" s="53"/>
      <c r="AX326" s="53"/>
      <c r="AY326" s="53"/>
      <c r="AZ326" s="85"/>
      <c r="BA326" s="53"/>
      <c r="BB326" s="53"/>
      <c r="BC326" s="53"/>
    </row>
    <row r="327" spans="3:55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67"/>
      <c r="AS327" s="82"/>
      <c r="AT327" s="82"/>
      <c r="AU327" s="53"/>
      <c r="AV327" s="53"/>
      <c r="AW327" s="53"/>
      <c r="AX327" s="53"/>
      <c r="AY327" s="53"/>
      <c r="AZ327" s="85"/>
      <c r="BA327" s="53"/>
      <c r="BB327" s="53"/>
      <c r="BC327" s="53"/>
    </row>
    <row r="328" spans="3:55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67"/>
      <c r="AS328" s="82"/>
      <c r="AT328" s="82"/>
      <c r="AU328" s="53"/>
      <c r="AV328" s="53"/>
      <c r="AW328" s="53"/>
      <c r="AX328" s="53"/>
      <c r="AY328" s="53"/>
      <c r="AZ328" s="85"/>
      <c r="BA328" s="53"/>
      <c r="BB328" s="53"/>
      <c r="BC328" s="53"/>
    </row>
    <row r="329" spans="3:55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67"/>
      <c r="AS329" s="82"/>
      <c r="AT329" s="82"/>
      <c r="AU329" s="53"/>
      <c r="AV329" s="53"/>
      <c r="AW329" s="53"/>
      <c r="AX329" s="53"/>
      <c r="AY329" s="53"/>
      <c r="AZ329" s="85"/>
      <c r="BA329" s="53"/>
      <c r="BB329" s="53"/>
      <c r="BC329" s="53"/>
    </row>
    <row r="330" spans="3:55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67"/>
      <c r="AS330" s="82"/>
      <c r="AT330" s="82"/>
      <c r="AU330" s="53"/>
      <c r="AV330" s="53"/>
      <c r="AW330" s="53"/>
      <c r="AX330" s="53"/>
      <c r="AY330" s="53"/>
      <c r="AZ330" s="85"/>
      <c r="BA330" s="53"/>
      <c r="BB330" s="53"/>
      <c r="BC330" s="53"/>
    </row>
    <row r="331" spans="3:55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67"/>
      <c r="AS331" s="82"/>
      <c r="AT331" s="82"/>
      <c r="AU331" s="53"/>
      <c r="AV331" s="53"/>
      <c r="AW331" s="53"/>
      <c r="AX331" s="53"/>
      <c r="AY331" s="53"/>
      <c r="AZ331" s="85"/>
      <c r="BA331" s="53"/>
      <c r="BB331" s="53"/>
      <c r="BC331" s="53"/>
    </row>
    <row r="332" spans="3:55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67"/>
      <c r="AS332" s="82"/>
      <c r="AT332" s="82"/>
      <c r="AU332" s="53"/>
      <c r="AV332" s="53"/>
      <c r="AW332" s="53"/>
      <c r="AX332" s="53"/>
      <c r="AY332" s="53"/>
      <c r="AZ332" s="85"/>
      <c r="BA332" s="53"/>
      <c r="BB332" s="53"/>
      <c r="BC332" s="53"/>
    </row>
  </sheetData>
  <autoFilter ref="C29:BC332" xr:uid="{B5DE6D30-F474-449D-82A7-1262A8A8C8BB}">
    <filterColumn colId="1">
      <filters>
        <filter val="SD_B0005_A0072_P027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0.16071428571428573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>
    <tabColor rgb="FF7030A0"/>
    <pageSetUpPr fitToPage="1"/>
  </sheetPr>
  <dimension ref="C1:BK559"/>
  <sheetViews>
    <sheetView zoomScale="115" zoomScaleNormal="115" workbookViewId="0">
      <pane xSplit="13" ySplit="29" topLeftCell="AS30" activePane="bottomRight" state="frozen"/>
      <selection activeCell="AJ30" sqref="AJ30"/>
      <selection pane="topRight" activeCell="AJ30" sqref="AJ30"/>
      <selection pane="bottomLeft" activeCell="AJ30" sqref="AJ30"/>
      <selection pane="bottomRight" activeCell="AT4" sqref="AT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9" width="6.875" style="3" customWidth="1"/>
    <col min="50" max="50" width="7.25" style="3" customWidth="1"/>
    <col min="51" max="51" width="8.625" style="3" customWidth="1"/>
    <col min="52" max="52" width="9.875" style="3" customWidth="1"/>
    <col min="53" max="53" width="8.625" style="3" customWidth="1"/>
    <col min="54" max="54" width="8.75" style="3" customWidth="1"/>
    <col min="55" max="55" width="7.5" style="3" customWidth="1"/>
    <col min="56" max="56" width="11.125" style="3" customWidth="1"/>
    <col min="57" max="58" width="9" style="3" customWidth="1"/>
    <col min="59" max="59" width="8.75" style="3" customWidth="1"/>
    <col min="60" max="60" width="8.625" style="3" customWidth="1"/>
    <col min="61" max="62" width="9" style="3" customWidth="1"/>
    <col min="63" max="16384" width="8.75" style="3"/>
  </cols>
  <sheetData>
    <row r="1" spans="4:50" ht="19.5">
      <c r="D1" s="1" t="s">
        <v>952</v>
      </c>
      <c r="E1" s="2"/>
      <c r="F1" s="2"/>
      <c r="G1" s="2"/>
      <c r="H1" s="2"/>
    </row>
    <row r="2" spans="4:50" ht="13.5" thickBot="1"/>
    <row r="3" spans="4:50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</row>
    <row r="4" spans="4:50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5"/>
    </row>
    <row r="5" spans="4:50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77</v>
      </c>
      <c r="H5" s="26" cm="1">
        <f t="array" ref="H5">SUMPRODUCT(--($C$30:$C$556=$D5),$L$30:$L$556,$J$30:$J$556)</f>
        <v>1077.1867000000002</v>
      </c>
      <c r="I5" s="26" cm="1">
        <f t="array" ref="I5">SUMPRODUCT(--($C$30:$C$556=$D5),$M$30:$M$556)</f>
        <v>165</v>
      </c>
      <c r="J5" s="27" cm="1">
        <f t="array" ref="J5">SUMPRODUCT(--($C$30:$C$556=$D5),$M$30:$M$556,$J$30:$J$556)</f>
        <v>1563.40842</v>
      </c>
      <c r="L5" s="28" t="s">
        <v>12</v>
      </c>
      <c r="M5" s="29">
        <f>G8</f>
        <v>859</v>
      </c>
      <c r="N5" s="30">
        <f>H8</f>
        <v>121048.80670000002</v>
      </c>
      <c r="O5" s="31"/>
      <c r="P5" s="32" cm="1">
        <f t="array" aca="1" ref="P5" ca="1">IFERROR(INDIRECT("'"&amp;$D$1&amp;"'!w6"),0)</f>
        <v>15641.5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</row>
    <row r="6" spans="4:50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782</v>
      </c>
      <c r="H6" s="26" cm="1">
        <f t="array" ref="H6">SUMPRODUCT(--($C$30:$C$556=$D6),$L$30:$L$556,$J$30:$J$556)</f>
        <v>119971.62000000001</v>
      </c>
      <c r="I6" s="26" cm="1">
        <f t="array" ref="I6">SUMPRODUCT(--($C$30:$C$556=$D6),$M$30:$M$556)</f>
        <v>960</v>
      </c>
      <c r="J6" s="27" cm="1">
        <f t="array" ref="J6">SUMPRODUCT(--($C$30:$C$556=$D6),$M$30:$M$556,$J$30:$J$556)</f>
        <v>69089.538726114653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</row>
    <row r="7" spans="4:50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50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859</v>
      </c>
      <c r="H8" s="41">
        <f t="shared" si="0"/>
        <v>121048.80670000002</v>
      </c>
      <c r="I8" s="41">
        <f t="shared" si="0"/>
        <v>1234</v>
      </c>
      <c r="J8" s="42">
        <f t="shared" si="0"/>
        <v>72900.856746114659</v>
      </c>
    </row>
    <row r="9" spans="4:50" ht="13.5" hidden="1" outlineLevel="1" thickTop="1"/>
    <row r="10" spans="4:50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0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</row>
    <row r="12" spans="4:50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</row>
    <row r="13" spans="4:50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</row>
    <row r="14" spans="4:50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</row>
    <row r="15" spans="4:50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</row>
    <row r="16" spans="4:50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</row>
    <row r="17" spans="3:62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</row>
    <row r="18" spans="3:62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</row>
    <row r="19" spans="3:62" ht="13.5" hidden="1" outlineLevel="1" thickTop="1"/>
    <row r="20" spans="3:62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2" ht="13.5" hidden="1" outlineLevel="1" thickTop="1">
      <c r="D21" s="63" t="s">
        <v>13</v>
      </c>
      <c r="E21" s="64" t="str" cm="1">
        <f t="array" ref="E21:P21">_xlfn._xlws.SORT(MID(TRANSPOSE(_xlfn.UNIQUE(_xlfn._xlws.FILTER(BA30:BA556,(C30:C556=$D$21)*(M30:M556&lt;&gt;0)))),3,3),,1)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</row>
    <row r="22" spans="3:62" ht="30.75" hidden="1" customHeight="1" outlineLevel="2">
      <c r="D22" s="66" t="s">
        <v>24</v>
      </c>
      <c r="E22" s="67" cm="1">
        <f t="array" ref="E22">SUMPRODUCT(--($C$30:$C$556=$D$21),--($BA$30:$BA$556="PL"&amp;E$21),$J$30:$J$556,$I$30:$I$556)/(7.85*E$21)</f>
        <v>1.1627700920929855</v>
      </c>
      <c r="F22" s="67" cm="1">
        <f t="array" ref="F22">SUMPRODUCT(--($C$30:$C$556=$D$21),--($BA$30:$BA$556="PL"&amp;F$21),$J$30:$J$556,$I$30:$I$556)/(7.85*F$21)</f>
        <v>0.81188959660297255</v>
      </c>
      <c r="G22" s="67" cm="1">
        <f t="array" ref="G22">SUMPRODUCT(--($C$30:$C$556=$D$21),--($BA$30:$BA$556="PL"&amp;G$21),$J$30:$J$556,$I$30:$I$556)/(7.85*G$21)</f>
        <v>2.6751592356687901</v>
      </c>
      <c r="H22" s="67" cm="1">
        <f t="array" ref="H22">SUMPRODUCT(--($C$30:$C$556=$D$21),--($BA$30:$BA$556="PL"&amp;H$21),$J$30:$J$556,$I$30:$I$556)/(7.85*H$21)</f>
        <v>3.8471337579617839</v>
      </c>
      <c r="I22" s="67" cm="1">
        <f t="array" ref="I22">SUMPRODUCT(--($C$30:$C$556=$D$21),--($BA$30:$BA$556="PL"&amp;I$21),$J$30:$J$556,$I$30:$I$556)/(7.85*I$21)</f>
        <v>8.4920382165605055</v>
      </c>
      <c r="J22" s="67" cm="1">
        <f t="array" ref="J22">SUMPRODUCT(--($C$30:$C$556=$D$21),--($BA$30:$BA$556="PL"&amp;J$21),$J$30:$J$556,$I$30:$I$556)/(7.85*J$21)</f>
        <v>0.89171974522292996</v>
      </c>
      <c r="K22" s="67" cm="1">
        <f t="array" ref="K22">SUMPRODUCT(--($C$30:$C$556=$D$21),--($BA$30:$BA$556="PL"&amp;K$21),$J$30:$J$556,$I$30:$I$556)/(7.85*K$21)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</row>
    <row r="23" spans="3:62" ht="21" hidden="1" customHeight="1" outlineLevel="2">
      <c r="D23" s="66" t="s">
        <v>17</v>
      </c>
      <c r="E23" s="69" cm="1">
        <f t="array" ref="E23">SUMPRODUCT(--($C$30:$C$556=$D$21),--($BA$30:$BA$556="PL"&amp;E$21),$I$30:$I$556)</f>
        <v>52</v>
      </c>
      <c r="F23" s="69" cm="1">
        <f t="array" ref="F23">SUMPRODUCT(--($C$30:$C$556=$D$21),--($BA$30:$BA$556="PL"&amp;F$21),$I$30:$I$556)</f>
        <v>35</v>
      </c>
      <c r="G23" s="69" cm="1">
        <f t="array" ref="G23">SUMPRODUCT(--($C$30:$C$556=$D$21),--($BA$30:$BA$556="PL"&amp;G$21),$I$30:$I$556)</f>
        <v>111</v>
      </c>
      <c r="H23" s="69" cm="1">
        <f t="array" ref="H23">SUMPRODUCT(--($C$30:$C$556=$D$21),--($BA$30:$BA$556="PL"&amp;H$21),$I$30:$I$556)</f>
        <v>214</v>
      </c>
      <c r="I23" s="69" cm="1">
        <f t="array" ref="I23">SUMPRODUCT(--($C$30:$C$556=$D$21),--($BA$30:$BA$556="PL"&amp;I$21),$I$30:$I$556)</f>
        <v>296</v>
      </c>
      <c r="J23" s="69" cm="1">
        <f t="array" ref="J23">SUMPRODUCT(--($C$30:$C$556=$D$21),--($BA$30:$BA$556="PL"&amp;J$21),$I$30:$I$556)</f>
        <v>32</v>
      </c>
      <c r="K23" s="69" cm="1">
        <f t="array" ref="K23">SUMPRODUCT(--($C$30:$C$556=$D$21),--($BA$30:$BA$556="PL"&amp;K$21),$I$30:$I$556)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</row>
    <row r="24" spans="3:62" ht="25.9" hidden="1" customHeight="1" outlineLevel="2">
      <c r="D24" s="66" t="s">
        <v>25</v>
      </c>
      <c r="E24" s="67" cm="1">
        <f t="array" ref="E24">SUMPRODUCT(--($C$30:$C$556=$D$21),--($BA$30:$BA$556="PL"&amp;E$21),$J$30:$J$556,$M$30:$M$556)/(7.85*E$21)</f>
        <v>0.85703760801655227</v>
      </c>
      <c r="F24" s="67" cm="1">
        <f t="array" ref="F24">SUMPRODUCT(--($C$30:$C$556=$D$21),--($BA$30:$BA$556="PL"&amp;F$21),$J$30:$J$556,$M$30:$M$556)/(7.85*F$21)</f>
        <v>0.58598726114649691</v>
      </c>
      <c r="G24" s="67" cm="1">
        <f t="array" ref="G24">SUMPRODUCT(--($C$30:$C$556=$D$21),--($BA$30:$BA$556="PL"&amp;G$21),$J$30:$J$556,$M$30:$M$556)/(7.85*G$21)</f>
        <v>2.3694267515923566</v>
      </c>
      <c r="H24" s="67" cm="1">
        <f t="array" ref="H24">SUMPRODUCT(--($C$30:$C$556=$D$21),--($BA$30:$BA$556="PL"&amp;H$21),$J$30:$J$556,$M$30:$M$556)/(7.85*H$21)</f>
        <v>2.5987261146496814</v>
      </c>
      <c r="I24" s="67" cm="1">
        <f t="array" ref="I24">SUMPRODUCT(--($C$30:$C$556=$D$21),--($BA$30:$BA$556="PL"&amp;I$21),$J$30:$J$556,$M$30:$M$556)/(7.85*I$21)</f>
        <v>4.1942675159235661</v>
      </c>
      <c r="J24" s="67" cm="1">
        <f t="array" ref="J24">SUMPRODUCT(--($C$30:$C$556=$D$21),--($BA$30:$BA$556="PL"&amp;J$21),$J$30:$J$556,$M$30:$M$556)/(7.85*J$21)</f>
        <v>0.89171974522292996</v>
      </c>
      <c r="K24" s="67" cm="1">
        <f t="array" ref="K24">SUMPRODUCT(--($C$30:$C$556=$D$21),--($BA$30:$BA$556="PL"&amp;K$21),$J$30:$J$556,$M$30:$M$556)/(7.85*K$21)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</row>
    <row r="25" spans="3:62" ht="19.5" hidden="1" customHeight="1" outlineLevel="2">
      <c r="D25" s="71" t="s">
        <v>26</v>
      </c>
      <c r="E25" s="69" cm="1">
        <f t="array" ref="E25">SUMPRODUCT(--($C$30:$C$556=$D$21),--($BA$30:$BA$556="PL"&amp;E$21),$M$30:$M$556)</f>
        <v>36</v>
      </c>
      <c r="F25" s="69" cm="1">
        <f t="array" ref="F25">SUMPRODUCT(--($C$30:$C$556=$D$21),--($BA$30:$BA$556="PL"&amp;F$21),$M$30:$M$556)</f>
        <v>26</v>
      </c>
      <c r="G25" s="69" cm="1">
        <f t="array" ref="G25">SUMPRODUCT(--($C$30:$C$556=$D$21),--($BA$30:$BA$556="PL"&amp;G$21),$M$30:$M$556)</f>
        <v>87</v>
      </c>
      <c r="H25" s="69" cm="1">
        <f t="array" ref="H25">SUMPRODUCT(--($C$30:$C$556=$D$21),--($BA$30:$BA$556="PL"&amp;H$21),$M$30:$M$556)</f>
        <v>156</v>
      </c>
      <c r="I25" s="69" cm="1">
        <f t="array" ref="I25">SUMPRODUCT(--($C$30:$C$556=$D$21),--($BA$30:$BA$556="PL"&amp;I$21),$M$30:$M$556)</f>
        <v>148</v>
      </c>
      <c r="J25" s="69" cm="1">
        <f t="array" ref="J25">SUMPRODUCT(--($C$30:$C$556=$D$21),--($BA$30:$BA$556="PL"&amp;J$21),$M$30:$M$556)</f>
        <v>32</v>
      </c>
      <c r="K25" s="69" cm="1">
        <f t="array" ref="K25">SUMPRODUCT(--($C$30:$C$556=$D$21),--($BA$30:$BA$556="PL"&amp;K$21),$M$30:$M$556)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</row>
    <row r="26" spans="3:62" ht="25.9" hidden="1" customHeight="1" outlineLevel="1" collapsed="1" thickBot="1">
      <c r="D26" s="72" t="s">
        <v>27</v>
      </c>
      <c r="E26" s="67" cm="1">
        <f t="array" ref="E26">SUMPRODUCT(--($C$30:$C$556=$D$21),--($BA$30:$BA$556="PL"&amp;E$21),$J$30:$J$556,$M$30:$M$556)</f>
        <v>33.638726114649678</v>
      </c>
      <c r="F26" s="67" cm="1">
        <f t="array" ref="F26">SUMPRODUCT(--($C$30:$C$556=$D$21),--($BA$30:$BA$556="PL"&amp;F$21),$J$30:$J$556,$M$30:$M$556)</f>
        <v>13.8</v>
      </c>
      <c r="G26" s="67" cm="1">
        <f t="array" ref="G26">SUMPRODUCT(--($C$30:$C$556=$D$21),--($BA$30:$BA$556="PL"&amp;G$21),$J$30:$J$556,$M$30:$M$556)</f>
        <v>37.199999999999996</v>
      </c>
      <c r="H26" s="67" cm="1">
        <f t="array" ref="H26">SUMPRODUCT(--($C$30:$C$556=$D$21),--($BA$30:$BA$556="PL"&amp;H$21),$J$30:$J$556,$M$30:$M$556)</f>
        <v>20.399999999999999</v>
      </c>
      <c r="I26" s="67" cm="1">
        <f t="array" ref="I26">SUMPRODUCT(--($C$30:$C$556=$D$21),--($BA$30:$BA$556="PL"&amp;I$21),$J$30:$J$556,$M$30:$M$556)</f>
        <v>526.79999999999984</v>
      </c>
      <c r="J26" s="67" cm="1">
        <f t="array" ref="J26">SUMPRODUCT(--($C$30:$C$556=$D$21),--($BA$30:$BA$556="PL"&amp;J$21),$J$30:$J$556,$M$30:$M$556)</f>
        <v>280</v>
      </c>
      <c r="K26" s="67" cm="1">
        <f t="array" ref="K26">SUMPRODUCT(--($C$30:$C$556=$D$21),--($BA$30:$BA$556="PL"&amp;K$21),$J$30:$J$556,$M$30:$M$556)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</row>
    <row r="27" spans="3:62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316.88</v>
      </c>
      <c r="AY27" s="73" cm="1">
        <f t="array" ref="AY27">SUMPRODUCT($J$30:$J$556,AY30:AY556,--(AY30:AY556&lt;&gt;""))</f>
        <v>1928.5000000000002</v>
      </c>
    </row>
    <row r="28" spans="3:62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>SUM(AX30:AX556)</f>
        <v>7</v>
      </c>
      <c r="AY28" s="75">
        <f t="shared" ref="AY28" si="15">SUM(AY30:AY556)</f>
        <v>103</v>
      </c>
      <c r="AZ28" s="74"/>
      <c r="BA28" s="74"/>
    </row>
    <row r="29" spans="3:62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8" t="s">
        <v>34</v>
      </c>
      <c r="AY29" s="77" t="s">
        <v>35</v>
      </c>
      <c r="AZ29" s="77" t="s">
        <v>36</v>
      </c>
      <c r="BA29" s="77" t="s">
        <v>37</v>
      </c>
      <c r="BB29" s="80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1" t="s">
        <v>44</v>
      </c>
      <c r="BI29" s="80"/>
      <c r="BJ29" s="80"/>
    </row>
    <row r="30" spans="3:62" ht="14.25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6">MIN(SUM(N30:AX30),I30)</f>
        <v>8</v>
      </c>
      <c r="M30" s="26">
        <f t="shared" ref="M30:M284" si="17">MAX(0,I30-L30)</f>
        <v>24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67">
        <f>SUMIFS([1]Up!$J:$J,[1]Up!$D:$D,D30)</f>
        <v>0</v>
      </c>
      <c r="AZ30" s="82"/>
      <c r="BA30" s="82" t="str">
        <f t="shared" ref="BA30:BA93" si="18">IFERROR(IF(C30="Plate",LEFT(E30,FIND("*",E30,1)-1),""),IF(C30="Plate",LEFT(E30,FIND("x",E30,1)-1),""))</f>
        <v>PL5</v>
      </c>
      <c r="BB30" s="53" t="str">
        <f t="shared" ref="BB30:BB93" si="19">IF(ROUND(SUM(N30:AX30)-I30,0)&gt;0,"Thừa "&amp;SUM(N30:AX30)-I30,"")</f>
        <v/>
      </c>
      <c r="BC30" s="53" t="s">
        <v>148</v>
      </c>
      <c r="BD30" s="53" t="s">
        <v>956</v>
      </c>
      <c r="BE30" s="53" t="s">
        <v>957</v>
      </c>
      <c r="BF30" s="53" t="s">
        <v>958</v>
      </c>
      <c r="BG30" s="53">
        <v>8</v>
      </c>
      <c r="BH30" s="83" t="s">
        <v>2223</v>
      </c>
      <c r="BI30" s="53"/>
      <c r="BJ30" s="53"/>
    </row>
    <row r="31" spans="3:62" ht="14.25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6"/>
        <v>8</v>
      </c>
      <c r="M31" s="26">
        <f t="shared" si="17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67">
        <f>SUMIFS([1]Up!$J:$J,[1]Up!$D:$D,D31)</f>
        <v>0</v>
      </c>
      <c r="AZ31" s="82"/>
      <c r="BA31" s="82" t="str">
        <f t="shared" si="18"/>
        <v>PL3</v>
      </c>
      <c r="BB31" s="53" t="str">
        <f t="shared" si="19"/>
        <v/>
      </c>
      <c r="BC31" s="53" t="s">
        <v>148</v>
      </c>
      <c r="BD31" s="53" t="s">
        <v>961</v>
      </c>
      <c r="BE31" s="53" t="s">
        <v>962</v>
      </c>
      <c r="BF31" s="53" t="s">
        <v>963</v>
      </c>
      <c r="BG31" s="53">
        <v>8</v>
      </c>
      <c r="BH31" s="83" t="s">
        <v>2223</v>
      </c>
      <c r="BI31" s="53"/>
      <c r="BJ31" s="53"/>
    </row>
    <row r="32" spans="3:62" ht="14.25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6"/>
        <v>24</v>
      </c>
      <c r="M32" s="26">
        <f t="shared" si="17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67">
        <f>SUMIFS([1]Up!$J:$J,[1]Up!$D:$D,D32)</f>
        <v>0</v>
      </c>
      <c r="AZ32" s="82"/>
      <c r="BA32" s="82" t="str">
        <f t="shared" si="18"/>
        <v>PL2</v>
      </c>
      <c r="BB32" s="53" t="str">
        <f t="shared" si="19"/>
        <v/>
      </c>
      <c r="BC32" s="53" t="s">
        <v>148</v>
      </c>
      <c r="BD32" s="53" t="s">
        <v>966</v>
      </c>
      <c r="BE32" s="53" t="s">
        <v>967</v>
      </c>
      <c r="BF32" s="53" t="s">
        <v>968</v>
      </c>
      <c r="BG32" s="53">
        <v>24</v>
      </c>
      <c r="BH32" s="83" t="s">
        <v>2223</v>
      </c>
      <c r="BI32" s="53"/>
      <c r="BJ32" s="53"/>
    </row>
    <row r="33" spans="3:63" ht="14.25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6"/>
        <v>48</v>
      </c>
      <c r="M33" s="26">
        <f t="shared" si="17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67">
        <f>SUMIFS([1]Up!$J:$J,[1]Up!$D:$D,D33)</f>
        <v>0</v>
      </c>
      <c r="AZ33" s="82"/>
      <c r="BA33" s="82" t="str">
        <f t="shared" si="18"/>
        <v>PL1</v>
      </c>
      <c r="BB33" s="53" t="str">
        <f t="shared" si="19"/>
        <v/>
      </c>
      <c r="BC33" s="53" t="s">
        <v>148</v>
      </c>
      <c r="BD33" s="53" t="s">
        <v>971</v>
      </c>
      <c r="BE33" s="53" t="s">
        <v>972</v>
      </c>
      <c r="BF33" s="53" t="s">
        <v>973</v>
      </c>
      <c r="BG33" s="53">
        <v>48</v>
      </c>
      <c r="BH33" s="83" t="s">
        <v>2223</v>
      </c>
      <c r="BI33" s="53"/>
      <c r="BJ33" s="53"/>
    </row>
    <row r="34" spans="3:63" ht="14.25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6"/>
        <v>0</v>
      </c>
      <c r="M34" s="26">
        <f t="shared" si="17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67">
        <f>SUMIFS([1]Up!$J:$J,[1]Up!$D:$D,D34)</f>
        <v>0</v>
      </c>
      <c r="AZ34" s="82"/>
      <c r="BA34" s="82" t="str">
        <f t="shared" si="18"/>
        <v/>
      </c>
      <c r="BB34" s="53" t="str">
        <f t="shared" si="19"/>
        <v/>
      </c>
      <c r="BC34" s="53" t="s">
        <v>977</v>
      </c>
      <c r="BD34" s="53"/>
      <c r="BE34" s="53"/>
      <c r="BF34" s="53"/>
      <c r="BG34" s="53"/>
      <c r="BH34" s="83"/>
      <c r="BI34" s="53"/>
      <c r="BJ34" s="53"/>
    </row>
    <row r="35" spans="3:63" ht="14.25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6"/>
        <v>0</v>
      </c>
      <c r="M35" s="26">
        <f t="shared" si="17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67">
        <f>SUMIFS([1]Up!$J:$J,[1]Up!$D:$D,D35)</f>
        <v>0</v>
      </c>
      <c r="AZ35" s="82"/>
      <c r="BA35" s="82" t="str">
        <f t="shared" si="18"/>
        <v/>
      </c>
      <c r="BB35" s="53" t="str">
        <f t="shared" si="19"/>
        <v/>
      </c>
      <c r="BC35" s="53" t="s">
        <v>154</v>
      </c>
      <c r="BD35" s="53"/>
      <c r="BE35" s="53" t="s">
        <v>981</v>
      </c>
      <c r="BF35" s="53"/>
      <c r="BG35" s="53"/>
      <c r="BH35" s="83"/>
      <c r="BI35" s="53"/>
      <c r="BJ35" s="53"/>
    </row>
    <row r="36" spans="3:63" ht="14.25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6"/>
        <v>0</v>
      </c>
      <c r="M36" s="26">
        <f t="shared" si="17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67">
        <f>SUMIFS([1]Up!$J:$J,[1]Up!$D:$D,D36)</f>
        <v>0</v>
      </c>
      <c r="AZ36" s="82"/>
      <c r="BA36" s="82" t="str">
        <f t="shared" si="18"/>
        <v/>
      </c>
      <c r="BB36" s="53" t="str">
        <f t="shared" si="19"/>
        <v/>
      </c>
      <c r="BC36" s="53" t="s">
        <v>977</v>
      </c>
      <c r="BD36" s="53"/>
      <c r="BE36" s="53"/>
      <c r="BF36" s="53"/>
      <c r="BG36" s="53"/>
      <c r="BH36" s="83"/>
      <c r="BI36" s="53"/>
      <c r="BJ36" s="53"/>
    </row>
    <row r="37" spans="3:63" ht="14.25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6"/>
        <v>1</v>
      </c>
      <c r="M37" s="26">
        <f t="shared" si="17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67">
        <f>SUMIFS([1]Up!$J:$J,[1]Up!$D:$D,D37)</f>
        <v>0</v>
      </c>
      <c r="AZ37" s="82"/>
      <c r="BA37" s="82" t="str">
        <f t="shared" si="18"/>
        <v>PL16</v>
      </c>
      <c r="BB37" s="53" t="str">
        <f t="shared" si="19"/>
        <v/>
      </c>
      <c r="BC37" s="53" t="s">
        <v>154</v>
      </c>
      <c r="BD37" s="53" t="s">
        <v>988</v>
      </c>
      <c r="BE37" s="53" t="s">
        <v>989</v>
      </c>
      <c r="BF37" s="53" t="s">
        <v>990</v>
      </c>
      <c r="BG37" s="53">
        <v>4</v>
      </c>
      <c r="BH37" s="83" t="s">
        <v>2223</v>
      </c>
      <c r="BI37" s="53"/>
      <c r="BJ37" s="53"/>
    </row>
    <row r="38" spans="3:63" ht="14.25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6"/>
        <v>0</v>
      </c>
      <c r="M38" s="26">
        <f t="shared" si="17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67">
        <f>SUMIFS([1]Up!$J:$J,[1]Up!$D:$D,D38)</f>
        <v>0</v>
      </c>
      <c r="AZ38" s="82"/>
      <c r="BA38" s="82" t="str">
        <f t="shared" si="18"/>
        <v>PL40</v>
      </c>
      <c r="BB38" s="53" t="str">
        <f t="shared" si="19"/>
        <v/>
      </c>
      <c r="BC38" s="53" t="s">
        <v>148</v>
      </c>
      <c r="BD38" s="53" t="s">
        <v>993</v>
      </c>
      <c r="BE38" s="53" t="s">
        <v>994</v>
      </c>
      <c r="BF38" s="53" t="s">
        <v>995</v>
      </c>
      <c r="BG38" s="53">
        <v>4</v>
      </c>
      <c r="BH38" s="83" t="s">
        <v>2223</v>
      </c>
      <c r="BI38" s="53"/>
      <c r="BJ38" s="53"/>
    </row>
    <row r="39" spans="3:63" ht="14.25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6"/>
        <v>0</v>
      </c>
      <c r="M39" s="26">
        <f t="shared" si="17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67">
        <f>SUMIFS([1]Up!$J:$J,[1]Up!$D:$D,D39)</f>
        <v>0</v>
      </c>
      <c r="AZ39" s="82"/>
      <c r="BA39" s="82" t="str">
        <f t="shared" si="18"/>
        <v>PL40</v>
      </c>
      <c r="BB39" s="53" t="str">
        <f t="shared" si="19"/>
        <v/>
      </c>
      <c r="BC39" s="53" t="s">
        <v>148</v>
      </c>
      <c r="BD39" s="53" t="s">
        <v>993</v>
      </c>
      <c r="BE39" s="53" t="s">
        <v>994</v>
      </c>
      <c r="BF39" s="53" t="s">
        <v>995</v>
      </c>
      <c r="BG39" s="53">
        <v>4</v>
      </c>
      <c r="BH39" s="83" t="s">
        <v>2223</v>
      </c>
      <c r="BI39" s="53"/>
      <c r="BJ39" s="53"/>
    </row>
    <row r="40" spans="3:63" ht="14.25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6"/>
        <v>10</v>
      </c>
      <c r="M40" s="26">
        <f t="shared" si="17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67">
        <f>SUMIFS([1]Up!$J:$J,[1]Up!$D:$D,D40)</f>
        <v>0</v>
      </c>
      <c r="AZ40" s="82"/>
      <c r="BA40" s="82" t="str">
        <f t="shared" si="18"/>
        <v>PL1</v>
      </c>
      <c r="BB40" s="53" t="str">
        <f t="shared" si="19"/>
        <v/>
      </c>
      <c r="BC40" s="53" t="s">
        <v>148</v>
      </c>
      <c r="BD40" s="53" t="s">
        <v>971</v>
      </c>
      <c r="BE40" s="53" t="s">
        <v>972</v>
      </c>
      <c r="BF40" s="84" t="s">
        <v>1000</v>
      </c>
      <c r="BG40" s="53">
        <v>10</v>
      </c>
      <c r="BH40" s="83" t="s">
        <v>2224</v>
      </c>
      <c r="BI40" s="53"/>
      <c r="BJ40" s="53"/>
      <c r="BK40" s="238"/>
    </row>
    <row r="41" spans="3:63" ht="14.25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6"/>
        <v>0</v>
      </c>
      <c r="M41" s="26">
        <f t="shared" si="17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67">
        <f>SUMIFS([1]Up!$J:$J,[1]Up!$D:$D,D41)</f>
        <v>0</v>
      </c>
      <c r="AZ41" s="82"/>
      <c r="BA41" s="82" t="str">
        <f t="shared" si="18"/>
        <v/>
      </c>
      <c r="BB41" s="53" t="str">
        <f t="shared" si="19"/>
        <v/>
      </c>
      <c r="BC41" s="53" t="s">
        <v>977</v>
      </c>
      <c r="BD41" s="53"/>
      <c r="BE41" s="53"/>
      <c r="BF41" s="53"/>
      <c r="BG41" s="53"/>
      <c r="BH41" s="83"/>
      <c r="BI41" s="53"/>
      <c r="BJ41" s="53"/>
    </row>
    <row r="42" spans="3:63" ht="14.25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6"/>
        <v>0</v>
      </c>
      <c r="M42" s="26">
        <f t="shared" si="17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67">
        <f>SUMIFS([1]Up!$J:$J,[1]Up!$D:$D,D42)</f>
        <v>0</v>
      </c>
      <c r="AZ42" s="82"/>
      <c r="BA42" s="82" t="str">
        <f t="shared" si="18"/>
        <v>PL2</v>
      </c>
      <c r="BB42" s="53" t="str">
        <f t="shared" si="19"/>
        <v/>
      </c>
      <c r="BC42" s="53" t="s">
        <v>154</v>
      </c>
      <c r="BD42" s="53" t="s">
        <v>1005</v>
      </c>
      <c r="BE42" s="53" t="s">
        <v>1006</v>
      </c>
      <c r="BF42" s="53"/>
      <c r="BG42" s="53"/>
      <c r="BH42" s="83"/>
      <c r="BI42" s="53"/>
      <c r="BJ42" s="53"/>
    </row>
    <row r="43" spans="3:63" ht="14.25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6"/>
        <v>0</v>
      </c>
      <c r="M43" s="26">
        <f t="shared" si="17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67">
        <f>SUMIFS([1]Up!$J:$J,[1]Up!$D:$D,D43)</f>
        <v>0</v>
      </c>
      <c r="AZ43" s="82"/>
      <c r="BA43" s="82" t="str">
        <f t="shared" si="18"/>
        <v>PL2</v>
      </c>
      <c r="BB43" s="53" t="str">
        <f t="shared" si="19"/>
        <v/>
      </c>
      <c r="BC43" s="53" t="s">
        <v>154</v>
      </c>
      <c r="BD43" s="53" t="s">
        <v>966</v>
      </c>
      <c r="BE43" s="53" t="s">
        <v>967</v>
      </c>
      <c r="BF43" s="53" t="s">
        <v>968</v>
      </c>
      <c r="BG43" s="53">
        <v>4</v>
      </c>
      <c r="BH43" s="83" t="s">
        <v>2223</v>
      </c>
      <c r="BI43" s="53"/>
      <c r="BJ43" s="53"/>
    </row>
    <row r="44" spans="3:63" ht="14.25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6"/>
        <v>2</v>
      </c>
      <c r="M44" s="26">
        <f t="shared" si="17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67">
        <f>SUMIFS([1]Up!$J:$J,[1]Up!$D:$D,D44)</f>
        <v>0</v>
      </c>
      <c r="AZ44" s="82"/>
      <c r="BA44" s="82" t="str">
        <f t="shared" si="18"/>
        <v>PL8</v>
      </c>
      <c r="BB44" s="53" t="str">
        <f t="shared" si="19"/>
        <v/>
      </c>
      <c r="BC44" s="53" t="s">
        <v>154</v>
      </c>
      <c r="BD44" s="53" t="s">
        <v>1012</v>
      </c>
      <c r="BE44" s="53" t="s">
        <v>1013</v>
      </c>
      <c r="BF44" s="53" t="s">
        <v>1014</v>
      </c>
      <c r="BG44" s="53">
        <v>1</v>
      </c>
      <c r="BH44" s="83">
        <v>46088</v>
      </c>
      <c r="BI44" s="53"/>
      <c r="BJ44" s="53"/>
    </row>
    <row r="45" spans="3:63" ht="14.25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6"/>
        <v>0</v>
      </c>
      <c r="M45" s="26">
        <f t="shared" si="17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67">
        <f>SUMIFS([1]Up!$J:$J,[1]Up!$D:$D,D45)</f>
        <v>0</v>
      </c>
      <c r="AZ45" s="82"/>
      <c r="BA45" s="82" t="str">
        <f t="shared" si="18"/>
        <v/>
      </c>
      <c r="BB45" s="53" t="str">
        <f t="shared" si="19"/>
        <v/>
      </c>
      <c r="BC45" s="53" t="s">
        <v>977</v>
      </c>
      <c r="BD45" s="53"/>
      <c r="BE45" s="53"/>
      <c r="BF45" s="53"/>
      <c r="BG45" s="53"/>
      <c r="BH45" s="83"/>
      <c r="BI45" s="53"/>
      <c r="BJ45" s="53"/>
    </row>
    <row r="46" spans="3:63" ht="14.25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6"/>
        <v>0</v>
      </c>
      <c r="M46" s="26">
        <f t="shared" si="17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67">
        <f>SUMIFS([1]Up!$J:$J,[1]Up!$D:$D,D46)</f>
        <v>0</v>
      </c>
      <c r="AZ46" s="82"/>
      <c r="BA46" s="82" t="str">
        <f t="shared" si="18"/>
        <v>PL12</v>
      </c>
      <c r="BB46" s="53" t="str">
        <f t="shared" si="19"/>
        <v/>
      </c>
      <c r="BC46" s="53" t="s">
        <v>154</v>
      </c>
      <c r="BD46" s="53" t="s">
        <v>1021</v>
      </c>
      <c r="BE46" s="53" t="s">
        <v>1022</v>
      </c>
      <c r="BF46" s="53" t="s">
        <v>1023</v>
      </c>
      <c r="BG46" s="53">
        <v>1</v>
      </c>
      <c r="BH46" s="83">
        <v>46088</v>
      </c>
      <c r="BI46" s="53"/>
      <c r="BJ46" s="53"/>
    </row>
    <row r="47" spans="3:63" ht="14.25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6"/>
        <v>1</v>
      </c>
      <c r="M47" s="26">
        <f t="shared" si="17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67">
        <f>SUMIFS([1]Up!$J:$J,[1]Up!$D:$D,D47)</f>
        <v>0</v>
      </c>
      <c r="AZ47" s="82"/>
      <c r="BA47" s="82" t="str">
        <f t="shared" si="18"/>
        <v/>
      </c>
      <c r="BB47" s="53" t="str">
        <f t="shared" si="19"/>
        <v/>
      </c>
      <c r="BC47" s="53" t="s">
        <v>148</v>
      </c>
      <c r="BD47" s="53" t="s">
        <v>1027</v>
      </c>
      <c r="BE47" s="53" t="s">
        <v>1028</v>
      </c>
      <c r="BF47" s="53" t="s">
        <v>1029</v>
      </c>
      <c r="BG47" s="53">
        <v>1</v>
      </c>
      <c r="BH47" s="83">
        <v>46362</v>
      </c>
      <c r="BI47" s="53"/>
      <c r="BJ47" s="53"/>
    </row>
    <row r="48" spans="3:63" ht="14.25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6"/>
        <v>1</v>
      </c>
      <c r="M48" s="26">
        <f t="shared" si="17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67">
        <f>SUMIFS([1]Up!$J:$J,[1]Up!$D:$D,D48)</f>
        <v>0</v>
      </c>
      <c r="AZ48" s="82"/>
      <c r="BA48" s="82" t="str">
        <f t="shared" si="18"/>
        <v>PL12</v>
      </c>
      <c r="BB48" s="53" t="str">
        <f t="shared" si="19"/>
        <v/>
      </c>
      <c r="BC48" s="53" t="s">
        <v>148</v>
      </c>
      <c r="BD48" s="53" t="s">
        <v>1021</v>
      </c>
      <c r="BE48" s="53" t="s">
        <v>1022</v>
      </c>
      <c r="BF48" s="53" t="s">
        <v>1023</v>
      </c>
      <c r="BG48" s="53">
        <v>1</v>
      </c>
      <c r="BH48" s="83">
        <v>46088</v>
      </c>
      <c r="BI48" s="53"/>
      <c r="BJ48" s="53"/>
    </row>
    <row r="49" spans="3:62" ht="14.25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6"/>
        <v>1</v>
      </c>
      <c r="M49" s="26">
        <f t="shared" si="17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67">
        <f>SUMIFS([1]Up!$J:$J,[1]Up!$D:$D,D49)</f>
        <v>0</v>
      </c>
      <c r="AZ49" s="82"/>
      <c r="BA49" s="82" t="str">
        <f t="shared" si="18"/>
        <v/>
      </c>
      <c r="BB49" s="53" t="str">
        <f t="shared" si="19"/>
        <v/>
      </c>
      <c r="BC49" s="53" t="s">
        <v>154</v>
      </c>
      <c r="BD49" s="53" t="s">
        <v>1034</v>
      </c>
      <c r="BE49" s="53" t="s">
        <v>1033</v>
      </c>
      <c r="BF49" s="53" t="s">
        <v>1035</v>
      </c>
      <c r="BG49" s="53">
        <v>1</v>
      </c>
      <c r="BH49" s="83">
        <v>46362</v>
      </c>
      <c r="BI49" s="53"/>
      <c r="BJ49" s="53"/>
    </row>
    <row r="50" spans="3:62" ht="14.25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6"/>
        <v>0</v>
      </c>
      <c r="M50" s="26">
        <f t="shared" si="17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67">
        <f>SUMIFS([1]Up!$J:$J,[1]Up!$D:$D,D50)</f>
        <v>0</v>
      </c>
      <c r="AZ50" s="82"/>
      <c r="BA50" s="82" t="str">
        <f t="shared" si="18"/>
        <v/>
      </c>
      <c r="BB50" s="53" t="str">
        <f t="shared" si="19"/>
        <v/>
      </c>
      <c r="BC50" s="53" t="s">
        <v>977</v>
      </c>
      <c r="BD50" s="53"/>
      <c r="BE50" s="53"/>
      <c r="BF50" s="53"/>
      <c r="BG50" s="53"/>
      <c r="BH50" s="83"/>
      <c r="BI50" s="53"/>
      <c r="BJ50" s="53"/>
    </row>
    <row r="51" spans="3:62" ht="14.25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6"/>
        <v>2</v>
      </c>
      <c r="M51" s="26">
        <f t="shared" si="17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67">
        <f>SUMIFS([1]Up!$J:$J,[1]Up!$D:$D,D51)</f>
        <v>0</v>
      </c>
      <c r="AZ51" s="82"/>
      <c r="BA51" s="82" t="str">
        <f t="shared" si="18"/>
        <v/>
      </c>
      <c r="BB51" s="53" t="str">
        <f t="shared" si="19"/>
        <v/>
      </c>
      <c r="BC51" s="53" t="s">
        <v>154</v>
      </c>
      <c r="BD51" s="53" t="s">
        <v>1042</v>
      </c>
      <c r="BE51" s="53" t="s">
        <v>1041</v>
      </c>
      <c r="BF51" s="53" t="s">
        <v>1043</v>
      </c>
      <c r="BG51" s="53">
        <v>2</v>
      </c>
      <c r="BH51" s="83">
        <v>46362</v>
      </c>
      <c r="BI51" s="53"/>
      <c r="BJ51" s="53"/>
    </row>
    <row r="52" spans="3:62" ht="14.25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6"/>
        <v>1</v>
      </c>
      <c r="M52" s="26">
        <f t="shared" si="17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67">
        <f>SUMIFS([1]Up!$J:$J,[1]Up!$D:$D,D52)</f>
        <v>0</v>
      </c>
      <c r="AZ52" s="82"/>
      <c r="BA52" s="82" t="str">
        <f t="shared" si="18"/>
        <v/>
      </c>
      <c r="BB52" s="53" t="str">
        <f t="shared" si="19"/>
        <v/>
      </c>
      <c r="BC52" s="53" t="s">
        <v>154</v>
      </c>
      <c r="BD52" s="53" t="s">
        <v>1046</v>
      </c>
      <c r="BE52" s="53" t="s">
        <v>1045</v>
      </c>
      <c r="BF52" s="53" t="s">
        <v>1047</v>
      </c>
      <c r="BG52" s="53">
        <v>1</v>
      </c>
      <c r="BH52" s="83">
        <v>46362</v>
      </c>
      <c r="BI52" s="53"/>
      <c r="BJ52" s="53"/>
    </row>
    <row r="53" spans="3:62" ht="14.25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6"/>
        <v>1</v>
      </c>
      <c r="M53" s="26">
        <f t="shared" si="17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67">
        <f>SUMIFS([1]Up!$J:$J,[1]Up!$D:$D,D53)</f>
        <v>0</v>
      </c>
      <c r="AZ53" s="82"/>
      <c r="BA53" s="82" t="str">
        <f t="shared" si="18"/>
        <v/>
      </c>
      <c r="BB53" s="53" t="str">
        <f t="shared" si="19"/>
        <v/>
      </c>
      <c r="BC53" s="53" t="s">
        <v>148</v>
      </c>
      <c r="BD53" s="53" t="s">
        <v>1051</v>
      </c>
      <c r="BE53" s="53" t="s">
        <v>1049</v>
      </c>
      <c r="BF53" s="53" t="s">
        <v>1052</v>
      </c>
      <c r="BG53" s="53">
        <v>1</v>
      </c>
      <c r="BH53" s="83">
        <v>46362</v>
      </c>
      <c r="BI53" s="53"/>
      <c r="BJ53" s="53"/>
    </row>
    <row r="54" spans="3:62" ht="14.25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6"/>
        <v>0</v>
      </c>
      <c r="M54" s="26">
        <f t="shared" si="17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67">
        <f>SUMIFS([1]Up!$J:$J,[1]Up!$D:$D,D54)</f>
        <v>0</v>
      </c>
      <c r="AZ54" s="82"/>
      <c r="BA54" s="82" t="str">
        <f t="shared" si="18"/>
        <v/>
      </c>
      <c r="BB54" s="53" t="str">
        <f t="shared" si="19"/>
        <v/>
      </c>
      <c r="BC54" s="53" t="s">
        <v>977</v>
      </c>
      <c r="BD54" s="53"/>
      <c r="BE54" s="53"/>
      <c r="BF54" s="53"/>
      <c r="BG54" s="53"/>
      <c r="BH54" s="83"/>
      <c r="BI54" s="53"/>
      <c r="BJ54" s="53"/>
    </row>
    <row r="55" spans="3:62" ht="14.25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6"/>
        <v>0</v>
      </c>
      <c r="M55" s="26">
        <f t="shared" si="17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67">
        <f>SUMIFS([1]Up!$J:$J,[1]Up!$D:$D,D55)</f>
        <v>0</v>
      </c>
      <c r="AZ55" s="82"/>
      <c r="BA55" s="82" t="str">
        <f t="shared" si="18"/>
        <v/>
      </c>
      <c r="BB55" s="53" t="str">
        <f t="shared" si="19"/>
        <v/>
      </c>
      <c r="BC55" s="53" t="s">
        <v>977</v>
      </c>
      <c r="BD55" s="53"/>
      <c r="BE55" s="53"/>
      <c r="BF55" s="53"/>
      <c r="BG55" s="53"/>
      <c r="BH55" s="83"/>
      <c r="BI55" s="53"/>
      <c r="BJ55" s="53"/>
    </row>
    <row r="56" spans="3:62" ht="14.25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6"/>
        <v>0</v>
      </c>
      <c r="M56" s="26">
        <f t="shared" si="17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67">
        <f>SUMIFS([1]Up!$J:$J,[1]Up!$D:$D,D56)</f>
        <v>0</v>
      </c>
      <c r="AZ56" s="82"/>
      <c r="BA56" s="82" t="str">
        <f t="shared" si="18"/>
        <v>PL30</v>
      </c>
      <c r="BB56" s="53" t="str">
        <f t="shared" si="19"/>
        <v/>
      </c>
      <c r="BC56" s="53" t="s">
        <v>148</v>
      </c>
      <c r="BD56" s="53" t="s">
        <v>1059</v>
      </c>
      <c r="BE56" s="53" t="s">
        <v>1060</v>
      </c>
      <c r="BF56" s="53" t="s">
        <v>1061</v>
      </c>
      <c r="BG56" s="53">
        <v>1</v>
      </c>
      <c r="BH56" s="83" t="s">
        <v>2223</v>
      </c>
      <c r="BI56" s="53"/>
      <c r="BJ56" s="53"/>
    </row>
    <row r="57" spans="3:62" ht="14.25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6"/>
        <v>4</v>
      </c>
      <c r="M57" s="26">
        <f t="shared" si="17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67">
        <f>SUMIFS([1]Up!$J:$J,[1]Up!$D:$D,D57)</f>
        <v>2</v>
      </c>
      <c r="AZ57" s="82"/>
      <c r="BA57" s="82" t="str">
        <f t="shared" si="18"/>
        <v>PL10</v>
      </c>
      <c r="BB57" s="53" t="str">
        <f t="shared" si="19"/>
        <v/>
      </c>
      <c r="BC57" s="53" t="s">
        <v>148</v>
      </c>
      <c r="BD57" s="53" t="s">
        <v>1005</v>
      </c>
      <c r="BE57" s="53" t="s">
        <v>1006</v>
      </c>
      <c r="BF57" s="53" t="s">
        <v>1064</v>
      </c>
      <c r="BG57" s="53">
        <v>2</v>
      </c>
      <c r="BH57" s="83">
        <v>46088</v>
      </c>
      <c r="BI57" s="53"/>
      <c r="BJ57" s="53"/>
    </row>
    <row r="58" spans="3:62" ht="14.25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6"/>
        <v>2</v>
      </c>
      <c r="M58" s="26">
        <f t="shared" si="17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67">
        <f>SUMIFS([1]Up!$J:$J,[1]Up!$D:$D,D58)</f>
        <v>1</v>
      </c>
      <c r="AZ58" s="82"/>
      <c r="BA58" s="82" t="str">
        <f t="shared" si="18"/>
        <v>PL10</v>
      </c>
      <c r="BB58" s="53" t="str">
        <f t="shared" si="19"/>
        <v/>
      </c>
      <c r="BC58" s="53" t="s">
        <v>148</v>
      </c>
      <c r="BD58" s="53" t="s">
        <v>1005</v>
      </c>
      <c r="BE58" s="53" t="s">
        <v>1006</v>
      </c>
      <c r="BF58" s="53" t="s">
        <v>1064</v>
      </c>
      <c r="BG58" s="53">
        <v>1</v>
      </c>
      <c r="BH58" s="83">
        <v>46088</v>
      </c>
      <c r="BI58" s="53"/>
      <c r="BJ58" s="53"/>
    </row>
    <row r="59" spans="3:62" ht="14.25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6"/>
        <v>1</v>
      </c>
      <c r="M59" s="26">
        <f t="shared" si="17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67">
        <f>SUMIFS([1]Up!$J:$J,[1]Up!$D:$D,D59)</f>
        <v>0</v>
      </c>
      <c r="AZ59" s="82"/>
      <c r="BA59" s="82" t="str">
        <f t="shared" si="18"/>
        <v/>
      </c>
      <c r="BB59" s="53" t="str">
        <f t="shared" si="19"/>
        <v/>
      </c>
      <c r="BC59" s="53" t="s">
        <v>148</v>
      </c>
      <c r="BD59" s="53" t="s">
        <v>1051</v>
      </c>
      <c r="BE59" s="53" t="s">
        <v>1049</v>
      </c>
      <c r="BF59" s="53" t="s">
        <v>1052</v>
      </c>
      <c r="BG59" s="53">
        <v>1</v>
      </c>
      <c r="BH59" s="83">
        <v>46362</v>
      </c>
      <c r="BI59" s="53"/>
      <c r="BJ59" s="53"/>
    </row>
    <row r="60" spans="3:62" ht="14.25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6"/>
        <v>0</v>
      </c>
      <c r="M60" s="26">
        <f t="shared" si="17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67">
        <f>SUMIFS([1]Up!$J:$J,[1]Up!$D:$D,D60)</f>
        <v>0</v>
      </c>
      <c r="AZ60" s="82"/>
      <c r="BA60" s="82" t="str">
        <f t="shared" si="18"/>
        <v/>
      </c>
      <c r="BB60" s="53" t="str">
        <f t="shared" si="19"/>
        <v/>
      </c>
      <c r="BC60" s="53" t="s">
        <v>977</v>
      </c>
      <c r="BD60" s="53"/>
      <c r="BE60" s="53"/>
      <c r="BF60" s="53"/>
      <c r="BG60" s="53"/>
      <c r="BH60" s="83"/>
      <c r="BI60" s="53"/>
      <c r="BJ60" s="53"/>
    </row>
    <row r="61" spans="3:62" ht="14.25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6"/>
        <v>0</v>
      </c>
      <c r="M61" s="26">
        <f t="shared" si="17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67">
        <f>SUMIFS([1]Up!$J:$J,[1]Up!$D:$D,D61)</f>
        <v>0</v>
      </c>
      <c r="AZ61" s="82"/>
      <c r="BA61" s="82" t="str">
        <f t="shared" si="18"/>
        <v/>
      </c>
      <c r="BB61" s="53" t="str">
        <f t="shared" si="19"/>
        <v/>
      </c>
      <c r="BC61" s="53" t="s">
        <v>977</v>
      </c>
      <c r="BD61" s="53"/>
      <c r="BE61" s="53"/>
      <c r="BF61" s="53"/>
      <c r="BG61" s="53"/>
      <c r="BH61" s="83"/>
      <c r="BI61" s="53"/>
      <c r="BJ61" s="53"/>
    </row>
    <row r="62" spans="3:62" ht="14.25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6"/>
        <v>1</v>
      </c>
      <c r="M62" s="26">
        <f t="shared" si="17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67">
        <f>SUMIFS([1]Up!$J:$J,[1]Up!$D:$D,D62)</f>
        <v>0</v>
      </c>
      <c r="AZ62" s="82"/>
      <c r="BA62" s="82" t="str">
        <f t="shared" si="18"/>
        <v>PL8</v>
      </c>
      <c r="BB62" s="53" t="str">
        <f t="shared" si="19"/>
        <v/>
      </c>
      <c r="BC62" s="53" t="s">
        <v>154</v>
      </c>
      <c r="BD62" s="53" t="s">
        <v>1012</v>
      </c>
      <c r="BE62" s="53" t="s">
        <v>1013</v>
      </c>
      <c r="BF62" s="53" t="s">
        <v>1014</v>
      </c>
      <c r="BG62" s="53">
        <v>1</v>
      </c>
      <c r="BH62" s="83">
        <v>46088</v>
      </c>
      <c r="BI62" s="53"/>
      <c r="BJ62" s="53"/>
    </row>
    <row r="63" spans="3:62" ht="14.25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6"/>
        <v>4</v>
      </c>
      <c r="M63" s="26">
        <f t="shared" si="17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67">
        <f>SUMIFS([1]Up!$J:$J,[1]Up!$D:$D,D63)</f>
        <v>0</v>
      </c>
      <c r="AZ63" s="82"/>
      <c r="BA63" s="82" t="str">
        <f t="shared" si="18"/>
        <v>PL5</v>
      </c>
      <c r="BB63" s="53" t="str">
        <f t="shared" si="19"/>
        <v>Thừa 6</v>
      </c>
      <c r="BC63" s="53" t="s">
        <v>148</v>
      </c>
      <c r="BD63" s="53" t="s">
        <v>956</v>
      </c>
      <c r="BE63" s="53" t="s">
        <v>957</v>
      </c>
      <c r="BF63" s="53" t="s">
        <v>958</v>
      </c>
      <c r="BG63" s="53">
        <v>1</v>
      </c>
      <c r="BH63" s="83" t="s">
        <v>2223</v>
      </c>
      <c r="BI63" s="53"/>
      <c r="BJ63" s="53"/>
    </row>
    <row r="64" spans="3:62" ht="14.25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6"/>
        <v>0</v>
      </c>
      <c r="M64" s="26">
        <f t="shared" si="17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67">
        <f>SUMIFS([1]Up!$J:$J,[1]Up!$D:$D,D64)</f>
        <v>0</v>
      </c>
      <c r="AZ64" s="82"/>
      <c r="BA64" s="82" t="str">
        <f t="shared" si="18"/>
        <v/>
      </c>
      <c r="BB64" s="53" t="str">
        <f t="shared" si="19"/>
        <v/>
      </c>
      <c r="BC64" s="53" t="s">
        <v>148</v>
      </c>
      <c r="BD64" s="53" t="s">
        <v>1079</v>
      </c>
      <c r="BE64" s="53" t="s">
        <v>1076</v>
      </c>
      <c r="BF64" s="53" t="s">
        <v>2105</v>
      </c>
      <c r="BG64" s="53">
        <v>5</v>
      </c>
      <c r="BH64" s="83">
        <v>46120</v>
      </c>
      <c r="BI64" s="53"/>
      <c r="BJ64" s="53"/>
    </row>
    <row r="65" spans="3:62" ht="14.25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6"/>
        <v>0</v>
      </c>
      <c r="M65" s="26">
        <f t="shared" si="17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67">
        <f>SUMIFS([1]Up!$J:$J,[1]Up!$D:$D,D65)</f>
        <v>0</v>
      </c>
      <c r="AZ65" s="82"/>
      <c r="BA65" s="82" t="str">
        <f t="shared" si="18"/>
        <v/>
      </c>
      <c r="BB65" s="53" t="str">
        <f t="shared" si="19"/>
        <v/>
      </c>
      <c r="BC65" s="53" t="s">
        <v>154</v>
      </c>
      <c r="BD65" s="53" t="s">
        <v>1082</v>
      </c>
      <c r="BE65" s="53" t="s">
        <v>1081</v>
      </c>
      <c r="BF65" s="53" t="s">
        <v>2106</v>
      </c>
      <c r="BG65" s="53">
        <v>1</v>
      </c>
      <c r="BH65" s="83">
        <v>46120</v>
      </c>
      <c r="BI65" s="53"/>
      <c r="BJ65" s="53"/>
    </row>
    <row r="66" spans="3:62" ht="14.25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6"/>
        <v>0</v>
      </c>
      <c r="M66" s="26">
        <f t="shared" si="17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67">
        <f>SUMIFS([1]Up!$J:$J,[1]Up!$D:$D,D66)</f>
        <v>0</v>
      </c>
      <c r="AZ66" s="82"/>
      <c r="BA66" s="82" t="str">
        <f t="shared" si="18"/>
        <v>PL12</v>
      </c>
      <c r="BB66" s="53" t="str">
        <f t="shared" si="19"/>
        <v/>
      </c>
      <c r="BC66" s="53" t="s">
        <v>154</v>
      </c>
      <c r="BD66" s="53" t="s">
        <v>1021</v>
      </c>
      <c r="BE66" s="53" t="s">
        <v>1022</v>
      </c>
      <c r="BF66" s="53" t="s">
        <v>57</v>
      </c>
      <c r="BG66" s="53">
        <v>1</v>
      </c>
      <c r="BH66" s="83"/>
      <c r="BI66" s="53"/>
      <c r="BJ66" s="53"/>
    </row>
    <row r="67" spans="3:62" ht="14.25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6"/>
        <v>0</v>
      </c>
      <c r="M67" s="26">
        <f t="shared" si="17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67">
        <f>SUMIFS([1]Up!$J:$J,[1]Up!$D:$D,D67)</f>
        <v>0</v>
      </c>
      <c r="AZ67" s="82"/>
      <c r="BA67" s="82" t="str">
        <f t="shared" si="18"/>
        <v>PL10</v>
      </c>
      <c r="BB67" s="53" t="str">
        <f t="shared" si="19"/>
        <v/>
      </c>
      <c r="BC67" s="53" t="s">
        <v>148</v>
      </c>
      <c r="BD67" s="53" t="s">
        <v>1005</v>
      </c>
      <c r="BE67" s="53" t="s">
        <v>1006</v>
      </c>
      <c r="BF67" s="53"/>
      <c r="BG67" s="53"/>
      <c r="BH67" s="83"/>
      <c r="BI67" s="53"/>
      <c r="BJ67" s="53"/>
    </row>
    <row r="68" spans="3:62" ht="14.25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6"/>
        <v>0</v>
      </c>
      <c r="M68" s="26">
        <f t="shared" si="17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67">
        <f>SUMIFS([1]Up!$J:$J,[1]Up!$D:$D,D68)</f>
        <v>0</v>
      </c>
      <c r="AZ68" s="82"/>
      <c r="BA68" s="82" t="str">
        <f t="shared" si="18"/>
        <v>PL12</v>
      </c>
      <c r="BB68" s="53" t="str">
        <f t="shared" si="19"/>
        <v/>
      </c>
      <c r="BC68" s="53" t="s">
        <v>148</v>
      </c>
      <c r="BD68" s="53" t="s">
        <v>1021</v>
      </c>
      <c r="BE68" s="53" t="s">
        <v>1022</v>
      </c>
      <c r="BF68" s="53" t="s">
        <v>2100</v>
      </c>
      <c r="BG68" s="53">
        <v>10</v>
      </c>
      <c r="BH68" s="83">
        <v>46303</v>
      </c>
      <c r="BI68" s="53"/>
      <c r="BJ68" s="53"/>
    </row>
    <row r="69" spans="3:62" ht="14.25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6"/>
        <v>0</v>
      </c>
      <c r="M69" s="26">
        <f t="shared" si="17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67">
        <f>SUMIFS([1]Up!$J:$J,[1]Up!$D:$D,D69)</f>
        <v>0</v>
      </c>
      <c r="AZ69" s="82"/>
      <c r="BA69" s="82" t="str">
        <f t="shared" si="18"/>
        <v>PL16</v>
      </c>
      <c r="BB69" s="53" t="str">
        <f t="shared" si="19"/>
        <v/>
      </c>
      <c r="BC69" s="53" t="s">
        <v>148</v>
      </c>
      <c r="BD69" s="53" t="s">
        <v>988</v>
      </c>
      <c r="BE69" s="53" t="s">
        <v>989</v>
      </c>
      <c r="BF69" s="53" t="s">
        <v>2104</v>
      </c>
      <c r="BG69" s="53">
        <v>10</v>
      </c>
      <c r="BH69" s="83">
        <v>46120</v>
      </c>
      <c r="BI69" s="53"/>
      <c r="BJ69" s="53"/>
    </row>
    <row r="70" spans="3:62" ht="14.25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6"/>
        <v>0</v>
      </c>
      <c r="M70" s="26">
        <f t="shared" si="17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67">
        <f>SUMIFS([1]Up!$J:$J,[1]Up!$D:$D,D70)</f>
        <v>0</v>
      </c>
      <c r="AZ70" s="82"/>
      <c r="BA70" s="82" t="str">
        <f t="shared" si="18"/>
        <v>PL15</v>
      </c>
      <c r="BB70" s="53" t="str">
        <f t="shared" si="19"/>
        <v/>
      </c>
      <c r="BC70" s="53" t="s">
        <v>148</v>
      </c>
      <c r="BD70" s="53" t="s">
        <v>1094</v>
      </c>
      <c r="BE70" s="53" t="s">
        <v>1095</v>
      </c>
      <c r="BF70" s="53" t="s">
        <v>2101</v>
      </c>
      <c r="BG70" s="53">
        <v>2</v>
      </c>
      <c r="BH70" s="83">
        <v>46120</v>
      </c>
      <c r="BI70" s="53"/>
      <c r="BJ70" s="53"/>
    </row>
    <row r="71" spans="3:62" ht="14.25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6"/>
        <v>0</v>
      </c>
      <c r="M71" s="26">
        <f t="shared" si="17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67">
        <f>SUMIFS([1]Up!$J:$J,[1]Up!$D:$D,D71)</f>
        <v>0</v>
      </c>
      <c r="AZ71" s="82"/>
      <c r="BA71" s="82" t="str">
        <f t="shared" si="18"/>
        <v>PL10</v>
      </c>
      <c r="BB71" s="53" t="str">
        <f t="shared" si="19"/>
        <v/>
      </c>
      <c r="BC71" s="53" t="s">
        <v>154</v>
      </c>
      <c r="BD71" s="53" t="s">
        <v>1005</v>
      </c>
      <c r="BE71" s="53" t="s">
        <v>1006</v>
      </c>
      <c r="BF71" s="53"/>
      <c r="BG71" s="53"/>
      <c r="BH71" s="83"/>
      <c r="BI71" s="53"/>
      <c r="BJ71" s="53"/>
    </row>
    <row r="72" spans="3:62" ht="14.25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6"/>
        <v>0</v>
      </c>
      <c r="M72" s="26">
        <f t="shared" si="17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67">
        <f>SUMIFS([1]Up!$J:$J,[1]Up!$D:$D,D72)</f>
        <v>0</v>
      </c>
      <c r="AZ72" s="82"/>
      <c r="BA72" s="82" t="str">
        <f t="shared" si="18"/>
        <v>PL20</v>
      </c>
      <c r="BB72" s="53" t="str">
        <f t="shared" si="19"/>
        <v/>
      </c>
      <c r="BC72" s="53" t="s">
        <v>148</v>
      </c>
      <c r="BD72" s="53" t="s">
        <v>1100</v>
      </c>
      <c r="BE72" s="53" t="s">
        <v>1101</v>
      </c>
      <c r="BF72" s="53" t="s">
        <v>2102</v>
      </c>
      <c r="BG72" s="53">
        <v>1</v>
      </c>
      <c r="BH72" s="83">
        <v>46303</v>
      </c>
      <c r="BI72" s="53"/>
      <c r="BJ72" s="53"/>
    </row>
    <row r="73" spans="3:62" ht="14.25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6"/>
        <v>0</v>
      </c>
      <c r="M73" s="26">
        <f t="shared" si="17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67">
        <f>SUMIFS([1]Up!$J:$J,[1]Up!$D:$D,D73)</f>
        <v>0</v>
      </c>
      <c r="AZ73" s="82"/>
      <c r="BA73" s="82" t="str">
        <f t="shared" si="18"/>
        <v>PL12</v>
      </c>
      <c r="BB73" s="53" t="str">
        <f t="shared" si="19"/>
        <v/>
      </c>
      <c r="BC73" s="53" t="s">
        <v>148</v>
      </c>
      <c r="BD73" s="53" t="s">
        <v>1021</v>
      </c>
      <c r="BE73" s="53" t="s">
        <v>1022</v>
      </c>
      <c r="BF73" s="53" t="s">
        <v>2100</v>
      </c>
      <c r="BG73" s="53">
        <v>4</v>
      </c>
      <c r="BH73" s="83">
        <v>46303</v>
      </c>
      <c r="BI73" s="53"/>
      <c r="BJ73" s="53"/>
    </row>
    <row r="74" spans="3:62" ht="14.25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6"/>
        <v>0</v>
      </c>
      <c r="M74" s="26">
        <f t="shared" si="17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67">
        <f>SUMIFS([1]Up!$J:$J,[1]Up!$D:$D,D74)</f>
        <v>0</v>
      </c>
      <c r="AZ74" s="82"/>
      <c r="BA74" s="82" t="str">
        <f t="shared" si="18"/>
        <v>PL12</v>
      </c>
      <c r="BB74" s="53" t="str">
        <f t="shared" si="19"/>
        <v/>
      </c>
      <c r="BC74" s="53" t="s">
        <v>148</v>
      </c>
      <c r="BD74" s="53" t="s">
        <v>1021</v>
      </c>
      <c r="BE74" s="53" t="s">
        <v>1022</v>
      </c>
      <c r="BF74" s="53" t="s">
        <v>2100</v>
      </c>
      <c r="BG74" s="53">
        <v>2</v>
      </c>
      <c r="BH74" s="83">
        <v>46303</v>
      </c>
      <c r="BI74" s="53"/>
      <c r="BJ74" s="53"/>
    </row>
    <row r="75" spans="3:62" ht="14.25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6"/>
        <v>0</v>
      </c>
      <c r="M75" s="26">
        <f t="shared" si="17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67">
        <f>SUMIFS([1]Up!$J:$J,[1]Up!$D:$D,D75)</f>
        <v>0</v>
      </c>
      <c r="AZ75" s="82"/>
      <c r="BA75" s="82" t="str">
        <f t="shared" si="18"/>
        <v>PL20</v>
      </c>
      <c r="BB75" s="53" t="str">
        <f t="shared" si="19"/>
        <v/>
      </c>
      <c r="BC75" s="53" t="s">
        <v>148</v>
      </c>
      <c r="BD75" s="53" t="s">
        <v>1100</v>
      </c>
      <c r="BE75" s="53" t="s">
        <v>1101</v>
      </c>
      <c r="BF75" s="53" t="s">
        <v>2102</v>
      </c>
      <c r="BG75" s="53">
        <v>1</v>
      </c>
      <c r="BH75" s="83">
        <v>46303</v>
      </c>
      <c r="BI75" s="53"/>
      <c r="BJ75" s="53"/>
    </row>
    <row r="76" spans="3:62" ht="14.25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6"/>
        <v>0</v>
      </c>
      <c r="M76" s="26">
        <f t="shared" si="17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67">
        <f>SUMIFS([1]Up!$J:$J,[1]Up!$D:$D,D76)</f>
        <v>0</v>
      </c>
      <c r="AZ76" s="82"/>
      <c r="BA76" s="82" t="str">
        <f t="shared" si="18"/>
        <v>PL5</v>
      </c>
      <c r="BB76" s="53" t="str">
        <f t="shared" si="19"/>
        <v/>
      </c>
      <c r="BC76" s="53" t="s">
        <v>148</v>
      </c>
      <c r="BD76" s="53" t="s">
        <v>1108</v>
      </c>
      <c r="BE76" s="53" t="s">
        <v>957</v>
      </c>
      <c r="BF76" s="53" t="s">
        <v>2103</v>
      </c>
      <c r="BG76" s="53">
        <v>2</v>
      </c>
      <c r="BH76" s="83">
        <v>46120</v>
      </c>
      <c r="BI76" s="53"/>
      <c r="BJ76" s="53"/>
    </row>
    <row r="77" spans="3:62" ht="14.25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6"/>
        <v>0</v>
      </c>
      <c r="M77" s="26">
        <f t="shared" si="17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67">
        <f>SUMIFS([1]Up!$J:$J,[1]Up!$D:$D,D77)</f>
        <v>0</v>
      </c>
      <c r="AZ77" s="82"/>
      <c r="BA77" s="82" t="str">
        <f t="shared" si="18"/>
        <v>PL10</v>
      </c>
      <c r="BB77" s="53" t="str">
        <f t="shared" si="19"/>
        <v/>
      </c>
      <c r="BC77" s="53" t="s">
        <v>148</v>
      </c>
      <c r="BD77" s="53" t="s">
        <v>1005</v>
      </c>
      <c r="BE77" s="53" t="s">
        <v>1006</v>
      </c>
      <c r="BF77" s="53"/>
      <c r="BG77" s="53"/>
      <c r="BH77" s="83"/>
      <c r="BI77" s="53"/>
      <c r="BJ77" s="53"/>
    </row>
    <row r="78" spans="3:62" ht="14.25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6"/>
        <v>0</v>
      </c>
      <c r="M78" s="26">
        <f t="shared" si="17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67">
        <f>SUMIFS([1]Up!$J:$J,[1]Up!$D:$D,D78)</f>
        <v>0</v>
      </c>
      <c r="AZ78" s="82"/>
      <c r="BA78" s="82" t="str">
        <f t="shared" si="18"/>
        <v>PL12</v>
      </c>
      <c r="BB78" s="53" t="str">
        <f t="shared" si="19"/>
        <v/>
      </c>
      <c r="BC78" s="53" t="s">
        <v>154</v>
      </c>
      <c r="BD78" s="53" t="s">
        <v>1021</v>
      </c>
      <c r="BE78" s="53" t="s">
        <v>1022</v>
      </c>
      <c r="BF78" s="53" t="s">
        <v>57</v>
      </c>
      <c r="BG78" s="53">
        <v>1</v>
      </c>
      <c r="BH78" s="83"/>
      <c r="BI78" s="53"/>
      <c r="BJ78" s="53"/>
    </row>
    <row r="79" spans="3:62" ht="14.25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6"/>
        <v>0</v>
      </c>
      <c r="M79" s="26">
        <f t="shared" si="17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67">
        <f>SUMIFS([1]Up!$J:$J,[1]Up!$D:$D,D79)</f>
        <v>0</v>
      </c>
      <c r="AZ79" s="82"/>
      <c r="BA79" s="82" t="str">
        <f t="shared" si="18"/>
        <v>PL10</v>
      </c>
      <c r="BB79" s="53" t="str">
        <f t="shared" si="19"/>
        <v/>
      </c>
      <c r="BC79" s="53" t="s">
        <v>154</v>
      </c>
      <c r="BD79" s="53" t="s">
        <v>1005</v>
      </c>
      <c r="BE79" s="53" t="s">
        <v>1006</v>
      </c>
      <c r="BF79" s="53"/>
      <c r="BG79" s="53"/>
      <c r="BH79" s="83"/>
      <c r="BI79" s="53"/>
      <c r="BJ79" s="53"/>
    </row>
    <row r="80" spans="3:62" ht="14.25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6"/>
        <v>1</v>
      </c>
      <c r="M80" s="26">
        <f t="shared" si="17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67">
        <f>SUMIFS([1]Up!$J:$J,[1]Up!$D:$D,D80)</f>
        <v>0</v>
      </c>
      <c r="AZ80" s="82"/>
      <c r="BA80" s="82" t="str">
        <f t="shared" si="18"/>
        <v>PL20</v>
      </c>
      <c r="BB80" s="53" t="str">
        <f t="shared" si="19"/>
        <v/>
      </c>
      <c r="BC80" s="53" t="s">
        <v>148</v>
      </c>
      <c r="BD80" s="53" t="s">
        <v>1100</v>
      </c>
      <c r="BE80" s="53" t="s">
        <v>1101</v>
      </c>
      <c r="BF80" s="53" t="s">
        <v>2102</v>
      </c>
      <c r="BG80" s="53">
        <v>1</v>
      </c>
      <c r="BH80" s="83">
        <v>46303</v>
      </c>
      <c r="BI80" s="53"/>
      <c r="BJ80" s="53"/>
    </row>
    <row r="81" spans="3:62" ht="14.25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6"/>
        <v>0</v>
      </c>
      <c r="M81" s="26">
        <f t="shared" si="17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67">
        <f>SUMIFS([1]Up!$J:$J,[1]Up!$D:$D,D81)</f>
        <v>0</v>
      </c>
      <c r="AZ81" s="82"/>
      <c r="BA81" s="82" t="str">
        <f t="shared" si="18"/>
        <v>PL12</v>
      </c>
      <c r="BB81" s="53" t="str">
        <f t="shared" si="19"/>
        <v/>
      </c>
      <c r="BC81" s="53" t="s">
        <v>148</v>
      </c>
      <c r="BD81" s="53" t="s">
        <v>1021</v>
      </c>
      <c r="BE81" s="53" t="s">
        <v>1022</v>
      </c>
      <c r="BF81" s="53" t="s">
        <v>2100</v>
      </c>
      <c r="BG81" s="53">
        <v>5</v>
      </c>
      <c r="BH81" s="83">
        <v>46303</v>
      </c>
      <c r="BI81" s="53"/>
      <c r="BJ81" s="53"/>
    </row>
    <row r="82" spans="3:62" ht="14.25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6"/>
        <v>0</v>
      </c>
      <c r="M82" s="26">
        <f t="shared" si="17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67">
        <f>SUMIFS([1]Up!$J:$J,[1]Up!$D:$D,D82)</f>
        <v>0</v>
      </c>
      <c r="AZ82" s="82"/>
      <c r="BA82" s="82" t="str">
        <f t="shared" si="18"/>
        <v>PL15</v>
      </c>
      <c r="BB82" s="53" t="str">
        <f t="shared" si="19"/>
        <v/>
      </c>
      <c r="BC82" s="53" t="s">
        <v>148</v>
      </c>
      <c r="BD82" s="53" t="s">
        <v>1094</v>
      </c>
      <c r="BE82" s="53" t="s">
        <v>1095</v>
      </c>
      <c r="BF82" s="53" t="s">
        <v>2101</v>
      </c>
      <c r="BG82" s="53">
        <v>1</v>
      </c>
      <c r="BH82" s="83">
        <v>46120</v>
      </c>
      <c r="BI82" s="53"/>
      <c r="BJ82" s="53"/>
    </row>
    <row r="83" spans="3:62" ht="14.25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6"/>
        <v>0</v>
      </c>
      <c r="M83" s="26">
        <f t="shared" si="17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67">
        <f>SUMIFS([1]Up!$J:$J,[1]Up!$D:$D,D83)</f>
        <v>0</v>
      </c>
      <c r="AZ83" s="82"/>
      <c r="BA83" s="82" t="str">
        <f t="shared" si="18"/>
        <v>PL12</v>
      </c>
      <c r="BB83" s="53" t="str">
        <f t="shared" si="19"/>
        <v/>
      </c>
      <c r="BC83" s="53" t="s">
        <v>154</v>
      </c>
      <c r="BD83" s="53" t="s">
        <v>1021</v>
      </c>
      <c r="BE83" s="53" t="s">
        <v>1022</v>
      </c>
      <c r="BF83" s="53" t="s">
        <v>57</v>
      </c>
      <c r="BG83" s="53">
        <v>1</v>
      </c>
      <c r="BH83" s="83"/>
      <c r="BI83" s="53"/>
      <c r="BJ83" s="53"/>
    </row>
    <row r="84" spans="3:62" ht="14.25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6"/>
        <v>0</v>
      </c>
      <c r="M84" s="26">
        <f t="shared" si="17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67">
        <f>SUMIFS([1]Up!$J:$J,[1]Up!$D:$D,D84)</f>
        <v>0</v>
      </c>
      <c r="AZ84" s="82"/>
      <c r="BA84" s="82" t="str">
        <f t="shared" si="18"/>
        <v>PL12</v>
      </c>
      <c r="BB84" s="53" t="str">
        <f t="shared" si="19"/>
        <v/>
      </c>
      <c r="BC84" s="53" t="s">
        <v>148</v>
      </c>
      <c r="BD84" s="53" t="s">
        <v>1021</v>
      </c>
      <c r="BE84" s="53" t="s">
        <v>1022</v>
      </c>
      <c r="BF84" s="53" t="s">
        <v>2100</v>
      </c>
      <c r="BG84" s="53">
        <v>5</v>
      </c>
      <c r="BH84" s="83">
        <v>46303</v>
      </c>
      <c r="BI84" s="53"/>
      <c r="BJ84" s="53"/>
    </row>
    <row r="85" spans="3:62" ht="14.25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6"/>
        <v>0</v>
      </c>
      <c r="M85" s="26">
        <f t="shared" si="17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67">
        <f>SUMIFS([1]Up!$J:$J,[1]Up!$D:$D,D85)</f>
        <v>0</v>
      </c>
      <c r="AZ85" s="82"/>
      <c r="BA85" s="82" t="str">
        <f t="shared" si="18"/>
        <v>PL20</v>
      </c>
      <c r="BB85" s="53" t="str">
        <f t="shared" si="19"/>
        <v/>
      </c>
      <c r="BC85" s="53" t="s">
        <v>148</v>
      </c>
      <c r="BD85" s="53" t="s">
        <v>1100</v>
      </c>
      <c r="BE85" s="53" t="s">
        <v>1101</v>
      </c>
      <c r="BF85" s="53" t="s">
        <v>2102</v>
      </c>
      <c r="BG85" s="53">
        <v>1</v>
      </c>
      <c r="BH85" s="83">
        <v>46303</v>
      </c>
      <c r="BI85" s="53"/>
      <c r="BJ85" s="53"/>
    </row>
    <row r="86" spans="3:62" ht="14.25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6"/>
        <v>0</v>
      </c>
      <c r="M86" s="26">
        <f t="shared" si="17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67">
        <f>SUMIFS([1]Up!$J:$J,[1]Up!$D:$D,D86)</f>
        <v>0</v>
      </c>
      <c r="AZ86" s="82"/>
      <c r="BA86" s="82" t="str">
        <f t="shared" si="18"/>
        <v>PL20</v>
      </c>
      <c r="BB86" s="53" t="str">
        <f t="shared" si="19"/>
        <v/>
      </c>
      <c r="BC86" s="53" t="s">
        <v>148</v>
      </c>
      <c r="BD86" s="53" t="s">
        <v>1100</v>
      </c>
      <c r="BE86" s="53" t="s">
        <v>1101</v>
      </c>
      <c r="BF86" s="53"/>
      <c r="BG86" s="53"/>
      <c r="BH86" s="83"/>
      <c r="BI86" s="53"/>
      <c r="BJ86" s="53"/>
    </row>
    <row r="87" spans="3:62" ht="14.25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6"/>
        <v>0</v>
      </c>
      <c r="M87" s="26">
        <f t="shared" si="17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67">
        <f>SUMIFS([1]Up!$J:$J,[1]Up!$D:$D,D87)</f>
        <v>0</v>
      </c>
      <c r="AZ87" s="82"/>
      <c r="BA87" s="82" t="str">
        <f t="shared" si="18"/>
        <v>PL20</v>
      </c>
      <c r="BB87" s="53" t="str">
        <f t="shared" si="19"/>
        <v/>
      </c>
      <c r="BC87" s="53" t="s">
        <v>148</v>
      </c>
      <c r="BD87" s="53" t="s">
        <v>1094</v>
      </c>
      <c r="BE87" s="53" t="s">
        <v>1095</v>
      </c>
      <c r="BF87" s="53" t="s">
        <v>2102</v>
      </c>
      <c r="BG87" s="53">
        <v>2</v>
      </c>
      <c r="BH87" s="83">
        <v>46303</v>
      </c>
      <c r="BI87" s="53"/>
      <c r="BJ87" s="53"/>
    </row>
    <row r="88" spans="3:62" ht="14.25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6"/>
        <v>0</v>
      </c>
      <c r="M88" s="26">
        <f t="shared" si="17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67">
        <f>SUMIFS([1]Up!$J:$J,[1]Up!$D:$D,D88)</f>
        <v>0</v>
      </c>
      <c r="AZ88" s="82"/>
      <c r="BA88" s="82" t="str">
        <f t="shared" si="18"/>
        <v/>
      </c>
      <c r="BB88" s="53" t="str">
        <f t="shared" si="19"/>
        <v/>
      </c>
      <c r="BC88" s="53" t="s">
        <v>154</v>
      </c>
      <c r="BD88" s="53" t="s">
        <v>1082</v>
      </c>
      <c r="BE88" s="53" t="s">
        <v>1081</v>
      </c>
      <c r="BF88" s="53" t="s">
        <v>2106</v>
      </c>
      <c r="BG88" s="53">
        <v>5</v>
      </c>
      <c r="BH88" s="83">
        <v>46120</v>
      </c>
      <c r="BI88" s="53"/>
      <c r="BJ88" s="53"/>
    </row>
    <row r="89" spans="3:62" ht="14.25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6"/>
        <v>0</v>
      </c>
      <c r="M89" s="26">
        <f t="shared" si="17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67">
        <f>SUMIFS([1]Up!$J:$J,[1]Up!$D:$D,D89)</f>
        <v>0</v>
      </c>
      <c r="AZ89" s="82"/>
      <c r="BA89" s="82" t="str">
        <f t="shared" si="18"/>
        <v/>
      </c>
      <c r="BB89" s="53" t="str">
        <f t="shared" si="19"/>
        <v/>
      </c>
      <c r="BC89" s="53" t="s">
        <v>154</v>
      </c>
      <c r="BD89" s="53"/>
      <c r="BE89" s="53" t="s">
        <v>1129</v>
      </c>
      <c r="BF89" s="53" t="s">
        <v>2113</v>
      </c>
      <c r="BG89" s="53">
        <v>1</v>
      </c>
      <c r="BH89" s="83">
        <v>46120</v>
      </c>
      <c r="BI89" s="53"/>
      <c r="BJ89" s="53"/>
    </row>
    <row r="90" spans="3:62" ht="14.25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6"/>
        <v>0</v>
      </c>
      <c r="M90" s="26">
        <f t="shared" si="17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67">
        <f>SUMIFS([1]Up!$J:$J,[1]Up!$D:$D,D90)</f>
        <v>0</v>
      </c>
      <c r="AZ90" s="82"/>
      <c r="BA90" s="82" t="str">
        <f t="shared" si="18"/>
        <v>PL12</v>
      </c>
      <c r="BB90" s="53" t="str">
        <f t="shared" si="19"/>
        <v/>
      </c>
      <c r="BC90" s="53" t="s">
        <v>154</v>
      </c>
      <c r="BD90" s="53" t="s">
        <v>1021</v>
      </c>
      <c r="BE90" s="53" t="s">
        <v>1022</v>
      </c>
      <c r="BF90" s="53" t="s">
        <v>57</v>
      </c>
      <c r="BG90" s="53">
        <v>1</v>
      </c>
      <c r="BH90" s="83"/>
      <c r="BI90" s="53"/>
      <c r="BJ90" s="53"/>
    </row>
    <row r="91" spans="3:62" ht="14.25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6"/>
        <v>0</v>
      </c>
      <c r="M91" s="26">
        <f t="shared" si="17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67">
        <f>SUMIFS([1]Up!$J:$J,[1]Up!$D:$D,D91)</f>
        <v>0</v>
      </c>
      <c r="AZ91" s="82"/>
      <c r="BA91" s="82" t="str">
        <f t="shared" si="18"/>
        <v>PL10</v>
      </c>
      <c r="BB91" s="53" t="str">
        <f t="shared" si="19"/>
        <v/>
      </c>
      <c r="BC91" s="53" t="s">
        <v>148</v>
      </c>
      <c r="BD91" s="53" t="s">
        <v>1005</v>
      </c>
      <c r="BE91" s="53" t="s">
        <v>1006</v>
      </c>
      <c r="BF91" s="53"/>
      <c r="BG91" s="53"/>
      <c r="BH91" s="83"/>
      <c r="BI91" s="53"/>
      <c r="BJ91" s="53"/>
    </row>
    <row r="92" spans="3:62" ht="14.25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6"/>
        <v>0</v>
      </c>
      <c r="M92" s="26">
        <f t="shared" si="17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67">
        <f>SUMIFS([1]Up!$J:$J,[1]Up!$D:$D,D92)</f>
        <v>0</v>
      </c>
      <c r="AZ92" s="82"/>
      <c r="BA92" s="82" t="str">
        <f t="shared" si="18"/>
        <v>PL10</v>
      </c>
      <c r="BB92" s="53" t="str">
        <f t="shared" si="19"/>
        <v/>
      </c>
      <c r="BC92" s="53" t="s">
        <v>148</v>
      </c>
      <c r="BD92" s="53" t="s">
        <v>1005</v>
      </c>
      <c r="BE92" s="53" t="s">
        <v>1006</v>
      </c>
      <c r="BF92" s="53"/>
      <c r="BG92" s="53"/>
      <c r="BH92" s="83"/>
      <c r="BI92" s="53"/>
      <c r="BJ92" s="53"/>
    </row>
    <row r="93" spans="3:62" ht="14.25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6"/>
        <v>0</v>
      </c>
      <c r="M93" s="26">
        <f t="shared" si="17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67">
        <f>SUMIFS([1]Up!$J:$J,[1]Up!$D:$D,D93)</f>
        <v>0</v>
      </c>
      <c r="AZ93" s="82"/>
      <c r="BA93" s="82" t="str">
        <f t="shared" si="18"/>
        <v>PL10</v>
      </c>
      <c r="BB93" s="53" t="str">
        <f t="shared" si="19"/>
        <v/>
      </c>
      <c r="BC93" s="53" t="s">
        <v>154</v>
      </c>
      <c r="BD93" s="53" t="s">
        <v>1005</v>
      </c>
      <c r="BE93" s="53" t="s">
        <v>1006</v>
      </c>
      <c r="BF93" s="53"/>
      <c r="BG93" s="53"/>
      <c r="BH93" s="83"/>
      <c r="BI93" s="53"/>
      <c r="BJ93" s="53"/>
    </row>
    <row r="94" spans="3:62" ht="14.25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0">MIN(SUM(N94:AX94),I94)</f>
        <v>1</v>
      </c>
      <c r="M94" s="26">
        <f t="shared" si="17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67">
        <f>SUMIFS([1]Up!$J:$J,[1]Up!$D:$D,D94)</f>
        <v>0</v>
      </c>
      <c r="AZ94" s="82"/>
      <c r="BA94" s="82" t="str">
        <f t="shared" ref="BA94:BA157" si="21">IFERROR(IF(C94="Plate",LEFT(E94,FIND("*",E94,1)-1),""),IF(C94="Plate",LEFT(E94,FIND("x",E94,1)-1),""))</f>
        <v>PL20</v>
      </c>
      <c r="BB94" s="53" t="str">
        <f t="shared" ref="BB94:BB157" si="22">IF(ROUND(SUM(N94:AX94)-I94,0)&gt;0,"Thừa "&amp;SUM(N94:AX94)-I94,"")</f>
        <v/>
      </c>
      <c r="BC94" s="53" t="s">
        <v>148</v>
      </c>
      <c r="BD94" s="53" t="s">
        <v>1100</v>
      </c>
      <c r="BE94" s="53" t="s">
        <v>1101</v>
      </c>
      <c r="BF94" s="53" t="s">
        <v>2102</v>
      </c>
      <c r="BG94" s="53">
        <v>1</v>
      </c>
      <c r="BH94" s="83">
        <v>46303</v>
      </c>
      <c r="BI94" s="53"/>
      <c r="BJ94" s="53"/>
    </row>
    <row r="95" spans="3:62" ht="14.25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0"/>
        <v>0</v>
      </c>
      <c r="M95" s="26">
        <f t="shared" si="17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67">
        <f>SUMIFS([1]Up!$J:$J,[1]Up!$D:$D,D95)</f>
        <v>0</v>
      </c>
      <c r="AZ95" s="82"/>
      <c r="BA95" s="82" t="str">
        <f t="shared" si="21"/>
        <v>PL10</v>
      </c>
      <c r="BB95" s="53" t="str">
        <f t="shared" si="22"/>
        <v/>
      </c>
      <c r="BC95" s="53" t="s">
        <v>154</v>
      </c>
      <c r="BD95" s="53" t="s">
        <v>1005</v>
      </c>
      <c r="BE95" s="53" t="s">
        <v>1006</v>
      </c>
      <c r="BF95" s="53"/>
      <c r="BG95" s="53"/>
      <c r="BH95" s="83"/>
      <c r="BI95" s="53"/>
      <c r="BJ95" s="53"/>
    </row>
    <row r="96" spans="3:62" ht="14.25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0"/>
        <v>0</v>
      </c>
      <c r="M96" s="26">
        <f t="shared" si="17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67">
        <f>SUMIFS([1]Up!$J:$J,[1]Up!$D:$D,D96)</f>
        <v>0</v>
      </c>
      <c r="AZ96" s="82"/>
      <c r="BA96" s="82" t="str">
        <f t="shared" si="21"/>
        <v>PL10</v>
      </c>
      <c r="BB96" s="53" t="str">
        <f t="shared" si="22"/>
        <v/>
      </c>
      <c r="BC96" s="53" t="s">
        <v>154</v>
      </c>
      <c r="BD96" s="53" t="s">
        <v>1005</v>
      </c>
      <c r="BE96" s="53" t="s">
        <v>1006</v>
      </c>
      <c r="BF96" s="53"/>
      <c r="BG96" s="53"/>
      <c r="BH96" s="83"/>
      <c r="BI96" s="53"/>
      <c r="BJ96" s="53"/>
    </row>
    <row r="97" spans="3:62" ht="14.25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0"/>
        <v>0</v>
      </c>
      <c r="M97" s="26">
        <f t="shared" si="17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67">
        <f>SUMIFS([1]Up!$J:$J,[1]Up!$D:$D,D97)</f>
        <v>0</v>
      </c>
      <c r="AZ97" s="82"/>
      <c r="BA97" s="82" t="str">
        <f t="shared" si="21"/>
        <v>PL10</v>
      </c>
      <c r="BB97" s="53" t="str">
        <f t="shared" si="22"/>
        <v/>
      </c>
      <c r="BC97" s="53" t="s">
        <v>154</v>
      </c>
      <c r="BD97" s="53" t="s">
        <v>1005</v>
      </c>
      <c r="BE97" s="53" t="s">
        <v>1006</v>
      </c>
      <c r="BF97" s="53"/>
      <c r="BG97" s="53"/>
      <c r="BH97" s="83"/>
      <c r="BI97" s="53"/>
      <c r="BJ97" s="53"/>
    </row>
    <row r="98" spans="3:62" ht="14.25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0"/>
        <v>0</v>
      </c>
      <c r="M98" s="26">
        <f t="shared" si="17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67">
        <f>SUMIFS([1]Up!$J:$J,[1]Up!$D:$D,D98)</f>
        <v>0</v>
      </c>
      <c r="AZ98" s="82"/>
      <c r="BA98" s="82" t="str">
        <f t="shared" si="21"/>
        <v>PL12</v>
      </c>
      <c r="BB98" s="53" t="str">
        <f t="shared" si="22"/>
        <v/>
      </c>
      <c r="BC98" s="53" t="s">
        <v>148</v>
      </c>
      <c r="BD98" s="53" t="s">
        <v>1021</v>
      </c>
      <c r="BE98" s="53" t="s">
        <v>1022</v>
      </c>
      <c r="BF98" s="53" t="s">
        <v>2100</v>
      </c>
      <c r="BG98" s="53">
        <v>5</v>
      </c>
      <c r="BH98" s="83">
        <v>46303</v>
      </c>
      <c r="BI98" s="53"/>
      <c r="BJ98" s="53"/>
    </row>
    <row r="99" spans="3:62" ht="14.25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0"/>
        <v>0</v>
      </c>
      <c r="M99" s="26">
        <f t="shared" si="17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67">
        <f>SUMIFS([1]Up!$J:$J,[1]Up!$D:$D,D99)</f>
        <v>0</v>
      </c>
      <c r="AZ99" s="82"/>
      <c r="BA99" s="82" t="str">
        <f t="shared" si="21"/>
        <v>PL15</v>
      </c>
      <c r="BB99" s="53" t="str">
        <f t="shared" si="22"/>
        <v/>
      </c>
      <c r="BC99" s="53" t="s">
        <v>148</v>
      </c>
      <c r="BD99" s="53" t="s">
        <v>1094</v>
      </c>
      <c r="BE99" s="53" t="s">
        <v>1095</v>
      </c>
      <c r="BF99" s="53" t="s">
        <v>2101</v>
      </c>
      <c r="BG99" s="53">
        <v>1</v>
      </c>
      <c r="BH99" s="83">
        <v>46120</v>
      </c>
      <c r="BI99" s="53"/>
      <c r="BJ99" s="53"/>
    </row>
    <row r="100" spans="3:62" ht="14.25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0"/>
        <v>0</v>
      </c>
      <c r="M100" s="26">
        <f t="shared" si="17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67">
        <f>SUMIFS([1]Up!$J:$J,[1]Up!$D:$D,D100)</f>
        <v>0</v>
      </c>
      <c r="AZ100" s="82"/>
      <c r="BA100" s="82" t="str">
        <f t="shared" si="21"/>
        <v>PL15</v>
      </c>
      <c r="BB100" s="53" t="str">
        <f t="shared" si="22"/>
        <v/>
      </c>
      <c r="BC100" s="53" t="s">
        <v>148</v>
      </c>
      <c r="BD100" s="53" t="s">
        <v>1094</v>
      </c>
      <c r="BE100" s="53" t="s">
        <v>1095</v>
      </c>
      <c r="BF100" s="53" t="s">
        <v>2101</v>
      </c>
      <c r="BG100" s="53">
        <v>1</v>
      </c>
      <c r="BH100" s="83">
        <v>46120</v>
      </c>
      <c r="BI100" s="53"/>
      <c r="BJ100" s="53"/>
    </row>
    <row r="101" spans="3:62" ht="14.25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20"/>
        <v>0</v>
      </c>
      <c r="M101" s="26">
        <f t="shared" si="17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67">
        <f>SUMIFS([1]Up!$J:$J,[1]Up!$D:$D,D101)</f>
        <v>0</v>
      </c>
      <c r="AZ101" s="82"/>
      <c r="BA101" s="82" t="str">
        <f t="shared" si="21"/>
        <v/>
      </c>
      <c r="BB101" s="53" t="str">
        <f t="shared" si="22"/>
        <v/>
      </c>
      <c r="BC101" s="53" t="s">
        <v>148</v>
      </c>
      <c r="BD101" s="53" t="s">
        <v>1079</v>
      </c>
      <c r="BE101" s="53" t="s">
        <v>1076</v>
      </c>
      <c r="BF101" s="53" t="s">
        <v>2105</v>
      </c>
      <c r="BG101" s="53">
        <v>5</v>
      </c>
      <c r="BH101" s="83">
        <v>46120</v>
      </c>
      <c r="BI101" s="53"/>
      <c r="BJ101" s="53"/>
    </row>
    <row r="102" spans="3:62" ht="14.25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0"/>
        <v>0</v>
      </c>
      <c r="M102" s="26">
        <f t="shared" si="17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67">
        <f>SUMIFS([1]Up!$J:$J,[1]Up!$D:$D,D102)</f>
        <v>0</v>
      </c>
      <c r="AZ102" s="82"/>
      <c r="BA102" s="82" t="str">
        <f t="shared" si="21"/>
        <v>PL10</v>
      </c>
      <c r="BB102" s="53" t="str">
        <f t="shared" si="22"/>
        <v/>
      </c>
      <c r="BC102" s="53" t="s">
        <v>154</v>
      </c>
      <c r="BD102" s="53" t="s">
        <v>1005</v>
      </c>
      <c r="BE102" s="53" t="s">
        <v>1006</v>
      </c>
      <c r="BF102" s="53"/>
      <c r="BG102" s="53"/>
      <c r="BH102" s="83"/>
      <c r="BI102" s="53"/>
      <c r="BJ102" s="53"/>
    </row>
    <row r="103" spans="3:62" ht="14.25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0"/>
        <v>0</v>
      </c>
      <c r="M103" s="26">
        <f t="shared" si="17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67">
        <f>SUMIFS([1]Up!$J:$J,[1]Up!$D:$D,D103)</f>
        <v>0</v>
      </c>
      <c r="AZ103" s="82"/>
      <c r="BA103" s="82" t="str">
        <f t="shared" si="21"/>
        <v>PL10</v>
      </c>
      <c r="BB103" s="53" t="str">
        <f t="shared" si="22"/>
        <v/>
      </c>
      <c r="BC103" s="53" t="s">
        <v>154</v>
      </c>
      <c r="BD103" s="53" t="s">
        <v>1005</v>
      </c>
      <c r="BE103" s="53" t="s">
        <v>1006</v>
      </c>
      <c r="BF103" s="53"/>
      <c r="BG103" s="53"/>
      <c r="BH103" s="83"/>
      <c r="BI103" s="53"/>
      <c r="BJ103" s="53"/>
    </row>
    <row r="104" spans="3:62" ht="14.25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0"/>
        <v>0</v>
      </c>
      <c r="M104" s="26">
        <f t="shared" si="1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67">
        <f>SUMIFS([1]Up!$J:$J,[1]Up!$D:$D,D104)</f>
        <v>0</v>
      </c>
      <c r="AZ104" s="82"/>
      <c r="BA104" s="82" t="str">
        <f t="shared" si="21"/>
        <v>PL10</v>
      </c>
      <c r="BB104" s="53" t="str">
        <f t="shared" si="22"/>
        <v/>
      </c>
      <c r="BC104" s="53" t="s">
        <v>154</v>
      </c>
      <c r="BD104" s="53" t="s">
        <v>1005</v>
      </c>
      <c r="BE104" s="53" t="s">
        <v>1006</v>
      </c>
      <c r="BF104" s="53"/>
      <c r="BG104" s="53"/>
      <c r="BH104" s="83"/>
      <c r="BI104" s="53"/>
      <c r="BJ104" s="53"/>
    </row>
    <row r="105" spans="3:62" ht="14.25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0"/>
        <v>0</v>
      </c>
      <c r="M105" s="26">
        <f t="shared" si="17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67">
        <f>SUMIFS([1]Up!$J:$J,[1]Up!$D:$D,D105)</f>
        <v>0</v>
      </c>
      <c r="AZ105" s="82"/>
      <c r="BA105" s="82" t="str">
        <f t="shared" si="21"/>
        <v>PL12</v>
      </c>
      <c r="BB105" s="53" t="str">
        <f t="shared" si="22"/>
        <v/>
      </c>
      <c r="BC105" s="53" t="s">
        <v>154</v>
      </c>
      <c r="BD105" s="53" t="s">
        <v>1021</v>
      </c>
      <c r="BE105" s="53" t="s">
        <v>1022</v>
      </c>
      <c r="BF105" s="53" t="s">
        <v>2100</v>
      </c>
      <c r="BG105" s="53">
        <v>2</v>
      </c>
      <c r="BH105" s="83">
        <v>46303</v>
      </c>
      <c r="BI105" s="53"/>
      <c r="BJ105" s="53"/>
    </row>
    <row r="106" spans="3:62" ht="14.25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0"/>
        <v>0</v>
      </c>
      <c r="M106" s="26">
        <f t="shared" si="17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67">
        <f>SUMIFS([1]Up!$J:$J,[1]Up!$D:$D,D106)</f>
        <v>0</v>
      </c>
      <c r="AZ106" s="82"/>
      <c r="BA106" s="82" t="str">
        <f t="shared" si="21"/>
        <v>PL15</v>
      </c>
      <c r="BB106" s="53" t="str">
        <f t="shared" si="22"/>
        <v/>
      </c>
      <c r="BC106" s="53" t="s">
        <v>148</v>
      </c>
      <c r="BD106" s="53" t="s">
        <v>1094</v>
      </c>
      <c r="BE106" s="53" t="s">
        <v>1095</v>
      </c>
      <c r="BF106" s="53" t="s">
        <v>2101</v>
      </c>
      <c r="BG106" s="53">
        <v>2</v>
      </c>
      <c r="BH106" s="83">
        <v>46120</v>
      </c>
      <c r="BI106" s="53"/>
      <c r="BJ106" s="53"/>
    </row>
    <row r="107" spans="3:62" ht="14.25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0"/>
        <v>0</v>
      </c>
      <c r="M107" s="26">
        <f t="shared" si="17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67">
        <f>SUMIFS([1]Up!$J:$J,[1]Up!$D:$D,D107)</f>
        <v>0</v>
      </c>
      <c r="AZ107" s="82"/>
      <c r="BA107" s="82" t="str">
        <f t="shared" si="21"/>
        <v>PL10</v>
      </c>
      <c r="BB107" s="53" t="str">
        <f t="shared" si="22"/>
        <v/>
      </c>
      <c r="BC107" s="53" t="s">
        <v>148</v>
      </c>
      <c r="BD107" s="53" t="s">
        <v>1005</v>
      </c>
      <c r="BE107" s="53" t="s">
        <v>1006</v>
      </c>
      <c r="BF107" s="53"/>
      <c r="BG107" s="53"/>
      <c r="BH107" s="83"/>
      <c r="BI107" s="53"/>
      <c r="BJ107" s="53"/>
    </row>
    <row r="108" spans="3:62" ht="14.25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0"/>
        <v>0</v>
      </c>
      <c r="M108" s="26">
        <f t="shared" si="17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67">
        <f>SUMIFS([1]Up!$J:$J,[1]Up!$D:$D,D108)</f>
        <v>0</v>
      </c>
      <c r="AZ108" s="82"/>
      <c r="BA108" s="82" t="str">
        <f t="shared" si="21"/>
        <v>PL12</v>
      </c>
      <c r="BB108" s="53" t="str">
        <f t="shared" si="22"/>
        <v/>
      </c>
      <c r="BC108" s="53" t="s">
        <v>148</v>
      </c>
      <c r="BD108" s="53" t="s">
        <v>1021</v>
      </c>
      <c r="BE108" s="53" t="s">
        <v>1022</v>
      </c>
      <c r="BF108" s="53" t="s">
        <v>2100</v>
      </c>
      <c r="BG108" s="53">
        <v>2</v>
      </c>
      <c r="BH108" s="83">
        <v>46303</v>
      </c>
      <c r="BI108" s="53"/>
      <c r="BJ108" s="53"/>
    </row>
    <row r="109" spans="3:62" ht="14.25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0"/>
        <v>0</v>
      </c>
      <c r="M109" s="26">
        <f t="shared" si="17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67">
        <f>SUMIFS([1]Up!$J:$J,[1]Up!$D:$D,D109)</f>
        <v>0</v>
      </c>
      <c r="AZ109" s="82"/>
      <c r="BA109" s="82" t="str">
        <f t="shared" si="21"/>
        <v>PL16</v>
      </c>
      <c r="BB109" s="53" t="str">
        <f t="shared" si="22"/>
        <v/>
      </c>
      <c r="BC109" s="53" t="s">
        <v>148</v>
      </c>
      <c r="BD109" s="53" t="s">
        <v>988</v>
      </c>
      <c r="BE109" s="53" t="s">
        <v>989</v>
      </c>
      <c r="BF109" s="53" t="s">
        <v>2104</v>
      </c>
      <c r="BG109" s="53">
        <v>6</v>
      </c>
      <c r="BH109" s="83">
        <v>46120</v>
      </c>
      <c r="BI109" s="53"/>
      <c r="BJ109" s="53"/>
    </row>
    <row r="110" spans="3:62" ht="14.25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0"/>
        <v>0</v>
      </c>
      <c r="M110" s="26">
        <f t="shared" si="17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67">
        <f>SUMIFS([1]Up!$J:$J,[1]Up!$D:$D,D110)</f>
        <v>0</v>
      </c>
      <c r="AZ110" s="82"/>
      <c r="BA110" s="82" t="str">
        <f t="shared" si="21"/>
        <v>PL16</v>
      </c>
      <c r="BB110" s="53" t="str">
        <f t="shared" si="22"/>
        <v/>
      </c>
      <c r="BC110" s="53" t="s">
        <v>148</v>
      </c>
      <c r="BD110" s="53" t="s">
        <v>988</v>
      </c>
      <c r="BE110" s="53" t="s">
        <v>989</v>
      </c>
      <c r="BF110" s="53" t="s">
        <v>2104</v>
      </c>
      <c r="BG110" s="53">
        <v>2</v>
      </c>
      <c r="BH110" s="83">
        <v>46120</v>
      </c>
      <c r="BI110" s="53"/>
      <c r="BJ110" s="53"/>
    </row>
    <row r="111" spans="3:62" ht="14.25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0"/>
        <v>0</v>
      </c>
      <c r="M111" s="26">
        <f t="shared" si="17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67">
        <f>SUMIFS([1]Up!$J:$J,[1]Up!$D:$D,D111)</f>
        <v>0</v>
      </c>
      <c r="AZ111" s="82"/>
      <c r="BA111" s="82" t="str">
        <f t="shared" si="21"/>
        <v>PL10</v>
      </c>
      <c r="BB111" s="53" t="str">
        <f t="shared" si="22"/>
        <v/>
      </c>
      <c r="BC111" s="53" t="s">
        <v>154</v>
      </c>
      <c r="BD111" s="53" t="s">
        <v>1005</v>
      </c>
      <c r="BE111" s="53" t="s">
        <v>1006</v>
      </c>
      <c r="BF111" s="53"/>
      <c r="BG111" s="53"/>
      <c r="BH111" s="83"/>
      <c r="BI111" s="53"/>
      <c r="BJ111" s="53"/>
    </row>
    <row r="112" spans="3:62" ht="14.25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0"/>
        <v>0</v>
      </c>
      <c r="M112" s="26">
        <f t="shared" si="17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67">
        <f>SUMIFS([1]Up!$J:$J,[1]Up!$D:$D,D112)</f>
        <v>0</v>
      </c>
      <c r="AZ112" s="82"/>
      <c r="BA112" s="82" t="str">
        <f t="shared" si="21"/>
        <v>PL12</v>
      </c>
      <c r="BB112" s="53" t="str">
        <f t="shared" si="22"/>
        <v/>
      </c>
      <c r="BC112" s="53" t="s">
        <v>154</v>
      </c>
      <c r="BD112" s="53" t="s">
        <v>1021</v>
      </c>
      <c r="BE112" s="53" t="s">
        <v>1022</v>
      </c>
      <c r="BF112" s="53" t="s">
        <v>57</v>
      </c>
      <c r="BG112" s="53">
        <v>1</v>
      </c>
      <c r="BH112" s="83"/>
      <c r="BI112" s="53"/>
      <c r="BJ112" s="53"/>
    </row>
    <row r="113" spans="3:62" ht="14.25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0"/>
        <v>0</v>
      </c>
      <c r="M113" s="26">
        <f t="shared" si="17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67">
        <f>SUMIFS([1]Up!$J:$J,[1]Up!$D:$D,D113)</f>
        <v>0</v>
      </c>
      <c r="AZ113" s="82"/>
      <c r="BA113" s="82" t="str">
        <f t="shared" si="21"/>
        <v>PL10</v>
      </c>
      <c r="BB113" s="53" t="str">
        <f t="shared" si="22"/>
        <v/>
      </c>
      <c r="BC113" s="53" t="s">
        <v>154</v>
      </c>
      <c r="BD113" s="53" t="s">
        <v>1005</v>
      </c>
      <c r="BE113" s="53" t="s">
        <v>1006</v>
      </c>
      <c r="BF113" s="53"/>
      <c r="BG113" s="53"/>
      <c r="BH113" s="83"/>
      <c r="BI113" s="53"/>
      <c r="BJ113" s="53"/>
    </row>
    <row r="114" spans="3:62" ht="14.25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0"/>
        <v>0</v>
      </c>
      <c r="M114" s="26">
        <f t="shared" si="17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67">
        <f>SUMIFS([1]Up!$J:$J,[1]Up!$D:$D,D114)</f>
        <v>0</v>
      </c>
      <c r="AZ114" s="82"/>
      <c r="BA114" s="82" t="str">
        <f t="shared" si="21"/>
        <v>PL10</v>
      </c>
      <c r="BB114" s="53" t="str">
        <f t="shared" si="22"/>
        <v/>
      </c>
      <c r="BC114" s="53" t="s">
        <v>148</v>
      </c>
      <c r="BD114" s="53" t="s">
        <v>1005</v>
      </c>
      <c r="BE114" s="53" t="s">
        <v>1006</v>
      </c>
      <c r="BF114" s="53"/>
      <c r="BG114" s="53"/>
      <c r="BH114" s="83"/>
      <c r="BI114" s="53"/>
      <c r="BJ114" s="53"/>
    </row>
    <row r="115" spans="3:62" ht="14.25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0"/>
        <v>0</v>
      </c>
      <c r="M115" s="26">
        <f t="shared" si="17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67">
        <f>SUMIFS([1]Up!$J:$J,[1]Up!$D:$D,D115)</f>
        <v>0</v>
      </c>
      <c r="AZ115" s="82"/>
      <c r="BA115" s="82" t="str">
        <f t="shared" si="21"/>
        <v>PL12</v>
      </c>
      <c r="BB115" s="53" t="str">
        <f t="shared" si="22"/>
        <v/>
      </c>
      <c r="BC115" s="53" t="s">
        <v>148</v>
      </c>
      <c r="BD115" s="53" t="s">
        <v>1021</v>
      </c>
      <c r="BE115" s="53" t="s">
        <v>1022</v>
      </c>
      <c r="BF115" s="53" t="s">
        <v>2100</v>
      </c>
      <c r="BG115" s="53">
        <v>1</v>
      </c>
      <c r="BH115" s="83">
        <v>46303</v>
      </c>
      <c r="BI115" s="53"/>
      <c r="BJ115" s="53"/>
    </row>
    <row r="116" spans="3:62" ht="14.25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0"/>
        <v>0</v>
      </c>
      <c r="M116" s="26">
        <f t="shared" si="17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67">
        <f>SUMIFS([1]Up!$J:$J,[1]Up!$D:$D,D116)</f>
        <v>0</v>
      </c>
      <c r="AZ116" s="82"/>
      <c r="BA116" s="82" t="str">
        <f t="shared" si="21"/>
        <v>PL10</v>
      </c>
      <c r="BB116" s="53" t="str">
        <f t="shared" si="22"/>
        <v/>
      </c>
      <c r="BC116" s="53" t="s">
        <v>154</v>
      </c>
      <c r="BD116" s="53" t="s">
        <v>1005</v>
      </c>
      <c r="BE116" s="53" t="s">
        <v>1006</v>
      </c>
      <c r="BF116" s="53"/>
      <c r="BG116" s="53"/>
      <c r="BH116" s="83"/>
      <c r="BI116" s="53"/>
      <c r="BJ116" s="53"/>
    </row>
    <row r="117" spans="3:62" ht="14.25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0"/>
        <v>0</v>
      </c>
      <c r="M117" s="26">
        <f t="shared" si="17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67">
        <f>SUMIFS([1]Up!$J:$J,[1]Up!$D:$D,D117)</f>
        <v>0</v>
      </c>
      <c r="AZ117" s="82"/>
      <c r="BA117" s="82" t="str">
        <f t="shared" si="21"/>
        <v>PL10</v>
      </c>
      <c r="BB117" s="53" t="str">
        <f t="shared" si="22"/>
        <v/>
      </c>
      <c r="BC117" s="53" t="s">
        <v>154</v>
      </c>
      <c r="BD117" s="53" t="s">
        <v>1005</v>
      </c>
      <c r="BE117" s="53" t="s">
        <v>1006</v>
      </c>
      <c r="BF117" s="53"/>
      <c r="BG117" s="53"/>
      <c r="BH117" s="83"/>
      <c r="BI117" s="53"/>
      <c r="BJ117" s="53"/>
    </row>
    <row r="118" spans="3:62" ht="14.25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0"/>
        <v>0</v>
      </c>
      <c r="M118" s="26">
        <f t="shared" si="17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67">
        <f>SUMIFS([1]Up!$J:$J,[1]Up!$D:$D,D118)</f>
        <v>0</v>
      </c>
      <c r="AZ118" s="82"/>
      <c r="BA118" s="82" t="str">
        <f t="shared" si="21"/>
        <v>PL12</v>
      </c>
      <c r="BB118" s="53" t="str">
        <f t="shared" si="22"/>
        <v/>
      </c>
      <c r="BC118" s="53" t="s">
        <v>154</v>
      </c>
      <c r="BD118" s="53" t="s">
        <v>1021</v>
      </c>
      <c r="BE118" s="53" t="s">
        <v>1022</v>
      </c>
      <c r="BF118" s="53" t="s">
        <v>2100</v>
      </c>
      <c r="BG118" s="53">
        <v>1</v>
      </c>
      <c r="BH118" s="83">
        <v>46303</v>
      </c>
      <c r="BI118" s="53"/>
      <c r="BJ118" s="53"/>
    </row>
    <row r="119" spans="3:62" ht="14.25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0"/>
        <v>0</v>
      </c>
      <c r="M119" s="26">
        <f t="shared" si="17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67">
        <f>SUMIFS([1]Up!$J:$J,[1]Up!$D:$D,D119)</f>
        <v>0</v>
      </c>
      <c r="AZ119" s="82"/>
      <c r="BA119" s="82" t="str">
        <f t="shared" si="21"/>
        <v>PL10</v>
      </c>
      <c r="BB119" s="53" t="str">
        <f t="shared" si="22"/>
        <v/>
      </c>
      <c r="BC119" s="53" t="s">
        <v>148</v>
      </c>
      <c r="BD119" s="53" t="s">
        <v>1005</v>
      </c>
      <c r="BE119" s="53" t="s">
        <v>1006</v>
      </c>
      <c r="BF119" s="53"/>
      <c r="BG119" s="53"/>
      <c r="BH119" s="83"/>
      <c r="BI119" s="53"/>
      <c r="BJ119" s="53"/>
    </row>
    <row r="120" spans="3:62" ht="14.25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0"/>
        <v>0</v>
      </c>
      <c r="M120" s="26">
        <f t="shared" si="17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67">
        <f>SUMIFS([1]Up!$J:$J,[1]Up!$D:$D,D120)</f>
        <v>0</v>
      </c>
      <c r="AZ120" s="82"/>
      <c r="BA120" s="82" t="str">
        <f t="shared" si="21"/>
        <v>PL12</v>
      </c>
      <c r="BB120" s="53" t="str">
        <f t="shared" si="22"/>
        <v/>
      </c>
      <c r="BC120" s="53" t="s">
        <v>148</v>
      </c>
      <c r="BD120" s="53" t="s">
        <v>1021</v>
      </c>
      <c r="BE120" s="53" t="s">
        <v>1022</v>
      </c>
      <c r="BF120" s="53" t="s">
        <v>2100</v>
      </c>
      <c r="BG120" s="53">
        <v>1</v>
      </c>
      <c r="BH120" s="83">
        <v>46303</v>
      </c>
      <c r="BI120" s="53"/>
      <c r="BJ120" s="53"/>
    </row>
    <row r="121" spans="3:62" ht="14.25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0"/>
        <v>0</v>
      </c>
      <c r="M121" s="26">
        <f t="shared" si="17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67">
        <f>SUMIFS([1]Up!$J:$J,[1]Up!$D:$D,D121)</f>
        <v>0</v>
      </c>
      <c r="AZ121" s="82"/>
      <c r="BA121" s="82" t="str">
        <f t="shared" si="21"/>
        <v>PL20</v>
      </c>
      <c r="BB121" s="53" t="str">
        <f t="shared" si="22"/>
        <v/>
      </c>
      <c r="BC121" s="53" t="s">
        <v>148</v>
      </c>
      <c r="BD121" s="53" t="s">
        <v>1100</v>
      </c>
      <c r="BE121" s="53" t="s">
        <v>1101</v>
      </c>
      <c r="BF121" s="53" t="s">
        <v>2102</v>
      </c>
      <c r="BG121" s="53">
        <v>2</v>
      </c>
      <c r="BH121" s="83">
        <v>46303</v>
      </c>
      <c r="BI121" s="53"/>
      <c r="BJ121" s="53"/>
    </row>
    <row r="122" spans="3:62" ht="14.25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0"/>
        <v>0</v>
      </c>
      <c r="M122" s="26">
        <f t="shared" si="17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67">
        <f>SUMIFS([1]Up!$J:$J,[1]Up!$D:$D,D122)</f>
        <v>0</v>
      </c>
      <c r="AZ122" s="82"/>
      <c r="BA122" s="82" t="str">
        <f t="shared" si="21"/>
        <v>PL15</v>
      </c>
      <c r="BB122" s="53" t="str">
        <f t="shared" si="22"/>
        <v/>
      </c>
      <c r="BC122" s="53" t="s">
        <v>148</v>
      </c>
      <c r="BD122" s="53" t="s">
        <v>1094</v>
      </c>
      <c r="BE122" s="53" t="s">
        <v>1095</v>
      </c>
      <c r="BF122" s="53" t="s">
        <v>2101</v>
      </c>
      <c r="BG122" s="53">
        <v>2</v>
      </c>
      <c r="BH122" s="83">
        <v>46120</v>
      </c>
      <c r="BI122" s="53"/>
      <c r="BJ122" s="53"/>
    </row>
    <row r="123" spans="3:62" ht="14.25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0"/>
        <v>0</v>
      </c>
      <c r="M123" s="26">
        <f t="shared" si="17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67">
        <f>SUMIFS([1]Up!$J:$J,[1]Up!$D:$D,D123)</f>
        <v>0</v>
      </c>
      <c r="AZ123" s="82"/>
      <c r="BA123" s="82" t="str">
        <f t="shared" si="21"/>
        <v>PL10</v>
      </c>
      <c r="BB123" s="53" t="str">
        <f t="shared" si="22"/>
        <v/>
      </c>
      <c r="BC123" s="53" t="s">
        <v>154</v>
      </c>
      <c r="BD123" s="53" t="s">
        <v>1005</v>
      </c>
      <c r="BE123" s="53" t="s">
        <v>1006</v>
      </c>
      <c r="BF123" s="53"/>
      <c r="BG123" s="53"/>
      <c r="BH123" s="83"/>
      <c r="BI123" s="53"/>
      <c r="BJ123" s="53"/>
    </row>
    <row r="124" spans="3:62" ht="14.25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0"/>
        <v>0</v>
      </c>
      <c r="M124" s="26">
        <f t="shared" si="17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67">
        <f>SUMIFS([1]Up!$J:$J,[1]Up!$D:$D,D124)</f>
        <v>0</v>
      </c>
      <c r="AZ124" s="82"/>
      <c r="BA124" s="82" t="str">
        <f t="shared" si="21"/>
        <v>PL10</v>
      </c>
      <c r="BB124" s="53" t="str">
        <f t="shared" si="22"/>
        <v/>
      </c>
      <c r="BC124" s="53" t="s">
        <v>154</v>
      </c>
      <c r="BD124" s="53" t="s">
        <v>1005</v>
      </c>
      <c r="BE124" s="53" t="s">
        <v>1006</v>
      </c>
      <c r="BF124" s="53"/>
      <c r="BG124" s="53"/>
      <c r="BH124" s="83"/>
      <c r="BI124" s="53"/>
      <c r="BJ124" s="53"/>
    </row>
    <row r="125" spans="3:62" ht="14.25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0"/>
        <v>0</v>
      </c>
      <c r="M125" s="26">
        <f t="shared" si="17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67">
        <f>SUMIFS([1]Up!$J:$J,[1]Up!$D:$D,D125)</f>
        <v>0</v>
      </c>
      <c r="AZ125" s="82"/>
      <c r="BA125" s="82" t="str">
        <f t="shared" si="21"/>
        <v>PL12</v>
      </c>
      <c r="BB125" s="53" t="str">
        <f t="shared" si="22"/>
        <v/>
      </c>
      <c r="BC125" s="53" t="s">
        <v>154</v>
      </c>
      <c r="BD125" s="53" t="s">
        <v>1021</v>
      </c>
      <c r="BE125" s="53" t="s">
        <v>1022</v>
      </c>
      <c r="BF125" s="53" t="s">
        <v>57</v>
      </c>
      <c r="BG125" s="53">
        <v>1</v>
      </c>
      <c r="BH125" s="83"/>
      <c r="BI125" s="53"/>
      <c r="BJ125" s="53"/>
    </row>
    <row r="126" spans="3:62" ht="14.25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0"/>
        <v>0</v>
      </c>
      <c r="M126" s="26">
        <f t="shared" si="17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67">
        <f>SUMIFS([1]Up!$J:$J,[1]Up!$D:$D,D126)</f>
        <v>0</v>
      </c>
      <c r="AZ126" s="82"/>
      <c r="BA126" s="82" t="str">
        <f t="shared" si="21"/>
        <v>PL10</v>
      </c>
      <c r="BB126" s="53" t="str">
        <f t="shared" si="22"/>
        <v/>
      </c>
      <c r="BC126" s="53" t="s">
        <v>148</v>
      </c>
      <c r="BD126" s="53" t="s">
        <v>1005</v>
      </c>
      <c r="BE126" s="53" t="s">
        <v>1006</v>
      </c>
      <c r="BF126" s="53"/>
      <c r="BG126" s="53"/>
      <c r="BH126" s="83"/>
      <c r="BI126" s="53"/>
      <c r="BJ126" s="53"/>
    </row>
    <row r="127" spans="3:62" ht="14.25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0"/>
        <v>0</v>
      </c>
      <c r="M127" s="26">
        <f t="shared" si="17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67">
        <f>SUMIFS([1]Up!$J:$J,[1]Up!$D:$D,D127)</f>
        <v>0</v>
      </c>
      <c r="AZ127" s="82"/>
      <c r="BA127" s="82" t="str">
        <f t="shared" si="21"/>
        <v>PL12</v>
      </c>
      <c r="BB127" s="53" t="str">
        <f t="shared" si="22"/>
        <v/>
      </c>
      <c r="BC127" s="53" t="s">
        <v>148</v>
      </c>
      <c r="BD127" s="53" t="s">
        <v>1021</v>
      </c>
      <c r="BE127" s="53" t="s">
        <v>1022</v>
      </c>
      <c r="BF127" s="53" t="s">
        <v>2100</v>
      </c>
      <c r="BG127" s="53">
        <v>1</v>
      </c>
      <c r="BH127" s="83">
        <v>46303</v>
      </c>
      <c r="BI127" s="53"/>
      <c r="BJ127" s="53"/>
    </row>
    <row r="128" spans="3:62" ht="14.25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20"/>
        <v>0</v>
      </c>
      <c r="M128" s="26">
        <f t="shared" si="17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67">
        <f>SUMIFS([1]Up!$J:$J,[1]Up!$D:$D,D128)</f>
        <v>0</v>
      </c>
      <c r="AZ128" s="82"/>
      <c r="BA128" s="82" t="str">
        <f t="shared" si="21"/>
        <v/>
      </c>
      <c r="BB128" s="53" t="str">
        <f t="shared" si="22"/>
        <v/>
      </c>
      <c r="BC128" s="53" t="s">
        <v>148</v>
      </c>
      <c r="BD128" s="53" t="s">
        <v>1079</v>
      </c>
      <c r="BE128" s="53" t="s">
        <v>1076</v>
      </c>
      <c r="BF128" s="53" t="s">
        <v>2105</v>
      </c>
      <c r="BG128" s="53">
        <v>2</v>
      </c>
      <c r="BH128" s="83">
        <v>46120</v>
      </c>
      <c r="BI128" s="53"/>
      <c r="BJ128" s="53"/>
    </row>
    <row r="129" spans="3:62" ht="14.25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0"/>
        <v>0</v>
      </c>
      <c r="M129" s="26">
        <f t="shared" si="17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67">
        <f>SUMIFS([1]Up!$J:$J,[1]Up!$D:$D,D129)</f>
        <v>0</v>
      </c>
      <c r="AZ129" s="82"/>
      <c r="BA129" s="82" t="str">
        <f t="shared" si="21"/>
        <v>PL10</v>
      </c>
      <c r="BB129" s="53" t="str">
        <f t="shared" si="22"/>
        <v/>
      </c>
      <c r="BC129" s="53" t="s">
        <v>154</v>
      </c>
      <c r="BD129" s="53" t="s">
        <v>1005</v>
      </c>
      <c r="BE129" s="53" t="s">
        <v>1006</v>
      </c>
      <c r="BF129" s="53"/>
      <c r="BG129" s="53"/>
      <c r="BH129" s="83"/>
      <c r="BI129" s="53"/>
      <c r="BJ129" s="53"/>
    </row>
    <row r="130" spans="3:62" ht="14.25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0"/>
        <v>0</v>
      </c>
      <c r="M130" s="26">
        <f t="shared" si="17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67">
        <f>SUMIFS([1]Up!$J:$J,[1]Up!$D:$D,D130)</f>
        <v>0</v>
      </c>
      <c r="AZ130" s="82"/>
      <c r="BA130" s="82" t="str">
        <f t="shared" si="21"/>
        <v>PL20</v>
      </c>
      <c r="BB130" s="53" t="str">
        <f t="shared" si="22"/>
        <v/>
      </c>
      <c r="BC130" s="53" t="s">
        <v>148</v>
      </c>
      <c r="BD130" s="53" t="s">
        <v>1100</v>
      </c>
      <c r="BE130" s="53" t="s">
        <v>1101</v>
      </c>
      <c r="BF130" s="53" t="s">
        <v>2102</v>
      </c>
      <c r="BG130" s="53">
        <v>2</v>
      </c>
      <c r="BH130" s="83">
        <v>46303</v>
      </c>
      <c r="BI130" s="53"/>
      <c r="BJ130" s="53"/>
    </row>
    <row r="131" spans="3:62" ht="14.25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0"/>
        <v>0</v>
      </c>
      <c r="M131" s="26">
        <f t="shared" si="17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67">
        <f>SUMIFS([1]Up!$J:$J,[1]Up!$D:$D,D131)</f>
        <v>0</v>
      </c>
      <c r="AZ131" s="82"/>
      <c r="BA131" s="82" t="str">
        <f t="shared" si="21"/>
        <v/>
      </c>
      <c r="BB131" s="53" t="str">
        <f t="shared" si="22"/>
        <v/>
      </c>
      <c r="BC131" s="53" t="s">
        <v>148</v>
      </c>
      <c r="BD131" s="53" t="s">
        <v>1100</v>
      </c>
      <c r="BE131" s="53" t="s">
        <v>1101</v>
      </c>
      <c r="BF131" s="53"/>
      <c r="BG131" s="53"/>
      <c r="BH131" s="83"/>
      <c r="BI131" s="53"/>
      <c r="BJ131" s="53"/>
    </row>
    <row r="132" spans="3:62" ht="14.25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0"/>
        <v>0</v>
      </c>
      <c r="M132" s="26">
        <f t="shared" si="17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67">
        <f>SUMIFS([1]Up!$J:$J,[1]Up!$D:$D,D132)</f>
        <v>0</v>
      </c>
      <c r="AZ132" s="82"/>
      <c r="BA132" s="82" t="str">
        <f t="shared" si="21"/>
        <v>PL30</v>
      </c>
      <c r="BB132" s="53" t="str">
        <f t="shared" si="22"/>
        <v/>
      </c>
      <c r="BC132" s="53" t="s">
        <v>148</v>
      </c>
      <c r="BD132" s="53" t="s">
        <v>1059</v>
      </c>
      <c r="BE132" s="53" t="s">
        <v>1060</v>
      </c>
      <c r="BF132" s="53" t="s">
        <v>2120</v>
      </c>
      <c r="BG132" s="53">
        <v>1</v>
      </c>
      <c r="BH132" s="83">
        <v>46120</v>
      </c>
      <c r="BI132" s="53"/>
      <c r="BJ132" s="53"/>
    </row>
    <row r="133" spans="3:62" ht="14.25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0"/>
        <v>0</v>
      </c>
      <c r="M133" s="26">
        <f t="shared" si="17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67">
        <f>SUMIFS([1]Up!$J:$J,[1]Up!$D:$D,D133)</f>
        <v>0</v>
      </c>
      <c r="AZ133" s="82"/>
      <c r="BA133" s="82" t="str">
        <f t="shared" si="21"/>
        <v>PL15</v>
      </c>
      <c r="BB133" s="53" t="str">
        <f t="shared" si="22"/>
        <v/>
      </c>
      <c r="BC133" s="53" t="s">
        <v>148</v>
      </c>
      <c r="BD133" s="53" t="s">
        <v>1094</v>
      </c>
      <c r="BE133" s="53" t="s">
        <v>1095</v>
      </c>
      <c r="BF133" s="53" t="s">
        <v>2101</v>
      </c>
      <c r="BG133" s="53">
        <v>2</v>
      </c>
      <c r="BH133" s="83">
        <v>46120</v>
      </c>
      <c r="BI133" s="53"/>
      <c r="BJ133" s="53"/>
    </row>
    <row r="134" spans="3:62" ht="14.25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0"/>
        <v>0</v>
      </c>
      <c r="M134" s="26">
        <f t="shared" si="17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67">
        <f>SUMIFS([1]Up!$J:$J,[1]Up!$D:$D,D134)</f>
        <v>0</v>
      </c>
      <c r="AZ134" s="82"/>
      <c r="BA134" s="82" t="str">
        <f t="shared" si="21"/>
        <v>PL10</v>
      </c>
      <c r="BB134" s="53" t="str">
        <f t="shared" si="22"/>
        <v/>
      </c>
      <c r="BC134" s="53" t="s">
        <v>148</v>
      </c>
      <c r="BD134" s="53" t="s">
        <v>1005</v>
      </c>
      <c r="BE134" s="53" t="s">
        <v>1006</v>
      </c>
      <c r="BF134" s="53"/>
      <c r="BG134" s="53"/>
      <c r="BH134" s="83"/>
      <c r="BI134" s="53"/>
      <c r="BJ134" s="53"/>
    </row>
    <row r="135" spans="3:62" ht="14.25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0"/>
        <v>0</v>
      </c>
      <c r="M135" s="26">
        <f t="shared" si="17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67">
        <f>SUMIFS([1]Up!$J:$J,[1]Up!$D:$D,D135)</f>
        <v>0</v>
      </c>
      <c r="AZ135" s="82"/>
      <c r="BA135" s="82" t="str">
        <f t="shared" si="21"/>
        <v>PL16</v>
      </c>
      <c r="BB135" s="53" t="str">
        <f t="shared" si="22"/>
        <v/>
      </c>
      <c r="BC135" s="53" t="s">
        <v>148</v>
      </c>
      <c r="BD135" s="53" t="s">
        <v>988</v>
      </c>
      <c r="BE135" s="53" t="s">
        <v>989</v>
      </c>
      <c r="BF135" s="53" t="s">
        <v>2104</v>
      </c>
      <c r="BG135" s="53">
        <v>4</v>
      </c>
      <c r="BH135" s="83">
        <v>46120</v>
      </c>
      <c r="BI135" s="53"/>
      <c r="BJ135" s="53"/>
    </row>
    <row r="136" spans="3:62" ht="14.25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0"/>
        <v>0</v>
      </c>
      <c r="M136" s="26">
        <f t="shared" si="17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67">
        <f>SUMIFS([1]Up!$J:$J,[1]Up!$D:$D,D136)</f>
        <v>0</v>
      </c>
      <c r="AZ136" s="82"/>
      <c r="BA136" s="82" t="str">
        <f t="shared" si="21"/>
        <v>PL15</v>
      </c>
      <c r="BB136" s="53" t="str">
        <f t="shared" si="22"/>
        <v/>
      </c>
      <c r="BC136" s="53" t="s">
        <v>148</v>
      </c>
      <c r="BD136" s="53" t="s">
        <v>1094</v>
      </c>
      <c r="BE136" s="53" t="s">
        <v>1095</v>
      </c>
      <c r="BF136" s="53" t="s">
        <v>2101</v>
      </c>
      <c r="BG136" s="53">
        <v>2</v>
      </c>
      <c r="BH136" s="83">
        <v>46120</v>
      </c>
      <c r="BI136" s="53"/>
      <c r="BJ136" s="53"/>
    </row>
    <row r="137" spans="3:62" ht="14.25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0"/>
        <v>0</v>
      </c>
      <c r="M137" s="26">
        <f t="shared" si="17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67">
        <f>SUMIFS([1]Up!$J:$J,[1]Up!$D:$D,D137)</f>
        <v>0</v>
      </c>
      <c r="AZ137" s="82"/>
      <c r="BA137" s="82" t="str">
        <f t="shared" si="21"/>
        <v>PL16</v>
      </c>
      <c r="BB137" s="53" t="str">
        <f t="shared" si="22"/>
        <v/>
      </c>
      <c r="BC137" s="53" t="s">
        <v>148</v>
      </c>
      <c r="BD137" s="53" t="s">
        <v>988</v>
      </c>
      <c r="BE137" s="53" t="s">
        <v>989</v>
      </c>
      <c r="BF137" s="53" t="s">
        <v>2104</v>
      </c>
      <c r="BG137" s="53">
        <v>2</v>
      </c>
      <c r="BH137" s="83">
        <v>46120</v>
      </c>
      <c r="BI137" s="53"/>
      <c r="BJ137" s="53"/>
    </row>
    <row r="138" spans="3:62" ht="14.25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0"/>
        <v>0</v>
      </c>
      <c r="M138" s="26">
        <f t="shared" si="17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67">
        <f>SUMIFS([1]Up!$J:$J,[1]Up!$D:$D,D138)</f>
        <v>0</v>
      </c>
      <c r="AZ138" s="82"/>
      <c r="BA138" s="82" t="str">
        <f t="shared" si="21"/>
        <v>PL20</v>
      </c>
      <c r="BB138" s="53" t="str">
        <f t="shared" si="22"/>
        <v/>
      </c>
      <c r="BC138" s="53" t="s">
        <v>148</v>
      </c>
      <c r="BD138" s="53" t="s">
        <v>1100</v>
      </c>
      <c r="BE138" s="53" t="s">
        <v>1101</v>
      </c>
      <c r="BF138" s="53" t="s">
        <v>2102</v>
      </c>
      <c r="BG138" s="53">
        <v>2</v>
      </c>
      <c r="BH138" s="83">
        <v>46303</v>
      </c>
      <c r="BI138" s="53"/>
      <c r="BJ138" s="53"/>
    </row>
    <row r="139" spans="3:62" ht="14.25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0"/>
        <v>0</v>
      </c>
      <c r="M139" s="26">
        <f t="shared" si="17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67">
        <f>SUMIFS([1]Up!$J:$J,[1]Up!$D:$D,D139)</f>
        <v>0</v>
      </c>
      <c r="AZ139" s="82"/>
      <c r="BA139" s="82" t="str">
        <f t="shared" si="21"/>
        <v>PL15</v>
      </c>
      <c r="BB139" s="53" t="str">
        <f t="shared" si="22"/>
        <v/>
      </c>
      <c r="BC139" s="53" t="s">
        <v>148</v>
      </c>
      <c r="BD139" s="53" t="s">
        <v>1094</v>
      </c>
      <c r="BE139" s="53" t="s">
        <v>1095</v>
      </c>
      <c r="BF139" s="53" t="s">
        <v>2101</v>
      </c>
      <c r="BG139" s="53">
        <v>2</v>
      </c>
      <c r="BH139" s="83">
        <v>46120</v>
      </c>
      <c r="BI139" s="53"/>
      <c r="BJ139" s="53"/>
    </row>
    <row r="140" spans="3:62" ht="14.25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0"/>
        <v>0</v>
      </c>
      <c r="M140" s="26">
        <f t="shared" si="1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67">
        <f>SUMIFS([1]Up!$J:$J,[1]Up!$D:$D,D140)</f>
        <v>0</v>
      </c>
      <c r="AZ140" s="82"/>
      <c r="BA140" s="82" t="str">
        <f t="shared" si="21"/>
        <v>PL10</v>
      </c>
      <c r="BB140" s="53" t="str">
        <f t="shared" si="22"/>
        <v/>
      </c>
      <c r="BC140" s="53" t="s">
        <v>154</v>
      </c>
      <c r="BD140" s="53" t="s">
        <v>1005</v>
      </c>
      <c r="BE140" s="53" t="s">
        <v>1006</v>
      </c>
      <c r="BF140" s="53"/>
      <c r="BG140" s="53"/>
      <c r="BH140" s="83"/>
      <c r="BI140" s="53"/>
      <c r="BJ140" s="53"/>
    </row>
    <row r="141" spans="3:62" ht="14.25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0"/>
        <v>0</v>
      </c>
      <c r="M141" s="26">
        <f t="shared" si="17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67">
        <f>SUMIFS([1]Up!$J:$J,[1]Up!$D:$D,D141)</f>
        <v>0</v>
      </c>
      <c r="AZ141" s="82"/>
      <c r="BA141" s="82" t="str">
        <f t="shared" si="21"/>
        <v>PL10</v>
      </c>
      <c r="BB141" s="53" t="str">
        <f t="shared" si="22"/>
        <v/>
      </c>
      <c r="BC141" s="53" t="s">
        <v>148</v>
      </c>
      <c r="BD141" s="53" t="s">
        <v>1005</v>
      </c>
      <c r="BE141" s="53" t="s">
        <v>1006</v>
      </c>
      <c r="BF141" s="53"/>
      <c r="BG141" s="53"/>
      <c r="BH141" s="83"/>
      <c r="BI141" s="53"/>
      <c r="BJ141" s="53"/>
    </row>
    <row r="142" spans="3:62" ht="14.25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0"/>
        <v>0</v>
      </c>
      <c r="M142" s="26">
        <f t="shared" si="17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67">
        <f>SUMIFS([1]Up!$J:$J,[1]Up!$D:$D,D142)</f>
        <v>0</v>
      </c>
      <c r="AZ142" s="82"/>
      <c r="BA142" s="82" t="str">
        <f t="shared" si="21"/>
        <v>PL10</v>
      </c>
      <c r="BB142" s="53" t="str">
        <f t="shared" si="22"/>
        <v/>
      </c>
      <c r="BC142" s="53" t="s">
        <v>148</v>
      </c>
      <c r="BD142" s="53" t="s">
        <v>1005</v>
      </c>
      <c r="BE142" s="53" t="s">
        <v>1006</v>
      </c>
      <c r="BF142" s="53"/>
      <c r="BG142" s="53"/>
      <c r="BH142" s="83"/>
      <c r="BI142" s="53"/>
      <c r="BJ142" s="53"/>
    </row>
    <row r="143" spans="3:62" ht="14.25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0"/>
        <v>0</v>
      </c>
      <c r="M143" s="26">
        <f t="shared" si="17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67">
        <f>SUMIFS([1]Up!$J:$J,[1]Up!$D:$D,D143)</f>
        <v>0</v>
      </c>
      <c r="AZ143" s="82"/>
      <c r="BA143" s="82" t="str">
        <f t="shared" si="21"/>
        <v>PL10</v>
      </c>
      <c r="BB143" s="53" t="str">
        <f t="shared" si="22"/>
        <v/>
      </c>
      <c r="BC143" s="53" t="s">
        <v>148</v>
      </c>
      <c r="BD143" s="53" t="s">
        <v>1005</v>
      </c>
      <c r="BE143" s="53" t="s">
        <v>1006</v>
      </c>
      <c r="BF143" s="53"/>
      <c r="BG143" s="53"/>
      <c r="BH143" s="83"/>
      <c r="BI143" s="53"/>
      <c r="BJ143" s="53"/>
    </row>
    <row r="144" spans="3:62" ht="14.25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0"/>
        <v>0</v>
      </c>
      <c r="M144" s="26">
        <f t="shared" si="17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67">
        <f>SUMIFS([1]Up!$J:$J,[1]Up!$D:$D,D144)</f>
        <v>0</v>
      </c>
      <c r="AZ144" s="82"/>
      <c r="BA144" s="82" t="str">
        <f t="shared" si="21"/>
        <v>PL15</v>
      </c>
      <c r="BB144" s="53" t="str">
        <f t="shared" si="22"/>
        <v/>
      </c>
      <c r="BC144" s="53" t="s">
        <v>148</v>
      </c>
      <c r="BD144" s="53" t="s">
        <v>1094</v>
      </c>
      <c r="BE144" s="53" t="s">
        <v>1095</v>
      </c>
      <c r="BF144" s="53" t="s">
        <v>2101</v>
      </c>
      <c r="BG144" s="53">
        <v>1</v>
      </c>
      <c r="BH144" s="83">
        <v>46120</v>
      </c>
      <c r="BI144" s="53"/>
      <c r="BJ144" s="53"/>
    </row>
    <row r="145" spans="3:62" ht="14.25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0"/>
        <v>0</v>
      </c>
      <c r="M145" s="26">
        <f t="shared" si="17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67">
        <f>SUMIFS([1]Up!$J:$J,[1]Up!$D:$D,D145)</f>
        <v>0</v>
      </c>
      <c r="AZ145" s="82"/>
      <c r="BA145" s="82" t="str">
        <f t="shared" si="21"/>
        <v>PL10</v>
      </c>
      <c r="BB145" s="53" t="str">
        <f t="shared" si="22"/>
        <v/>
      </c>
      <c r="BC145" s="53" t="s">
        <v>148</v>
      </c>
      <c r="BD145" s="53" t="s">
        <v>1005</v>
      </c>
      <c r="BE145" s="53" t="s">
        <v>1006</v>
      </c>
      <c r="BF145" s="53"/>
      <c r="BG145" s="53"/>
      <c r="BH145" s="83"/>
      <c r="BI145" s="53"/>
      <c r="BJ145" s="53"/>
    </row>
    <row r="146" spans="3:62" ht="14.25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0"/>
        <v>0</v>
      </c>
      <c r="M146" s="26">
        <f t="shared" si="17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67">
        <f>SUMIFS([1]Up!$J:$J,[1]Up!$D:$D,D146)</f>
        <v>0</v>
      </c>
      <c r="AZ146" s="82"/>
      <c r="BA146" s="82" t="str">
        <f t="shared" si="21"/>
        <v>PL20</v>
      </c>
      <c r="BB146" s="53" t="str">
        <f t="shared" si="22"/>
        <v/>
      </c>
      <c r="BC146" s="53" t="s">
        <v>148</v>
      </c>
      <c r="BD146" s="53" t="s">
        <v>1100</v>
      </c>
      <c r="BE146" s="53" t="s">
        <v>1101</v>
      </c>
      <c r="BF146" s="53" t="s">
        <v>57</v>
      </c>
      <c r="BG146" s="53">
        <v>2</v>
      </c>
      <c r="BH146" s="83"/>
      <c r="BI146" s="53"/>
      <c r="BJ146" s="53"/>
    </row>
    <row r="147" spans="3:62" ht="14.25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0"/>
        <v>0</v>
      </c>
      <c r="M147" s="26">
        <f t="shared" si="17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67">
        <f>SUMIFS([1]Up!$J:$J,[1]Up!$D:$D,D147)</f>
        <v>0</v>
      </c>
      <c r="AZ147" s="82"/>
      <c r="BA147" s="82" t="str">
        <f t="shared" si="21"/>
        <v>PL10</v>
      </c>
      <c r="BB147" s="53" t="str">
        <f t="shared" si="22"/>
        <v/>
      </c>
      <c r="BC147" s="53" t="s">
        <v>154</v>
      </c>
      <c r="BD147" s="53" t="s">
        <v>1005</v>
      </c>
      <c r="BE147" s="53" t="s">
        <v>1006</v>
      </c>
      <c r="BF147" s="53"/>
      <c r="BG147" s="53"/>
      <c r="BH147" s="83"/>
      <c r="BI147" s="53"/>
      <c r="BJ147" s="53"/>
    </row>
    <row r="148" spans="3:62" ht="14.25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20"/>
        <v>0</v>
      </c>
      <c r="M148" s="26">
        <f t="shared" si="17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67">
        <f>SUMIFS([1]Up!$J:$J,[1]Up!$D:$D,D148)</f>
        <v>0</v>
      </c>
      <c r="AZ148" s="82"/>
      <c r="BA148" s="82" t="str">
        <f t="shared" si="21"/>
        <v/>
      </c>
      <c r="BB148" s="53" t="str">
        <f t="shared" si="22"/>
        <v/>
      </c>
      <c r="BC148" s="53" t="s">
        <v>148</v>
      </c>
      <c r="BD148" s="53" t="s">
        <v>1079</v>
      </c>
      <c r="BE148" s="53" t="s">
        <v>1076</v>
      </c>
      <c r="BF148" s="53" t="s">
        <v>2105</v>
      </c>
      <c r="BG148" s="53">
        <v>6</v>
      </c>
      <c r="BH148" s="83">
        <v>46120</v>
      </c>
      <c r="BI148" s="53"/>
      <c r="BJ148" s="53"/>
    </row>
    <row r="149" spans="3:62" ht="14.25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0"/>
        <v>0</v>
      </c>
      <c r="M149" s="26">
        <f t="shared" si="17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67">
        <f>SUMIFS([1]Up!$J:$J,[1]Up!$D:$D,D149)</f>
        <v>0</v>
      </c>
      <c r="AZ149" s="82"/>
      <c r="BA149" s="82" t="str">
        <f t="shared" si="21"/>
        <v>PL10</v>
      </c>
      <c r="BB149" s="53" t="str">
        <f t="shared" si="22"/>
        <v/>
      </c>
      <c r="BC149" s="53" t="s">
        <v>154</v>
      </c>
      <c r="BD149" s="53" t="s">
        <v>1005</v>
      </c>
      <c r="BE149" s="53" t="s">
        <v>1006</v>
      </c>
      <c r="BF149" s="53"/>
      <c r="BG149" s="53"/>
      <c r="BH149" s="83"/>
      <c r="BI149" s="53"/>
      <c r="BJ149" s="53"/>
    </row>
    <row r="150" spans="3:62" ht="14.25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0"/>
        <v>0</v>
      </c>
      <c r="M150" s="26">
        <f t="shared" si="17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67">
        <f>SUMIFS([1]Up!$J:$J,[1]Up!$D:$D,D150)</f>
        <v>0</v>
      </c>
      <c r="AZ150" s="82"/>
      <c r="BA150" s="82" t="str">
        <f t="shared" si="21"/>
        <v>PL20</v>
      </c>
      <c r="BB150" s="53" t="str">
        <f t="shared" si="22"/>
        <v/>
      </c>
      <c r="BC150" s="53" t="s">
        <v>148</v>
      </c>
      <c r="BD150" s="53" t="s">
        <v>1100</v>
      </c>
      <c r="BE150" s="53" t="s">
        <v>1101</v>
      </c>
      <c r="BF150" s="53" t="s">
        <v>2102</v>
      </c>
      <c r="BG150" s="53">
        <v>2</v>
      </c>
      <c r="BH150" s="83">
        <v>46303</v>
      </c>
      <c r="BI150" s="53"/>
      <c r="BJ150" s="53"/>
    </row>
    <row r="151" spans="3:62" ht="14.25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0"/>
        <v>0</v>
      </c>
      <c r="M151" s="26">
        <f t="shared" si="17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67">
        <f>SUMIFS([1]Up!$J:$J,[1]Up!$D:$D,D151)</f>
        <v>0</v>
      </c>
      <c r="AZ151" s="82"/>
      <c r="BA151" s="82" t="str">
        <f t="shared" si="21"/>
        <v>PL15</v>
      </c>
      <c r="BB151" s="53" t="str">
        <f t="shared" si="22"/>
        <v/>
      </c>
      <c r="BC151" s="53" t="s">
        <v>148</v>
      </c>
      <c r="BD151" s="53" t="s">
        <v>1094</v>
      </c>
      <c r="BE151" s="53" t="s">
        <v>1095</v>
      </c>
      <c r="BF151" s="53" t="s">
        <v>2101</v>
      </c>
      <c r="BG151" s="53">
        <v>2</v>
      </c>
      <c r="BH151" s="83">
        <v>46120</v>
      </c>
      <c r="BI151" s="53"/>
      <c r="BJ151" s="53"/>
    </row>
    <row r="152" spans="3:62" ht="14.25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0"/>
        <v>0</v>
      </c>
      <c r="M152" s="26">
        <f t="shared" si="17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67">
        <f>SUMIFS([1]Up!$J:$J,[1]Up!$D:$D,D152)</f>
        <v>0</v>
      </c>
      <c r="AZ152" s="82"/>
      <c r="BA152" s="82" t="str">
        <f t="shared" si="21"/>
        <v>PL15</v>
      </c>
      <c r="BB152" s="53" t="str">
        <f t="shared" si="22"/>
        <v/>
      </c>
      <c r="BC152" s="53" t="s">
        <v>148</v>
      </c>
      <c r="BD152" s="53" t="s">
        <v>1094</v>
      </c>
      <c r="BE152" s="53" t="s">
        <v>1095</v>
      </c>
      <c r="BF152" s="53" t="s">
        <v>2101</v>
      </c>
      <c r="BG152" s="53">
        <v>2</v>
      </c>
      <c r="BH152" s="83">
        <v>46120</v>
      </c>
      <c r="BI152" s="53"/>
      <c r="BJ152" s="53"/>
    </row>
    <row r="153" spans="3:62" ht="14.25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0"/>
        <v>0</v>
      </c>
      <c r="M153" s="26">
        <f t="shared" si="17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67">
        <f>SUMIFS([1]Up!$J:$J,[1]Up!$D:$D,D153)</f>
        <v>0</v>
      </c>
      <c r="AZ153" s="82"/>
      <c r="BA153" s="82" t="str">
        <f t="shared" si="21"/>
        <v>PL10</v>
      </c>
      <c r="BB153" s="53" t="str">
        <f t="shared" si="22"/>
        <v/>
      </c>
      <c r="BC153" s="53" t="s">
        <v>148</v>
      </c>
      <c r="BD153" s="53" t="s">
        <v>1005</v>
      </c>
      <c r="BE153" s="53" t="s">
        <v>1006</v>
      </c>
      <c r="BF153" s="53"/>
      <c r="BG153" s="53"/>
      <c r="BH153" s="83"/>
      <c r="BI153" s="53"/>
      <c r="BJ153" s="53"/>
    </row>
    <row r="154" spans="3:62" ht="14.25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0"/>
        <v>0</v>
      </c>
      <c r="M154" s="26">
        <f t="shared" si="17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67">
        <f>SUMIFS([1]Up!$J:$J,[1]Up!$D:$D,D154)</f>
        <v>0</v>
      </c>
      <c r="AZ154" s="82"/>
      <c r="BA154" s="82" t="str">
        <f t="shared" si="21"/>
        <v>PL10</v>
      </c>
      <c r="BB154" s="53" t="str">
        <f t="shared" si="22"/>
        <v/>
      </c>
      <c r="BC154" s="53" t="s">
        <v>148</v>
      </c>
      <c r="BD154" s="53" t="s">
        <v>1005</v>
      </c>
      <c r="BE154" s="53" t="s">
        <v>1006</v>
      </c>
      <c r="BF154" s="53"/>
      <c r="BG154" s="53"/>
      <c r="BH154" s="83"/>
      <c r="BI154" s="53"/>
      <c r="BJ154" s="53"/>
    </row>
    <row r="155" spans="3:62" ht="14.25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0"/>
        <v>0</v>
      </c>
      <c r="M155" s="26">
        <f t="shared" si="17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67">
        <f>SUMIFS([1]Up!$J:$J,[1]Up!$D:$D,D155)</f>
        <v>0</v>
      </c>
      <c r="AZ155" s="82"/>
      <c r="BA155" s="82" t="str">
        <f t="shared" si="21"/>
        <v>PL15</v>
      </c>
      <c r="BB155" s="53" t="str">
        <f t="shared" si="22"/>
        <v/>
      </c>
      <c r="BC155" s="53" t="s">
        <v>148</v>
      </c>
      <c r="BD155" s="53" t="s">
        <v>1094</v>
      </c>
      <c r="BE155" s="53" t="s">
        <v>1095</v>
      </c>
      <c r="BF155" s="53" t="s">
        <v>2101</v>
      </c>
      <c r="BG155" s="53">
        <v>3</v>
      </c>
      <c r="BH155" s="83">
        <v>46120</v>
      </c>
      <c r="BI155" s="53"/>
      <c r="BJ155" s="53"/>
    </row>
    <row r="156" spans="3:62" ht="14.25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0"/>
        <v>0</v>
      </c>
      <c r="M156" s="26">
        <f t="shared" si="17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67">
        <f>SUMIFS([1]Up!$J:$J,[1]Up!$D:$D,D156)</f>
        <v>0</v>
      </c>
      <c r="AZ156" s="82"/>
      <c r="BA156" s="82" t="str">
        <f t="shared" si="21"/>
        <v>PL10</v>
      </c>
      <c r="BB156" s="53" t="str">
        <f t="shared" si="22"/>
        <v/>
      </c>
      <c r="BC156" s="53" t="s">
        <v>148</v>
      </c>
      <c r="BD156" s="53" t="s">
        <v>1094</v>
      </c>
      <c r="BE156" s="53" t="s">
        <v>1095</v>
      </c>
      <c r="BF156" s="53"/>
      <c r="BG156" s="53"/>
      <c r="BH156" s="83"/>
      <c r="BI156" s="53"/>
      <c r="BJ156" s="53"/>
    </row>
    <row r="157" spans="3:62" ht="14.25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0"/>
        <v>0</v>
      </c>
      <c r="M157" s="26">
        <f t="shared" si="17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67">
        <f>SUMIFS([1]Up!$J:$J,[1]Up!$D:$D,D157)</f>
        <v>0</v>
      </c>
      <c r="AZ157" s="82"/>
      <c r="BA157" s="82" t="str">
        <f t="shared" si="21"/>
        <v>PL10</v>
      </c>
      <c r="BB157" s="53" t="str">
        <f t="shared" si="22"/>
        <v/>
      </c>
      <c r="BC157" s="53" t="s">
        <v>148</v>
      </c>
      <c r="BD157" s="53" t="s">
        <v>1005</v>
      </c>
      <c r="BE157" s="53" t="s">
        <v>1006</v>
      </c>
      <c r="BF157" s="53"/>
      <c r="BG157" s="53"/>
      <c r="BH157" s="83"/>
      <c r="BI157" s="53"/>
      <c r="BJ157" s="53"/>
    </row>
    <row r="158" spans="3:62" ht="14.25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3">MIN(SUM(N158:AX158),I158)</f>
        <v>0</v>
      </c>
      <c r="M158" s="26">
        <f t="shared" si="17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67">
        <f>SUMIFS([1]Up!$J:$J,[1]Up!$D:$D,D158)</f>
        <v>0</v>
      </c>
      <c r="AZ158" s="82"/>
      <c r="BA158" s="82" t="str">
        <f t="shared" ref="BA158:BA221" si="24">IFERROR(IF(C158="Plate",LEFT(E158,FIND("*",E158,1)-1),""),IF(C158="Plate",LEFT(E158,FIND("x",E158,1)-1),""))</f>
        <v>PL16</v>
      </c>
      <c r="BB158" s="53" t="str">
        <f t="shared" ref="BB158:BB221" si="25">IF(ROUND(SUM(N158:AX158)-I158,0)&gt;0,"Thừa "&amp;SUM(N158:AX158)-I158,"")</f>
        <v/>
      </c>
      <c r="BC158" s="53" t="s">
        <v>148</v>
      </c>
      <c r="BD158" s="53" t="s">
        <v>988</v>
      </c>
      <c r="BE158" s="53" t="s">
        <v>989</v>
      </c>
      <c r="BF158" s="53" t="s">
        <v>2104</v>
      </c>
      <c r="BG158" s="53">
        <v>2</v>
      </c>
      <c r="BH158" s="83">
        <v>46120</v>
      </c>
      <c r="BI158" s="53"/>
      <c r="BJ158" s="53"/>
    </row>
    <row r="159" spans="3:62" ht="14.25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3"/>
        <v>0</v>
      </c>
      <c r="M159" s="26">
        <f t="shared" si="17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67">
        <f>SUMIFS([1]Up!$J:$J,[1]Up!$D:$D,D159)</f>
        <v>0</v>
      </c>
      <c r="AZ159" s="82"/>
      <c r="BA159" s="82" t="str">
        <f t="shared" si="24"/>
        <v>PL16</v>
      </c>
      <c r="BB159" s="53" t="str">
        <f t="shared" si="25"/>
        <v/>
      </c>
      <c r="BC159" s="53" t="s">
        <v>148</v>
      </c>
      <c r="BD159" s="53" t="s">
        <v>988</v>
      </c>
      <c r="BE159" s="53" t="s">
        <v>989</v>
      </c>
      <c r="BF159" s="53" t="s">
        <v>2104</v>
      </c>
      <c r="BG159" s="53">
        <v>10</v>
      </c>
      <c r="BH159" s="83">
        <v>46120</v>
      </c>
      <c r="BI159" s="53"/>
      <c r="BJ159" s="53"/>
    </row>
    <row r="160" spans="3:62" ht="14.25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3"/>
        <v>0</v>
      </c>
      <c r="M160" s="26">
        <f t="shared" si="17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67">
        <f>SUMIFS([1]Up!$J:$J,[1]Up!$D:$D,D160)</f>
        <v>0</v>
      </c>
      <c r="AZ160" s="82"/>
      <c r="BA160" s="82" t="str">
        <f t="shared" si="24"/>
        <v/>
      </c>
      <c r="BB160" s="53" t="str">
        <f t="shared" si="25"/>
        <v/>
      </c>
      <c r="BC160" s="53" t="s">
        <v>148</v>
      </c>
      <c r="BD160" s="53" t="s">
        <v>1079</v>
      </c>
      <c r="BE160" s="53" t="s">
        <v>1076</v>
      </c>
      <c r="BF160" s="53" t="s">
        <v>2105</v>
      </c>
      <c r="BG160" s="53">
        <v>3</v>
      </c>
      <c r="BH160" s="83">
        <v>46120</v>
      </c>
      <c r="BI160" s="53"/>
      <c r="BJ160" s="53"/>
    </row>
    <row r="161" spans="3:62" ht="14.25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3"/>
        <v>0</v>
      </c>
      <c r="M161" s="26">
        <f t="shared" si="17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67">
        <f>SUMIFS([1]Up!$J:$J,[1]Up!$D:$D,D161)</f>
        <v>0</v>
      </c>
      <c r="AZ161" s="82"/>
      <c r="BA161" s="82" t="str">
        <f t="shared" si="24"/>
        <v>PL8</v>
      </c>
      <c r="BB161" s="53" t="str">
        <f t="shared" si="25"/>
        <v/>
      </c>
      <c r="BC161" s="53" t="s">
        <v>154</v>
      </c>
      <c r="BD161" s="53" t="s">
        <v>1012</v>
      </c>
      <c r="BE161" s="53" t="s">
        <v>1013</v>
      </c>
      <c r="BF161" s="53" t="s">
        <v>57</v>
      </c>
      <c r="BG161" s="53">
        <v>1</v>
      </c>
      <c r="BH161" s="83"/>
      <c r="BI161" s="53"/>
      <c r="BJ161" s="53"/>
    </row>
    <row r="162" spans="3:62" ht="14.25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3"/>
        <v>0</v>
      </c>
      <c r="M162" s="26">
        <f t="shared" si="17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67">
        <f>SUMIFS([1]Up!$J:$J,[1]Up!$D:$D,D162)</f>
        <v>0</v>
      </c>
      <c r="AZ162" s="82"/>
      <c r="BA162" s="82" t="str">
        <f t="shared" si="24"/>
        <v>PL15</v>
      </c>
      <c r="BB162" s="53" t="str">
        <f t="shared" si="25"/>
        <v/>
      </c>
      <c r="BC162" s="53" t="s">
        <v>148</v>
      </c>
      <c r="BD162" s="53" t="s">
        <v>1094</v>
      </c>
      <c r="BE162" s="53" t="s">
        <v>1095</v>
      </c>
      <c r="BF162" s="53" t="s">
        <v>2101</v>
      </c>
      <c r="BG162" s="53">
        <v>2</v>
      </c>
      <c r="BH162" s="83">
        <v>46120</v>
      </c>
      <c r="BI162" s="53"/>
      <c r="BJ162" s="53"/>
    </row>
    <row r="163" spans="3:62" ht="14.25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3"/>
        <v>0</v>
      </c>
      <c r="M163" s="26">
        <f t="shared" si="17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67">
        <f>SUMIFS([1]Up!$J:$J,[1]Up!$D:$D,D163)</f>
        <v>0</v>
      </c>
      <c r="AZ163" s="82"/>
      <c r="BA163" s="82" t="str">
        <f t="shared" si="24"/>
        <v>PL10</v>
      </c>
      <c r="BB163" s="53" t="str">
        <f t="shared" si="25"/>
        <v/>
      </c>
      <c r="BC163" s="53" t="s">
        <v>154</v>
      </c>
      <c r="BD163" s="53" t="s">
        <v>1005</v>
      </c>
      <c r="BE163" s="53" t="s">
        <v>1006</v>
      </c>
      <c r="BF163" s="53"/>
      <c r="BG163" s="53"/>
      <c r="BH163" s="83"/>
      <c r="BI163" s="53"/>
      <c r="BJ163" s="53"/>
    </row>
    <row r="164" spans="3:62" ht="14.25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3"/>
        <v>0</v>
      </c>
      <c r="M164" s="26">
        <f t="shared" si="17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67">
        <f>SUMIFS([1]Up!$J:$J,[1]Up!$D:$D,D164)</f>
        <v>0</v>
      </c>
      <c r="AZ164" s="82"/>
      <c r="BA164" s="82" t="str">
        <f t="shared" si="24"/>
        <v>PL8</v>
      </c>
      <c r="BB164" s="53" t="str">
        <f t="shared" si="25"/>
        <v/>
      </c>
      <c r="BC164" s="53" t="s">
        <v>148</v>
      </c>
      <c r="BD164" s="53" t="s">
        <v>1012</v>
      </c>
      <c r="BE164" s="53" t="s">
        <v>1013</v>
      </c>
      <c r="BF164" s="53" t="s">
        <v>57</v>
      </c>
      <c r="BG164" s="53">
        <v>2</v>
      </c>
      <c r="BH164" s="83"/>
      <c r="BI164" s="53"/>
      <c r="BJ164" s="53"/>
    </row>
    <row r="165" spans="3:62" ht="14.25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3"/>
        <v>0</v>
      </c>
      <c r="M165" s="26">
        <f t="shared" si="17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67">
        <f>SUMIFS([1]Up!$J:$J,[1]Up!$D:$D,D165)</f>
        <v>0</v>
      </c>
      <c r="AZ165" s="82"/>
      <c r="BA165" s="82" t="str">
        <f t="shared" si="24"/>
        <v>PL8</v>
      </c>
      <c r="BB165" s="53" t="str">
        <f t="shared" si="25"/>
        <v/>
      </c>
      <c r="BC165" s="53" t="s">
        <v>148</v>
      </c>
      <c r="BD165" s="53" t="s">
        <v>1012</v>
      </c>
      <c r="BE165" s="53" t="s">
        <v>1013</v>
      </c>
      <c r="BF165" s="53" t="s">
        <v>57</v>
      </c>
      <c r="BG165" s="53">
        <v>1</v>
      </c>
      <c r="BH165" s="83"/>
      <c r="BI165" s="53"/>
      <c r="BJ165" s="53"/>
    </row>
    <row r="166" spans="3:62" ht="14.25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3"/>
        <v>0</v>
      </c>
      <c r="M166" s="26">
        <f t="shared" si="17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67">
        <f>SUMIFS([1]Up!$J:$J,[1]Up!$D:$D,D166)</f>
        <v>0</v>
      </c>
      <c r="AZ166" s="82"/>
      <c r="BA166" s="82" t="str">
        <f t="shared" si="24"/>
        <v>PL15</v>
      </c>
      <c r="BB166" s="53" t="str">
        <f t="shared" si="25"/>
        <v/>
      </c>
      <c r="BC166" s="53" t="s">
        <v>148</v>
      </c>
      <c r="BD166" s="53" t="s">
        <v>1094</v>
      </c>
      <c r="BE166" s="53" t="s">
        <v>1095</v>
      </c>
      <c r="BF166" s="53" t="s">
        <v>2101</v>
      </c>
      <c r="BG166" s="53">
        <v>2</v>
      </c>
      <c r="BH166" s="83">
        <v>46120</v>
      </c>
      <c r="BI166" s="53"/>
      <c r="BJ166" s="53"/>
    </row>
    <row r="167" spans="3:62" ht="14.25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3"/>
        <v>0</v>
      </c>
      <c r="M167" s="26">
        <f t="shared" si="17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67">
        <f>SUMIFS([1]Up!$J:$J,[1]Up!$D:$D,D167)</f>
        <v>0</v>
      </c>
      <c r="AZ167" s="82"/>
      <c r="BA167" s="82" t="str">
        <f t="shared" si="24"/>
        <v>PL15</v>
      </c>
      <c r="BB167" s="53" t="str">
        <f t="shared" si="25"/>
        <v/>
      </c>
      <c r="BC167" s="53" t="s">
        <v>148</v>
      </c>
      <c r="BD167" s="53" t="s">
        <v>1094</v>
      </c>
      <c r="BE167" s="53" t="s">
        <v>1095</v>
      </c>
      <c r="BF167" s="53" t="s">
        <v>2101</v>
      </c>
      <c r="BG167" s="53">
        <v>2</v>
      </c>
      <c r="BH167" s="83">
        <v>46120</v>
      </c>
      <c r="BI167" s="53"/>
      <c r="BJ167" s="53"/>
    </row>
    <row r="168" spans="3:62" ht="14.25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3"/>
        <v>0</v>
      </c>
      <c r="M168" s="26">
        <f t="shared" si="17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67">
        <f>SUMIFS([1]Up!$J:$J,[1]Up!$D:$D,D168)</f>
        <v>0</v>
      </c>
      <c r="AZ168" s="82"/>
      <c r="BA168" s="82" t="str">
        <f t="shared" si="24"/>
        <v>PL16</v>
      </c>
      <c r="BB168" s="53" t="str">
        <f t="shared" si="25"/>
        <v/>
      </c>
      <c r="BC168" s="53" t="s">
        <v>148</v>
      </c>
      <c r="BD168" s="53" t="s">
        <v>988</v>
      </c>
      <c r="BE168" s="53" t="s">
        <v>989</v>
      </c>
      <c r="BF168" s="53" t="s">
        <v>2104</v>
      </c>
      <c r="BG168" s="53">
        <v>4</v>
      </c>
      <c r="BH168" s="83">
        <v>46120</v>
      </c>
      <c r="BI168" s="53"/>
      <c r="BJ168" s="53"/>
    </row>
    <row r="169" spans="3:62" ht="14.25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3"/>
        <v>0</v>
      </c>
      <c r="M169" s="26">
        <f t="shared" si="17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67">
        <f>SUMIFS([1]Up!$J:$J,[1]Up!$D:$D,D169)</f>
        <v>0</v>
      </c>
      <c r="AZ169" s="82"/>
      <c r="BA169" s="82" t="str">
        <f t="shared" si="24"/>
        <v>PL16</v>
      </c>
      <c r="BB169" s="53" t="str">
        <f t="shared" si="25"/>
        <v/>
      </c>
      <c r="BC169" s="53" t="s">
        <v>148</v>
      </c>
      <c r="BD169" s="53" t="s">
        <v>988</v>
      </c>
      <c r="BE169" s="53" t="s">
        <v>989</v>
      </c>
      <c r="BF169" s="53" t="s">
        <v>2104</v>
      </c>
      <c r="BG169" s="53">
        <v>2</v>
      </c>
      <c r="BH169" s="83">
        <v>46120</v>
      </c>
      <c r="BI169" s="53"/>
      <c r="BJ169" s="53"/>
    </row>
    <row r="170" spans="3:62" ht="14.25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3"/>
        <v>0</v>
      </c>
      <c r="M170" s="26">
        <f t="shared" si="17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67">
        <f>SUMIFS([1]Up!$J:$J,[1]Up!$D:$D,D170)</f>
        <v>0</v>
      </c>
      <c r="AZ170" s="82"/>
      <c r="BA170" s="82" t="str">
        <f t="shared" si="24"/>
        <v>PL20</v>
      </c>
      <c r="BB170" s="53" t="str">
        <f t="shared" si="25"/>
        <v/>
      </c>
      <c r="BC170" s="53" t="s">
        <v>148</v>
      </c>
      <c r="BD170" s="53" t="s">
        <v>1100</v>
      </c>
      <c r="BE170" s="53" t="s">
        <v>1101</v>
      </c>
      <c r="BF170" s="53" t="s">
        <v>2102</v>
      </c>
      <c r="BG170" s="53">
        <v>2</v>
      </c>
      <c r="BH170" s="83">
        <v>46303</v>
      </c>
      <c r="BI170" s="53"/>
      <c r="BJ170" s="53"/>
    </row>
    <row r="171" spans="3:62" ht="14.25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3"/>
        <v>0</v>
      </c>
      <c r="M171" s="26">
        <f t="shared" si="17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67">
        <f>SUMIFS([1]Up!$J:$J,[1]Up!$D:$D,D171)</f>
        <v>0</v>
      </c>
      <c r="AZ171" s="82"/>
      <c r="BA171" s="82" t="str">
        <f t="shared" si="24"/>
        <v/>
      </c>
      <c r="BB171" s="53" t="str">
        <f t="shared" si="25"/>
        <v/>
      </c>
      <c r="BC171" s="53" t="s">
        <v>148</v>
      </c>
      <c r="BD171" s="53" t="s">
        <v>1079</v>
      </c>
      <c r="BE171" s="53" t="s">
        <v>1076</v>
      </c>
      <c r="BF171" s="53" t="s">
        <v>2105</v>
      </c>
      <c r="BG171" s="53">
        <v>5</v>
      </c>
      <c r="BH171" s="83">
        <v>46120</v>
      </c>
      <c r="BI171" s="53"/>
      <c r="BJ171" s="53"/>
    </row>
    <row r="172" spans="3:62" ht="14.25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3"/>
        <v>0</v>
      </c>
      <c r="M172" s="26">
        <f t="shared" si="17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67">
        <f>SUMIFS([1]Up!$J:$J,[1]Up!$D:$D,D172)</f>
        <v>0</v>
      </c>
      <c r="AZ172" s="82"/>
      <c r="BA172" s="82" t="str">
        <f t="shared" si="24"/>
        <v>PL8</v>
      </c>
      <c r="BB172" s="53" t="str">
        <f t="shared" si="25"/>
        <v/>
      </c>
      <c r="BC172" s="53" t="s">
        <v>154</v>
      </c>
      <c r="BD172" s="53" t="s">
        <v>1012</v>
      </c>
      <c r="BE172" s="53" t="s">
        <v>1013</v>
      </c>
      <c r="BF172" s="53" t="s">
        <v>57</v>
      </c>
      <c r="BG172" s="53">
        <v>1</v>
      </c>
      <c r="BH172" s="83"/>
      <c r="BI172" s="53"/>
      <c r="BJ172" s="53"/>
    </row>
    <row r="173" spans="3:62" ht="14.25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3"/>
        <v>0</v>
      </c>
      <c r="M173" s="26">
        <f t="shared" si="17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67">
        <f>SUMIFS([1]Up!$J:$J,[1]Up!$D:$D,D173)</f>
        <v>0</v>
      </c>
      <c r="AZ173" s="82"/>
      <c r="BA173" s="82" t="str">
        <f t="shared" si="24"/>
        <v>PL8</v>
      </c>
      <c r="BB173" s="53" t="str">
        <f t="shared" si="25"/>
        <v/>
      </c>
      <c r="BC173" s="53" t="s">
        <v>148</v>
      </c>
      <c r="BD173" s="53" t="s">
        <v>1012</v>
      </c>
      <c r="BE173" s="53" t="s">
        <v>1013</v>
      </c>
      <c r="BF173" s="53" t="s">
        <v>57</v>
      </c>
      <c r="BG173" s="53">
        <v>2</v>
      </c>
      <c r="BH173" s="83"/>
      <c r="BI173" s="53"/>
      <c r="BJ173" s="53"/>
    </row>
    <row r="174" spans="3:62" ht="14.25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3"/>
        <v>0</v>
      </c>
      <c r="M174" s="26">
        <f t="shared" si="17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67">
        <f>SUMIFS([1]Up!$J:$J,[1]Up!$D:$D,D174)</f>
        <v>0</v>
      </c>
      <c r="AZ174" s="82"/>
      <c r="BA174" s="82" t="str">
        <f t="shared" si="24"/>
        <v>PL8</v>
      </c>
      <c r="BB174" s="53" t="str">
        <f t="shared" si="25"/>
        <v/>
      </c>
      <c r="BC174" s="53" t="s">
        <v>148</v>
      </c>
      <c r="BD174" s="53" t="s">
        <v>1012</v>
      </c>
      <c r="BE174" s="53" t="s">
        <v>1013</v>
      </c>
      <c r="BF174" s="53" t="s">
        <v>2124</v>
      </c>
      <c r="BG174" s="53">
        <v>2</v>
      </c>
      <c r="BH174" s="83">
        <v>46334</v>
      </c>
      <c r="BI174" s="53"/>
      <c r="BJ174" s="53"/>
    </row>
    <row r="175" spans="3:62" ht="14.25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3"/>
        <v>0</v>
      </c>
      <c r="M175" s="26">
        <f t="shared" si="17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67">
        <f>SUMIFS([1]Up!$J:$J,[1]Up!$D:$D,D175)</f>
        <v>0</v>
      </c>
      <c r="AZ175" s="82"/>
      <c r="BA175" s="82" t="str">
        <f t="shared" si="24"/>
        <v>PL15</v>
      </c>
      <c r="BB175" s="53" t="str">
        <f t="shared" si="25"/>
        <v/>
      </c>
      <c r="BC175" s="53" t="s">
        <v>148</v>
      </c>
      <c r="BD175" s="53" t="s">
        <v>1094</v>
      </c>
      <c r="BE175" s="53" t="s">
        <v>1095</v>
      </c>
      <c r="BF175" s="53" t="s">
        <v>2101</v>
      </c>
      <c r="BG175" s="53">
        <v>2</v>
      </c>
      <c r="BH175" s="83">
        <v>46120</v>
      </c>
      <c r="BI175" s="53"/>
      <c r="BJ175" s="53"/>
    </row>
    <row r="176" spans="3:62" ht="14.25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3"/>
        <v>0</v>
      </c>
      <c r="M176" s="26">
        <f t="shared" si="17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67">
        <f>SUMIFS([1]Up!$J:$J,[1]Up!$D:$D,D176)</f>
        <v>0</v>
      </c>
      <c r="AZ176" s="82"/>
      <c r="BA176" s="82" t="str">
        <f t="shared" si="24"/>
        <v>PL15</v>
      </c>
      <c r="BB176" s="53" t="str">
        <f t="shared" si="25"/>
        <v/>
      </c>
      <c r="BC176" s="53" t="s">
        <v>148</v>
      </c>
      <c r="BD176" s="53" t="s">
        <v>1094</v>
      </c>
      <c r="BE176" s="53" t="s">
        <v>1095</v>
      </c>
      <c r="BF176" s="53" t="s">
        <v>2101</v>
      </c>
      <c r="BG176" s="53">
        <v>2</v>
      </c>
      <c r="BH176" s="83">
        <v>46120</v>
      </c>
      <c r="BI176" s="53"/>
      <c r="BJ176" s="53"/>
    </row>
    <row r="177" spans="3:62" ht="14.25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3"/>
        <v>0</v>
      </c>
      <c r="M177" s="26">
        <f t="shared" si="17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67">
        <f>SUMIFS([1]Up!$J:$J,[1]Up!$D:$D,D177)</f>
        <v>0</v>
      </c>
      <c r="AZ177" s="82"/>
      <c r="BA177" s="82" t="str">
        <f t="shared" si="24"/>
        <v>PL20</v>
      </c>
      <c r="BB177" s="53" t="str">
        <f t="shared" si="25"/>
        <v/>
      </c>
      <c r="BC177" s="53" t="s">
        <v>148</v>
      </c>
      <c r="BD177" s="53" t="s">
        <v>1100</v>
      </c>
      <c r="BE177" s="53" t="s">
        <v>1101</v>
      </c>
      <c r="BF177" s="53" t="s">
        <v>2102</v>
      </c>
      <c r="BG177" s="53">
        <v>2</v>
      </c>
      <c r="BH177" s="83">
        <v>46303</v>
      </c>
      <c r="BI177" s="53"/>
      <c r="BJ177" s="53"/>
    </row>
    <row r="178" spans="3:62" ht="14.25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3"/>
        <v>0</v>
      </c>
      <c r="M178" s="26">
        <f t="shared" si="17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67">
        <f>SUMIFS([1]Up!$J:$J,[1]Up!$D:$D,D178)</f>
        <v>0</v>
      </c>
      <c r="AZ178" s="82"/>
      <c r="BA178" s="82" t="str">
        <f t="shared" si="24"/>
        <v>PL15</v>
      </c>
      <c r="BB178" s="53" t="str">
        <f t="shared" si="25"/>
        <v/>
      </c>
      <c r="BC178" s="53" t="s">
        <v>148</v>
      </c>
      <c r="BD178" s="53" t="s">
        <v>1094</v>
      </c>
      <c r="BE178" s="53" t="s">
        <v>1095</v>
      </c>
      <c r="BF178" s="53" t="s">
        <v>2101</v>
      </c>
      <c r="BG178" s="53">
        <v>2</v>
      </c>
      <c r="BH178" s="83">
        <v>46120</v>
      </c>
      <c r="BI178" s="53"/>
      <c r="BJ178" s="53"/>
    </row>
    <row r="179" spans="3:62" ht="14.25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3"/>
        <v>0</v>
      </c>
      <c r="M179" s="26">
        <f t="shared" si="17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67">
        <f>SUMIFS([1]Up!$J:$J,[1]Up!$D:$D,D179)</f>
        <v>0</v>
      </c>
      <c r="AZ179" s="82"/>
      <c r="BA179" s="82" t="str">
        <f t="shared" si="24"/>
        <v>PL5</v>
      </c>
      <c r="BB179" s="53" t="str">
        <f t="shared" si="25"/>
        <v/>
      </c>
      <c r="BC179" s="53" t="s">
        <v>148</v>
      </c>
      <c r="BD179" s="53" t="s">
        <v>1108</v>
      </c>
      <c r="BE179" s="53" t="s">
        <v>957</v>
      </c>
      <c r="BF179" s="53" t="s">
        <v>2103</v>
      </c>
      <c r="BG179" s="53">
        <v>2</v>
      </c>
      <c r="BH179" s="83">
        <v>46120</v>
      </c>
      <c r="BI179" s="53"/>
      <c r="BJ179" s="53"/>
    </row>
    <row r="180" spans="3:62" ht="14.25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3"/>
        <v>0</v>
      </c>
      <c r="M180" s="26">
        <f t="shared" si="17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67">
        <f>SUMIFS([1]Up!$J:$J,[1]Up!$D:$D,D180)</f>
        <v>0</v>
      </c>
      <c r="AZ180" s="82"/>
      <c r="BA180" s="82" t="str">
        <f t="shared" si="24"/>
        <v>PL8</v>
      </c>
      <c r="BB180" s="53" t="str">
        <f t="shared" si="25"/>
        <v/>
      </c>
      <c r="BC180" s="53" t="s">
        <v>148</v>
      </c>
      <c r="BD180" s="53" t="s">
        <v>1012</v>
      </c>
      <c r="BE180" s="53" t="s">
        <v>1013</v>
      </c>
      <c r="BF180" s="53" t="s">
        <v>57</v>
      </c>
      <c r="BG180" s="53">
        <v>3</v>
      </c>
      <c r="BH180" s="83"/>
      <c r="BI180" s="53"/>
      <c r="BJ180" s="53"/>
    </row>
    <row r="181" spans="3:62" ht="14.25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3"/>
        <v>0</v>
      </c>
      <c r="M181" s="26">
        <f t="shared" si="17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67">
        <f>SUMIFS([1]Up!$J:$J,[1]Up!$D:$D,D181)</f>
        <v>0</v>
      </c>
      <c r="AZ181" s="82"/>
      <c r="BA181" s="82" t="str">
        <f t="shared" si="24"/>
        <v>PL20</v>
      </c>
      <c r="BB181" s="53" t="str">
        <f t="shared" si="25"/>
        <v/>
      </c>
      <c r="BC181" s="53" t="s">
        <v>148</v>
      </c>
      <c r="BD181" s="53" t="s">
        <v>1100</v>
      </c>
      <c r="BE181" s="53" t="s">
        <v>1101</v>
      </c>
      <c r="BF181" s="53" t="s">
        <v>2102</v>
      </c>
      <c r="BG181" s="53">
        <v>1</v>
      </c>
      <c r="BH181" s="83">
        <v>46303</v>
      </c>
      <c r="BI181" s="53"/>
      <c r="BJ181" s="53"/>
    </row>
    <row r="182" spans="3:62" ht="14.25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3"/>
        <v>0</v>
      </c>
      <c r="M182" s="26">
        <f t="shared" si="17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67">
        <f>SUMIFS([1]Up!$J:$J,[1]Up!$D:$D,D182)</f>
        <v>0</v>
      </c>
      <c r="AZ182" s="82"/>
      <c r="BA182" s="82" t="str">
        <f t="shared" si="24"/>
        <v>PL20</v>
      </c>
      <c r="BB182" s="53" t="str">
        <f t="shared" si="25"/>
        <v/>
      </c>
      <c r="BC182" s="53" t="s">
        <v>148</v>
      </c>
      <c r="BD182" s="53" t="s">
        <v>1100</v>
      </c>
      <c r="BE182" s="53" t="s">
        <v>1101</v>
      </c>
      <c r="BF182" s="53" t="s">
        <v>2102</v>
      </c>
      <c r="BG182" s="53">
        <v>1</v>
      </c>
      <c r="BH182" s="83">
        <v>46303</v>
      </c>
      <c r="BI182" s="53"/>
      <c r="BJ182" s="53"/>
    </row>
    <row r="183" spans="3:62" ht="14.25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3"/>
        <v>0</v>
      </c>
      <c r="M183" s="26">
        <f t="shared" si="17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67">
        <f>SUMIFS([1]Up!$J:$J,[1]Up!$D:$D,D183)</f>
        <v>0</v>
      </c>
      <c r="AZ183" s="82"/>
      <c r="BA183" s="82" t="str">
        <f t="shared" si="24"/>
        <v>PL16</v>
      </c>
      <c r="BB183" s="53" t="str">
        <f t="shared" si="25"/>
        <v/>
      </c>
      <c r="BC183" s="53" t="s">
        <v>148</v>
      </c>
      <c r="BD183" s="53" t="s">
        <v>988</v>
      </c>
      <c r="BE183" s="53" t="s">
        <v>989</v>
      </c>
      <c r="BF183" s="53" t="s">
        <v>2104</v>
      </c>
      <c r="BG183" s="53">
        <v>3</v>
      </c>
      <c r="BH183" s="83">
        <v>46120</v>
      </c>
      <c r="BI183" s="53"/>
      <c r="BJ183" s="53"/>
    </row>
    <row r="184" spans="3:62" ht="14.25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3"/>
        <v>0</v>
      </c>
      <c r="M184" s="26">
        <f t="shared" si="17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67">
        <f>SUMIFS([1]Up!$J:$J,[1]Up!$D:$D,D184)</f>
        <v>0</v>
      </c>
      <c r="AZ184" s="82"/>
      <c r="BA184" s="82" t="str">
        <f t="shared" si="24"/>
        <v>PL16</v>
      </c>
      <c r="BB184" s="53" t="str">
        <f t="shared" si="25"/>
        <v/>
      </c>
      <c r="BC184" s="53" t="s">
        <v>148</v>
      </c>
      <c r="BD184" s="53" t="s">
        <v>988</v>
      </c>
      <c r="BE184" s="53" t="s">
        <v>989</v>
      </c>
      <c r="BF184" s="53" t="s">
        <v>2104</v>
      </c>
      <c r="BG184" s="53">
        <v>1</v>
      </c>
      <c r="BH184" s="83">
        <v>46120</v>
      </c>
      <c r="BI184" s="53"/>
      <c r="BJ184" s="53"/>
    </row>
    <row r="185" spans="3:62" ht="14.25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3"/>
        <v>0</v>
      </c>
      <c r="M185" s="26">
        <f t="shared" si="17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67">
        <f>SUMIFS([1]Up!$J:$J,[1]Up!$D:$D,D185)</f>
        <v>0</v>
      </c>
      <c r="AZ185" s="82"/>
      <c r="BA185" s="82" t="str">
        <f t="shared" si="24"/>
        <v>PL15</v>
      </c>
      <c r="BB185" s="53" t="str">
        <f t="shared" si="25"/>
        <v/>
      </c>
      <c r="BC185" s="53" t="s">
        <v>148</v>
      </c>
      <c r="BD185" s="53" t="s">
        <v>1094</v>
      </c>
      <c r="BE185" s="53" t="s">
        <v>1095</v>
      </c>
      <c r="BF185" s="53" t="s">
        <v>2101</v>
      </c>
      <c r="BG185" s="53">
        <v>2</v>
      </c>
      <c r="BH185" s="83">
        <v>46120</v>
      </c>
      <c r="BI185" s="53"/>
      <c r="BJ185" s="53"/>
    </row>
    <row r="186" spans="3:62" ht="14.25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3"/>
        <v>0</v>
      </c>
      <c r="M186" s="26">
        <f t="shared" si="17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67">
        <f>SUMIFS([1]Up!$J:$J,[1]Up!$D:$D,D186)</f>
        <v>0</v>
      </c>
      <c r="AZ186" s="82"/>
      <c r="BA186" s="82" t="str">
        <f t="shared" si="24"/>
        <v>PL16</v>
      </c>
      <c r="BB186" s="53" t="str">
        <f t="shared" si="25"/>
        <v/>
      </c>
      <c r="BC186" s="53" t="s">
        <v>148</v>
      </c>
      <c r="BD186" s="53" t="s">
        <v>988</v>
      </c>
      <c r="BE186" s="53" t="s">
        <v>989</v>
      </c>
      <c r="BF186" s="53" t="s">
        <v>2104</v>
      </c>
      <c r="BG186" s="53">
        <v>2</v>
      </c>
      <c r="BH186" s="83">
        <v>46120</v>
      </c>
      <c r="BI186" s="53"/>
      <c r="BJ186" s="53"/>
    </row>
    <row r="187" spans="3:62" ht="14.25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3"/>
        <v>0</v>
      </c>
      <c r="M187" s="26">
        <f t="shared" si="17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67">
        <f>SUMIFS([1]Up!$J:$J,[1]Up!$D:$D,D187)</f>
        <v>0</v>
      </c>
      <c r="AZ187" s="82"/>
      <c r="BA187" s="82" t="str">
        <f t="shared" si="24"/>
        <v>PL16</v>
      </c>
      <c r="BB187" s="53" t="str">
        <f t="shared" si="25"/>
        <v/>
      </c>
      <c r="BC187" s="53" t="s">
        <v>148</v>
      </c>
      <c r="BD187" s="53" t="s">
        <v>988</v>
      </c>
      <c r="BE187" s="53" t="s">
        <v>989</v>
      </c>
      <c r="BF187" s="53" t="s">
        <v>2104</v>
      </c>
      <c r="BG187" s="53">
        <v>10</v>
      </c>
      <c r="BH187" s="83">
        <v>46120</v>
      </c>
      <c r="BI187" s="53"/>
      <c r="BJ187" s="53"/>
    </row>
    <row r="188" spans="3:62" ht="14.25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3"/>
        <v>4</v>
      </c>
      <c r="M188" s="26">
        <f t="shared" si="17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67">
        <f>SUMIFS([1]Up!$J:$J,[1]Up!$D:$D,D188)</f>
        <v>0</v>
      </c>
      <c r="AZ188" s="82"/>
      <c r="BA188" s="82" t="str">
        <f t="shared" si="24"/>
        <v/>
      </c>
      <c r="BB188" s="53" t="str">
        <f t="shared" si="25"/>
        <v/>
      </c>
      <c r="BC188" s="53" t="s">
        <v>148</v>
      </c>
      <c r="BD188" s="53" t="s">
        <v>1079</v>
      </c>
      <c r="BE188" s="53" t="s">
        <v>1076</v>
      </c>
      <c r="BF188" s="53" t="s">
        <v>1290</v>
      </c>
      <c r="BG188" s="53">
        <v>4</v>
      </c>
      <c r="BH188" s="83">
        <v>46362</v>
      </c>
      <c r="BI188" s="53"/>
      <c r="BJ188" s="53"/>
    </row>
    <row r="189" spans="3:62" ht="14.25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3"/>
        <v>2</v>
      </c>
      <c r="M189" s="26">
        <f t="shared" si="17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67">
        <f>SUMIFS([1]Up!$J:$J,[1]Up!$D:$D,D189)</f>
        <v>0</v>
      </c>
      <c r="AZ189" s="82"/>
      <c r="BA189" s="82" t="str">
        <f t="shared" si="24"/>
        <v/>
      </c>
      <c r="BB189" s="53" t="str">
        <f t="shared" si="25"/>
        <v/>
      </c>
      <c r="BC189" s="53" t="s">
        <v>154</v>
      </c>
      <c r="BD189" s="53" t="s">
        <v>1082</v>
      </c>
      <c r="BE189" s="53" t="s">
        <v>1081</v>
      </c>
      <c r="BF189" s="53" t="s">
        <v>1292</v>
      </c>
      <c r="BG189" s="53">
        <v>2</v>
      </c>
      <c r="BH189" s="83">
        <v>46362</v>
      </c>
      <c r="BI189" s="53"/>
      <c r="BJ189" s="53"/>
    </row>
    <row r="190" spans="3:62" ht="14.25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3"/>
        <v>1</v>
      </c>
      <c r="M190" s="26">
        <f t="shared" si="17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67">
        <f>SUMIFS([1]Up!$J:$J,[1]Up!$D:$D,D190)</f>
        <v>0</v>
      </c>
      <c r="AZ190" s="82" t="s">
        <v>2232</v>
      </c>
      <c r="BA190" s="82" t="str">
        <f t="shared" si="24"/>
        <v>PL12</v>
      </c>
      <c r="BB190" s="53" t="str">
        <f t="shared" si="25"/>
        <v>Thừa 5</v>
      </c>
      <c r="BC190" s="53" t="s">
        <v>154</v>
      </c>
      <c r="BD190" s="53" t="s">
        <v>1021</v>
      </c>
      <c r="BE190" s="53" t="s">
        <v>1022</v>
      </c>
      <c r="BF190" s="53" t="s">
        <v>57</v>
      </c>
      <c r="BG190" s="53">
        <v>1</v>
      </c>
      <c r="BH190" s="83"/>
      <c r="BI190" s="53"/>
      <c r="BJ190" s="53"/>
    </row>
    <row r="191" spans="3:62" ht="14.25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3"/>
        <v>2</v>
      </c>
      <c r="M191" s="26">
        <f t="shared" si="17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67">
        <f>SUMIFS([1]Up!$J:$J,[1]Up!$D:$D,D191)</f>
        <v>0</v>
      </c>
      <c r="AZ191" s="82"/>
      <c r="BA191" s="82" t="str">
        <f t="shared" si="24"/>
        <v>PL10</v>
      </c>
      <c r="BB191" s="53" t="str">
        <f t="shared" si="25"/>
        <v/>
      </c>
      <c r="BC191" s="53" t="s">
        <v>148</v>
      </c>
      <c r="BD191" s="53" t="s">
        <v>1005</v>
      </c>
      <c r="BE191" s="53" t="s">
        <v>1006</v>
      </c>
      <c r="BF191" s="53" t="s">
        <v>1064</v>
      </c>
      <c r="BG191" s="53">
        <v>2</v>
      </c>
      <c r="BH191" s="83">
        <v>46088</v>
      </c>
      <c r="BI191" s="53"/>
      <c r="BJ191" s="53"/>
    </row>
    <row r="192" spans="3:62" ht="14.25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3"/>
        <v>4</v>
      </c>
      <c r="M192" s="26">
        <f t="shared" si="17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67">
        <f>SUMIFS([1]Up!$J:$J,[1]Up!$D:$D,D192)</f>
        <v>0</v>
      </c>
      <c r="AZ192" s="82"/>
      <c r="BA192" s="82" t="str">
        <f t="shared" si="24"/>
        <v>PL12</v>
      </c>
      <c r="BB192" s="53" t="str">
        <f t="shared" si="25"/>
        <v/>
      </c>
      <c r="BC192" s="53" t="s">
        <v>148</v>
      </c>
      <c r="BD192" s="53" t="s">
        <v>1021</v>
      </c>
      <c r="BE192" s="53" t="s">
        <v>1022</v>
      </c>
      <c r="BF192" s="53" t="s">
        <v>1023</v>
      </c>
      <c r="BG192" s="53">
        <v>4</v>
      </c>
      <c r="BH192" s="83">
        <v>46088</v>
      </c>
      <c r="BI192" s="53"/>
      <c r="BJ192" s="53"/>
    </row>
    <row r="193" spans="3:62" ht="14.25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3"/>
        <v>4</v>
      </c>
      <c r="M193" s="26">
        <f t="shared" si="17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67">
        <f>SUMIFS([1]Up!$J:$J,[1]Up!$D:$D,D193)</f>
        <v>0</v>
      </c>
      <c r="AZ193" s="82"/>
      <c r="BA193" s="82" t="str">
        <f t="shared" si="24"/>
        <v>PL12</v>
      </c>
      <c r="BB193" s="53" t="str">
        <f t="shared" si="25"/>
        <v/>
      </c>
      <c r="BC193" s="53" t="s">
        <v>148</v>
      </c>
      <c r="BD193" s="53" t="s">
        <v>1021</v>
      </c>
      <c r="BE193" s="53" t="s">
        <v>1022</v>
      </c>
      <c r="BF193" s="53" t="s">
        <v>1023</v>
      </c>
      <c r="BG193" s="53">
        <v>4</v>
      </c>
      <c r="BH193" s="83">
        <v>46088</v>
      </c>
      <c r="BI193" s="53"/>
      <c r="BJ193" s="53"/>
    </row>
    <row r="194" spans="3:62" ht="14.25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3"/>
        <v>8</v>
      </c>
      <c r="M194" s="26">
        <f t="shared" si="17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67">
        <f>SUMIFS([1]Up!$J:$J,[1]Up!$D:$D,D194)</f>
        <v>0</v>
      </c>
      <c r="AZ194" s="82"/>
      <c r="BA194" s="82" t="str">
        <f t="shared" si="24"/>
        <v>PL16</v>
      </c>
      <c r="BB194" s="53" t="str">
        <f t="shared" si="25"/>
        <v/>
      </c>
      <c r="BC194" s="53" t="s">
        <v>148</v>
      </c>
      <c r="BD194" s="53" t="s">
        <v>988</v>
      </c>
      <c r="BE194" s="53" t="s">
        <v>989</v>
      </c>
      <c r="BF194" s="53" t="s">
        <v>990</v>
      </c>
      <c r="BG194" s="53">
        <v>8</v>
      </c>
      <c r="BH194" s="83" t="s">
        <v>2223</v>
      </c>
      <c r="BI194" s="53"/>
      <c r="BJ194" s="53"/>
    </row>
    <row r="195" spans="3:62" ht="14.25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3"/>
        <v>2</v>
      </c>
      <c r="M195" s="26">
        <f t="shared" si="17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67">
        <f>SUMIFS([1]Up!$J:$J,[1]Up!$D:$D,D195)</f>
        <v>0</v>
      </c>
      <c r="AZ195" s="82"/>
      <c r="BA195" s="82" t="str">
        <f t="shared" si="24"/>
        <v>PL15</v>
      </c>
      <c r="BB195" s="53" t="str">
        <f t="shared" si="25"/>
        <v/>
      </c>
      <c r="BC195" s="53" t="s">
        <v>148</v>
      </c>
      <c r="BD195" s="53" t="s">
        <v>1094</v>
      </c>
      <c r="BE195" s="53" t="s">
        <v>1095</v>
      </c>
      <c r="BF195" s="53" t="s">
        <v>1304</v>
      </c>
      <c r="BG195" s="53">
        <v>2</v>
      </c>
      <c r="BH195" s="83">
        <v>46088</v>
      </c>
      <c r="BI195" s="53"/>
      <c r="BJ195" s="53"/>
    </row>
    <row r="196" spans="3:62" ht="14.25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3"/>
        <v>1</v>
      </c>
      <c r="M196" s="26">
        <f t="shared" si="17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67">
        <f>SUMIFS([1]Up!$J:$J,[1]Up!$D:$D,D196)</f>
        <v>0</v>
      </c>
      <c r="AZ196" s="82"/>
      <c r="BA196" s="82" t="str">
        <f t="shared" si="24"/>
        <v>PL10</v>
      </c>
      <c r="BB196" s="53" t="str">
        <f t="shared" si="25"/>
        <v/>
      </c>
      <c r="BC196" s="53" t="s">
        <v>154</v>
      </c>
      <c r="BD196" s="53" t="s">
        <v>1005</v>
      </c>
      <c r="BE196" s="53" t="s">
        <v>1006</v>
      </c>
      <c r="BF196" s="53" t="s">
        <v>1064</v>
      </c>
      <c r="BG196" s="53">
        <v>1</v>
      </c>
      <c r="BH196" s="83">
        <v>46088</v>
      </c>
      <c r="BI196" s="53"/>
      <c r="BJ196" s="53"/>
    </row>
    <row r="197" spans="3:62" ht="14.25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3"/>
        <v>1</v>
      </c>
      <c r="M197" s="26">
        <f t="shared" si="17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67">
        <f>SUMIFS([1]Up!$J:$J,[1]Up!$D:$D,D197)</f>
        <v>0</v>
      </c>
      <c r="AZ197" s="82"/>
      <c r="BA197" s="82" t="str">
        <f t="shared" si="24"/>
        <v>PL20</v>
      </c>
      <c r="BB197" s="53" t="str">
        <f t="shared" si="25"/>
        <v/>
      </c>
      <c r="BC197" s="53" t="s">
        <v>148</v>
      </c>
      <c r="BD197" s="53" t="s">
        <v>1100</v>
      </c>
      <c r="BE197" s="53" t="s">
        <v>1101</v>
      </c>
      <c r="BF197" s="53" t="s">
        <v>1308</v>
      </c>
      <c r="BG197" s="53">
        <v>1</v>
      </c>
      <c r="BH197" s="83">
        <v>46242</v>
      </c>
      <c r="BI197" s="53"/>
      <c r="BJ197" s="53"/>
    </row>
    <row r="198" spans="3:62" ht="14.25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3"/>
        <v>1</v>
      </c>
      <c r="M198" s="26">
        <f t="shared" si="17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67">
        <f>SUMIFS([1]Up!$J:$J,[1]Up!$D:$D,D198)</f>
        <v>0</v>
      </c>
      <c r="AZ198" s="82"/>
      <c r="BA198" s="82" t="str">
        <f t="shared" si="24"/>
        <v>PL20</v>
      </c>
      <c r="BB198" s="53" t="str">
        <f t="shared" si="25"/>
        <v/>
      </c>
      <c r="BC198" s="53" t="s">
        <v>148</v>
      </c>
      <c r="BD198" s="53" t="s">
        <v>1100</v>
      </c>
      <c r="BE198" s="53" t="s">
        <v>1101</v>
      </c>
      <c r="BF198" s="53" t="s">
        <v>1308</v>
      </c>
      <c r="BG198" s="53">
        <v>1</v>
      </c>
      <c r="BH198" s="83">
        <v>46242</v>
      </c>
      <c r="BI198" s="53"/>
      <c r="BJ198" s="53"/>
    </row>
    <row r="199" spans="3:62" ht="14.25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3"/>
        <v>1</v>
      </c>
      <c r="M199" s="26">
        <f t="shared" si="17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67">
        <f>SUMIFS([1]Up!$J:$J,[1]Up!$D:$D,D199)</f>
        <v>0</v>
      </c>
      <c r="AZ199" s="82"/>
      <c r="BA199" s="82" t="str">
        <f t="shared" si="24"/>
        <v>PL10</v>
      </c>
      <c r="BB199" s="53" t="str">
        <f t="shared" si="25"/>
        <v/>
      </c>
      <c r="BC199" s="53" t="s">
        <v>148</v>
      </c>
      <c r="BD199" s="53" t="s">
        <v>1005</v>
      </c>
      <c r="BE199" s="53" t="s">
        <v>1006</v>
      </c>
      <c r="BF199" s="53" t="s">
        <v>1064</v>
      </c>
      <c r="BG199" s="53">
        <v>1</v>
      </c>
      <c r="BH199" s="83">
        <v>46088</v>
      </c>
      <c r="BI199" s="53"/>
      <c r="BJ199" s="53"/>
    </row>
    <row r="200" spans="3:62" ht="14.25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3"/>
        <v>2</v>
      </c>
      <c r="M200" s="26">
        <f t="shared" si="17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67">
        <f>SUMIFS([1]Up!$J:$J,[1]Up!$D:$D,D200)</f>
        <v>0</v>
      </c>
      <c r="AZ200" s="82"/>
      <c r="BA200" s="82" t="str">
        <f t="shared" si="24"/>
        <v>PL5</v>
      </c>
      <c r="BB200" s="53" t="str">
        <f t="shared" si="25"/>
        <v/>
      </c>
      <c r="BC200" s="53" t="s">
        <v>148</v>
      </c>
      <c r="BD200" s="53" t="s">
        <v>1108</v>
      </c>
      <c r="BE200" s="53" t="s">
        <v>957</v>
      </c>
      <c r="BF200" s="53" t="s">
        <v>1313</v>
      </c>
      <c r="BG200" s="53">
        <v>2</v>
      </c>
      <c r="BH200" s="83" t="s">
        <v>2223</v>
      </c>
      <c r="BI200" s="53"/>
      <c r="BJ200" s="53"/>
    </row>
    <row r="201" spans="3:62" ht="14.25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3"/>
        <v>4</v>
      </c>
      <c r="M201" s="26">
        <f t="shared" si="17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67">
        <f>SUMIFS([1]Up!$J:$J,[1]Up!$D:$D,D201)</f>
        <v>0</v>
      </c>
      <c r="AZ201" s="82"/>
      <c r="BA201" s="82" t="str">
        <f t="shared" si="24"/>
        <v>PL12</v>
      </c>
      <c r="BB201" s="53" t="str">
        <f t="shared" si="25"/>
        <v/>
      </c>
      <c r="BC201" s="53" t="s">
        <v>148</v>
      </c>
      <c r="BD201" s="53" t="s">
        <v>1021</v>
      </c>
      <c r="BE201" s="53" t="s">
        <v>1022</v>
      </c>
      <c r="BF201" s="53" t="s">
        <v>1023</v>
      </c>
      <c r="BG201" s="53">
        <v>4</v>
      </c>
      <c r="BH201" s="83">
        <v>46088</v>
      </c>
      <c r="BI201" s="53"/>
      <c r="BJ201" s="53"/>
    </row>
    <row r="202" spans="3:62" ht="14.25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3"/>
        <v>2</v>
      </c>
      <c r="M202" s="26">
        <f t="shared" si="17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67">
        <f>SUMIFS([1]Up!$J:$J,[1]Up!$D:$D,D202)</f>
        <v>0</v>
      </c>
      <c r="AZ202" s="82"/>
      <c r="BA202" s="82" t="str">
        <f t="shared" si="24"/>
        <v>PL12</v>
      </c>
      <c r="BB202" s="53" t="str">
        <f t="shared" si="25"/>
        <v/>
      </c>
      <c r="BC202" s="53" t="s">
        <v>148</v>
      </c>
      <c r="BD202" s="53" t="s">
        <v>1021</v>
      </c>
      <c r="BE202" s="53" t="s">
        <v>1022</v>
      </c>
      <c r="BF202" s="53" t="s">
        <v>1023</v>
      </c>
      <c r="BG202" s="53">
        <v>2</v>
      </c>
      <c r="BH202" s="83">
        <v>46088</v>
      </c>
      <c r="BI202" s="53"/>
      <c r="BJ202" s="53"/>
    </row>
    <row r="203" spans="3:62" ht="14.25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3"/>
        <v>1</v>
      </c>
      <c r="M203" s="26">
        <f t="shared" si="17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67">
        <f>SUMIFS([1]Up!$J:$J,[1]Up!$D:$D,D203)</f>
        <v>0</v>
      </c>
      <c r="AZ203" s="82"/>
      <c r="BA203" s="82" t="str">
        <f t="shared" si="24"/>
        <v>PL20</v>
      </c>
      <c r="BB203" s="53" t="str">
        <f t="shared" si="25"/>
        <v/>
      </c>
      <c r="BC203" s="53" t="s">
        <v>148</v>
      </c>
      <c r="BD203" s="53" t="s">
        <v>1100</v>
      </c>
      <c r="BE203" s="53" t="s">
        <v>1101</v>
      </c>
      <c r="BF203" s="53" t="s">
        <v>1318</v>
      </c>
      <c r="BG203" s="53">
        <v>1</v>
      </c>
      <c r="BH203" s="83">
        <v>46242</v>
      </c>
      <c r="BI203" s="53"/>
      <c r="BJ203" s="53"/>
    </row>
    <row r="204" spans="3:62" ht="14.25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3"/>
        <v>2</v>
      </c>
      <c r="M204" s="26">
        <f t="shared" si="17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67">
        <f>SUMIFS([1]Up!$J:$J,[1]Up!$D:$D,D204)</f>
        <v>0</v>
      </c>
      <c r="AZ204" s="82"/>
      <c r="BA204" s="82" t="str">
        <f t="shared" si="24"/>
        <v>PL12</v>
      </c>
      <c r="BB204" s="53" t="str">
        <f t="shared" si="25"/>
        <v/>
      </c>
      <c r="BC204" s="53" t="s">
        <v>148</v>
      </c>
      <c r="BD204" s="53" t="s">
        <v>1021</v>
      </c>
      <c r="BE204" s="53" t="s">
        <v>1022</v>
      </c>
      <c r="BF204" s="53" t="s">
        <v>1023</v>
      </c>
      <c r="BG204" s="53">
        <v>2</v>
      </c>
      <c r="BH204" s="83">
        <v>46088</v>
      </c>
      <c r="BI204" s="53"/>
      <c r="BJ204" s="53"/>
    </row>
    <row r="205" spans="3:62" ht="14.25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3"/>
        <v>2</v>
      </c>
      <c r="M205" s="26">
        <f t="shared" si="17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>
        <v>2</v>
      </c>
      <c r="AY205" s="67">
        <f>SUMIFS([1]Up!$J:$J,[1]Up!$D:$D,D205)</f>
        <v>0</v>
      </c>
      <c r="AZ205" s="82"/>
      <c r="BA205" s="82" t="str">
        <f t="shared" si="24"/>
        <v>PL10</v>
      </c>
      <c r="BB205" s="53" t="str">
        <f t="shared" si="25"/>
        <v/>
      </c>
      <c r="BC205" s="53" t="s">
        <v>154</v>
      </c>
      <c r="BD205" s="53" t="s">
        <v>1005</v>
      </c>
      <c r="BE205" s="53" t="s">
        <v>1006</v>
      </c>
      <c r="BF205" s="53" t="s">
        <v>1064</v>
      </c>
      <c r="BG205" s="53">
        <v>2</v>
      </c>
      <c r="BH205" s="83">
        <v>46088</v>
      </c>
      <c r="BI205" s="53"/>
      <c r="BJ205" s="53"/>
    </row>
    <row r="206" spans="3:62" ht="14.25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3"/>
        <v>1</v>
      </c>
      <c r="M206" s="26">
        <f t="shared" si="17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67">
        <f>SUMIFS([1]Up!$J:$J,[1]Up!$D:$D,D206)</f>
        <v>0</v>
      </c>
      <c r="AZ206" s="82" t="s">
        <v>2071</v>
      </c>
      <c r="BA206" s="82" t="str">
        <f t="shared" si="24"/>
        <v>PL12</v>
      </c>
      <c r="BB206" s="53" t="str">
        <f t="shared" si="25"/>
        <v>Thừa 4</v>
      </c>
      <c r="BC206" s="53" t="s">
        <v>154</v>
      </c>
      <c r="BD206" s="53" t="s">
        <v>1021</v>
      </c>
      <c r="BE206" s="53" t="s">
        <v>1022</v>
      </c>
      <c r="BF206" s="53" t="s">
        <v>57</v>
      </c>
      <c r="BG206" s="53">
        <v>1</v>
      </c>
      <c r="BH206" s="83"/>
      <c r="BI206" s="53"/>
      <c r="BJ206" s="53"/>
    </row>
    <row r="207" spans="3:62" ht="14.25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3"/>
        <v>2</v>
      </c>
      <c r="M207" s="26">
        <f t="shared" si="17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67">
        <f>SUMIFS([1]Up!$J:$J,[1]Up!$D:$D,D207)</f>
        <v>0</v>
      </c>
      <c r="AZ207" s="82"/>
      <c r="BA207" s="82" t="str">
        <f t="shared" si="24"/>
        <v>PL12</v>
      </c>
      <c r="BB207" s="53" t="str">
        <f t="shared" si="25"/>
        <v/>
      </c>
      <c r="BC207" s="53" t="s">
        <v>148</v>
      </c>
      <c r="BD207" s="53" t="s">
        <v>1021</v>
      </c>
      <c r="BE207" s="53" t="s">
        <v>1022</v>
      </c>
      <c r="BF207" s="53" t="s">
        <v>1023</v>
      </c>
      <c r="BG207" s="53">
        <v>2</v>
      </c>
      <c r="BH207" s="83">
        <v>46088</v>
      </c>
      <c r="BI207" s="53"/>
      <c r="BJ207" s="53"/>
    </row>
    <row r="208" spans="3:62" ht="14.25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3"/>
        <v>2</v>
      </c>
      <c r="M208" s="26">
        <f t="shared" si="17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67">
        <f>SUMIFS([1]Up!$J:$J,[1]Up!$D:$D,D208)</f>
        <v>0</v>
      </c>
      <c r="AZ208" s="82"/>
      <c r="BA208" s="82" t="str">
        <f t="shared" si="24"/>
        <v>PL12</v>
      </c>
      <c r="BB208" s="53" t="str">
        <f t="shared" si="25"/>
        <v/>
      </c>
      <c r="BC208" s="53" t="s">
        <v>148</v>
      </c>
      <c r="BD208" s="53" t="s">
        <v>1021</v>
      </c>
      <c r="BE208" s="53" t="s">
        <v>1022</v>
      </c>
      <c r="BF208" s="53" t="s">
        <v>1023</v>
      </c>
      <c r="BG208" s="53">
        <v>2</v>
      </c>
      <c r="BH208" s="83">
        <v>46088</v>
      </c>
      <c r="BI208" s="53"/>
      <c r="BJ208" s="53"/>
    </row>
    <row r="209" spans="3:62" ht="14.25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3"/>
        <v>2</v>
      </c>
      <c r="M209" s="26">
        <f t="shared" si="17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67">
        <f>SUMIFS([1]Up!$J:$J,[1]Up!$D:$D,D209)</f>
        <v>0</v>
      </c>
      <c r="AZ209" s="82"/>
      <c r="BA209" s="82" t="str">
        <f t="shared" si="24"/>
        <v>PL15</v>
      </c>
      <c r="BB209" s="53" t="str">
        <f t="shared" si="25"/>
        <v/>
      </c>
      <c r="BC209" s="53" t="s">
        <v>148</v>
      </c>
      <c r="BD209" s="53" t="s">
        <v>1094</v>
      </c>
      <c r="BE209" s="53" t="s">
        <v>1095</v>
      </c>
      <c r="BF209" s="53" t="s">
        <v>1304</v>
      </c>
      <c r="BG209" s="53">
        <v>2</v>
      </c>
      <c r="BH209" s="83">
        <v>46088</v>
      </c>
      <c r="BI209" s="53"/>
      <c r="BJ209" s="53"/>
    </row>
    <row r="210" spans="3:62" ht="14.25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3"/>
        <v>1</v>
      </c>
      <c r="M210" s="26">
        <f t="shared" si="17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67">
        <f>SUMIFS([1]Up!$J:$J,[1]Up!$D:$D,D210)</f>
        <v>0</v>
      </c>
      <c r="AZ210" s="82"/>
      <c r="BA210" s="82" t="str">
        <f t="shared" si="24"/>
        <v>PL15</v>
      </c>
      <c r="BB210" s="53" t="str">
        <f t="shared" si="25"/>
        <v/>
      </c>
      <c r="BC210" s="53" t="s">
        <v>148</v>
      </c>
      <c r="BD210" s="53" t="s">
        <v>1094</v>
      </c>
      <c r="BE210" s="53" t="s">
        <v>1095</v>
      </c>
      <c r="BF210" s="53" t="s">
        <v>1304</v>
      </c>
      <c r="BG210" s="53">
        <v>1</v>
      </c>
      <c r="BH210" s="83">
        <v>46088</v>
      </c>
      <c r="BI210" s="53"/>
      <c r="BJ210" s="53"/>
    </row>
    <row r="211" spans="3:62" ht="14.25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3"/>
        <v>4</v>
      </c>
      <c r="M211" s="26">
        <f t="shared" si="17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67">
        <f>SUMIFS([1]Up!$J:$J,[1]Up!$D:$D,D211)</f>
        <v>0</v>
      </c>
      <c r="AZ211" s="82"/>
      <c r="BA211" s="82" t="str">
        <f t="shared" si="24"/>
        <v>PL12</v>
      </c>
      <c r="BB211" s="53" t="str">
        <f t="shared" si="25"/>
        <v/>
      </c>
      <c r="BC211" s="53" t="s">
        <v>148</v>
      </c>
      <c r="BD211" s="53" t="s">
        <v>1021</v>
      </c>
      <c r="BE211" s="53" t="s">
        <v>1022</v>
      </c>
      <c r="BF211" s="53" t="s">
        <v>1023</v>
      </c>
      <c r="BG211" s="53">
        <v>4</v>
      </c>
      <c r="BH211" s="83">
        <v>46088</v>
      </c>
      <c r="BI211" s="53"/>
      <c r="BJ211" s="53"/>
    </row>
    <row r="212" spans="3:62" ht="14.25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3"/>
        <v>1</v>
      </c>
      <c r="M212" s="26">
        <f t="shared" si="17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67">
        <f>SUMIFS([1]Up!$J:$J,[1]Up!$D:$D,D212)</f>
        <v>0</v>
      </c>
      <c r="AZ212" s="82" t="s">
        <v>2071</v>
      </c>
      <c r="BA212" s="82" t="str">
        <f t="shared" si="24"/>
        <v>PL12</v>
      </c>
      <c r="BB212" s="53" t="str">
        <f t="shared" si="25"/>
        <v>Thừa 4</v>
      </c>
      <c r="BC212" s="53" t="s">
        <v>154</v>
      </c>
      <c r="BD212" s="53" t="s">
        <v>1021</v>
      </c>
      <c r="BE212" s="53" t="s">
        <v>1022</v>
      </c>
      <c r="BF212" s="53" t="s">
        <v>57</v>
      </c>
      <c r="BG212" s="53">
        <v>1</v>
      </c>
      <c r="BH212" s="83"/>
      <c r="BI212" s="53"/>
      <c r="BJ212" s="53"/>
    </row>
    <row r="213" spans="3:62" ht="14.25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3"/>
        <v>2</v>
      </c>
      <c r="M213" s="26">
        <f t="shared" si="17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67">
        <f>SUMIFS([1]Up!$J:$J,[1]Up!$D:$D,D213)</f>
        <v>0</v>
      </c>
      <c r="AZ213" s="82"/>
      <c r="BA213" s="82" t="str">
        <f t="shared" si="24"/>
        <v>PL15</v>
      </c>
      <c r="BB213" s="53" t="str">
        <f t="shared" si="25"/>
        <v/>
      </c>
      <c r="BC213" s="53" t="s">
        <v>148</v>
      </c>
      <c r="BD213" s="53" t="s">
        <v>1094</v>
      </c>
      <c r="BE213" s="53" t="s">
        <v>1095</v>
      </c>
      <c r="BF213" s="53" t="s">
        <v>1304</v>
      </c>
      <c r="BG213" s="53">
        <v>2</v>
      </c>
      <c r="BH213" s="83">
        <v>46088</v>
      </c>
      <c r="BI213" s="53"/>
      <c r="BJ213" s="53"/>
    </row>
    <row r="214" spans="3:62" ht="14.25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3"/>
        <v>2</v>
      </c>
      <c r="M214" s="26">
        <f t="shared" si="17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67">
        <f>SUMIFS([1]Up!$J:$J,[1]Up!$D:$D,D214)</f>
        <v>0</v>
      </c>
      <c r="AZ214" s="82"/>
      <c r="BA214" s="82" t="str">
        <f t="shared" si="24"/>
        <v>PL20</v>
      </c>
      <c r="BB214" s="53" t="str">
        <f t="shared" si="25"/>
        <v/>
      </c>
      <c r="BC214" s="53" t="s">
        <v>148</v>
      </c>
      <c r="BD214" s="53" t="s">
        <v>1100</v>
      </c>
      <c r="BE214" s="53" t="s">
        <v>1101</v>
      </c>
      <c r="BF214" s="53" t="s">
        <v>1308</v>
      </c>
      <c r="BG214" s="53">
        <v>2</v>
      </c>
      <c r="BH214" s="83">
        <v>46242</v>
      </c>
      <c r="BI214" s="53"/>
      <c r="BJ214" s="53"/>
    </row>
    <row r="215" spans="3:62" ht="14.25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3"/>
        <v>1</v>
      </c>
      <c r="M215" s="26">
        <f t="shared" si="17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67">
        <f>SUMIFS([1]Up!$J:$J,[1]Up!$D:$D,D215)</f>
        <v>0</v>
      </c>
      <c r="AZ215" s="82"/>
      <c r="BA215" s="82" t="str">
        <f t="shared" si="24"/>
        <v>PL20</v>
      </c>
      <c r="BB215" s="53" t="str">
        <f t="shared" si="25"/>
        <v/>
      </c>
      <c r="BC215" s="53" t="s">
        <v>148</v>
      </c>
      <c r="BD215" s="53" t="s">
        <v>1100</v>
      </c>
      <c r="BE215" s="53" t="s">
        <v>1101</v>
      </c>
      <c r="BF215" s="53" t="s">
        <v>1318</v>
      </c>
      <c r="BG215" s="53">
        <v>1</v>
      </c>
      <c r="BH215" s="83">
        <v>46242</v>
      </c>
      <c r="BI215" s="53"/>
      <c r="BJ215" s="53"/>
    </row>
    <row r="216" spans="3:62" ht="14.25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3"/>
        <v>5</v>
      </c>
      <c r="M216" s="26">
        <f t="shared" si="17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67">
        <f>SUMIFS([1]Up!$J:$J,[1]Up!$D:$D,D216)</f>
        <v>0</v>
      </c>
      <c r="AZ216" s="82"/>
      <c r="BA216" s="82" t="str">
        <f t="shared" si="24"/>
        <v/>
      </c>
      <c r="BB216" s="53" t="str">
        <f t="shared" si="25"/>
        <v/>
      </c>
      <c r="BC216" s="53" t="s">
        <v>154</v>
      </c>
      <c r="BD216" s="53" t="s">
        <v>1082</v>
      </c>
      <c r="BE216" s="53" t="s">
        <v>1081</v>
      </c>
      <c r="BF216" s="53" t="s">
        <v>1292</v>
      </c>
      <c r="BG216" s="53">
        <v>5</v>
      </c>
      <c r="BH216" s="83">
        <v>46362</v>
      </c>
      <c r="BI216" s="53"/>
      <c r="BJ216" s="53"/>
    </row>
    <row r="217" spans="3:62" ht="14.25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3"/>
        <v>1</v>
      </c>
      <c r="M217" s="26">
        <f t="shared" si="17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67">
        <f>SUMIFS([1]Up!$J:$J,[1]Up!$D:$D,D217)</f>
        <v>0</v>
      </c>
      <c r="AZ217" s="82"/>
      <c r="BA217" s="82" t="str">
        <f t="shared" si="24"/>
        <v/>
      </c>
      <c r="BB217" s="53" t="str">
        <f t="shared" si="25"/>
        <v/>
      </c>
      <c r="BC217" s="53" t="s">
        <v>154</v>
      </c>
      <c r="BD217" s="53"/>
      <c r="BE217" s="53" t="s">
        <v>1129</v>
      </c>
      <c r="BF217" s="53" t="s">
        <v>1339</v>
      </c>
      <c r="BG217" s="53">
        <v>1</v>
      </c>
      <c r="BH217" s="83" t="s">
        <v>2224</v>
      </c>
      <c r="BI217" s="53"/>
      <c r="BJ217" s="53"/>
    </row>
    <row r="218" spans="3:62" ht="14.25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3"/>
        <v>1</v>
      </c>
      <c r="M218" s="26">
        <f t="shared" si="17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67">
        <f>SUMIFS([1]Up!$J:$J,[1]Up!$D:$D,D218)</f>
        <v>0</v>
      </c>
      <c r="AZ218" s="82" t="s">
        <v>2085</v>
      </c>
      <c r="BA218" s="82" t="str">
        <f t="shared" si="24"/>
        <v>PL12</v>
      </c>
      <c r="BB218" s="53" t="str">
        <f t="shared" si="25"/>
        <v>Thừa 4</v>
      </c>
      <c r="BC218" s="53" t="s">
        <v>154</v>
      </c>
      <c r="BD218" s="53" t="s">
        <v>1021</v>
      </c>
      <c r="BE218" s="53" t="s">
        <v>1022</v>
      </c>
      <c r="BF218" s="53" t="s">
        <v>57</v>
      </c>
      <c r="BG218" s="53">
        <v>1</v>
      </c>
      <c r="BH218" s="83"/>
      <c r="BI218" s="53"/>
      <c r="BJ218" s="53"/>
    </row>
    <row r="219" spans="3:62" ht="14.25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3"/>
        <v>1</v>
      </c>
      <c r="M219" s="26">
        <f t="shared" si="17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67">
        <f>SUMIFS([1]Up!$J:$J,[1]Up!$D:$D,D219)</f>
        <v>0</v>
      </c>
      <c r="AZ219" s="82"/>
      <c r="BA219" s="82" t="str">
        <f t="shared" si="24"/>
        <v>PL20</v>
      </c>
      <c r="BB219" s="53" t="str">
        <f t="shared" si="25"/>
        <v/>
      </c>
      <c r="BC219" s="53" t="s">
        <v>148</v>
      </c>
      <c r="BD219" s="53" t="s">
        <v>1100</v>
      </c>
      <c r="BE219" s="53" t="s">
        <v>1101</v>
      </c>
      <c r="BF219" s="53" t="s">
        <v>1318</v>
      </c>
      <c r="BG219" s="53">
        <v>1</v>
      </c>
      <c r="BH219" s="83">
        <v>46242</v>
      </c>
      <c r="BI219" s="53"/>
      <c r="BJ219" s="53"/>
    </row>
    <row r="220" spans="3:62" ht="14.25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3"/>
        <v>4</v>
      </c>
      <c r="M220" s="26">
        <f t="shared" si="17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67">
        <f>SUMIFS([1]Up!$J:$J,[1]Up!$D:$D,D220)</f>
        <v>0</v>
      </c>
      <c r="AZ220" s="82"/>
      <c r="BA220" s="82" t="str">
        <f t="shared" si="24"/>
        <v>PL12</v>
      </c>
      <c r="BB220" s="53" t="str">
        <f t="shared" si="25"/>
        <v/>
      </c>
      <c r="BC220" s="53" t="s">
        <v>148</v>
      </c>
      <c r="BD220" s="53" t="s">
        <v>1021</v>
      </c>
      <c r="BE220" s="53" t="s">
        <v>1022</v>
      </c>
      <c r="BF220" s="53" t="s">
        <v>1023</v>
      </c>
      <c r="BG220" s="53">
        <v>4</v>
      </c>
      <c r="BH220" s="83">
        <v>46088</v>
      </c>
      <c r="BI220" s="53"/>
      <c r="BJ220" s="53"/>
    </row>
    <row r="221" spans="3:62" ht="14.25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3"/>
        <v>1</v>
      </c>
      <c r="M221" s="26">
        <f t="shared" si="17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>
        <v>1</v>
      </c>
      <c r="AY221" s="67">
        <f>SUMIFS([1]Up!$J:$J,[1]Up!$D:$D,D221)</f>
        <v>0</v>
      </c>
      <c r="AZ221" s="82"/>
      <c r="BA221" s="82" t="str">
        <f t="shared" si="24"/>
        <v>PL10</v>
      </c>
      <c r="BB221" s="53" t="str">
        <f t="shared" si="25"/>
        <v/>
      </c>
      <c r="BC221" s="53" t="s">
        <v>154</v>
      </c>
      <c r="BD221" s="53" t="s">
        <v>1005</v>
      </c>
      <c r="BE221" s="53" t="s">
        <v>1006</v>
      </c>
      <c r="BF221" s="53" t="s">
        <v>1345</v>
      </c>
      <c r="BG221" s="53">
        <v>1</v>
      </c>
      <c r="BH221" s="83" t="s">
        <v>2224</v>
      </c>
      <c r="BI221" s="53"/>
      <c r="BJ221" s="53"/>
    </row>
    <row r="222" spans="3:62" ht="14.25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6">MIN(SUM(N222:AX222),I222)</f>
        <v>1</v>
      </c>
      <c r="M222" s="26">
        <f t="shared" si="17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>
        <v>1</v>
      </c>
      <c r="AY222" s="67">
        <f>SUMIFS([1]Up!$J:$J,[1]Up!$D:$D,D222)</f>
        <v>0</v>
      </c>
      <c r="AZ222" s="82"/>
      <c r="BA222" s="82" t="str">
        <f t="shared" ref="BA222:BA285" si="27">IFERROR(IF(C222="Plate",LEFT(E222,FIND("*",E222,1)-1),""),IF(C222="Plate",LEFT(E222,FIND("x",E222,1)-1),""))</f>
        <v>PL10</v>
      </c>
      <c r="BB222" s="53" t="str">
        <f t="shared" ref="BB222:BB285" si="28">IF(ROUND(SUM(N222:AX222)-I222,0)&gt;0,"Thừa "&amp;SUM(N222:AX222)-I222,"")</f>
        <v/>
      </c>
      <c r="BC222" s="53" t="s">
        <v>154</v>
      </c>
      <c r="BD222" s="53" t="s">
        <v>1005</v>
      </c>
      <c r="BE222" s="53" t="s">
        <v>1006</v>
      </c>
      <c r="BF222" s="53" t="s">
        <v>1345</v>
      </c>
      <c r="BG222" s="53">
        <v>1</v>
      </c>
      <c r="BH222" s="83" t="s">
        <v>2224</v>
      </c>
      <c r="BI222" s="53"/>
      <c r="BJ222" s="53"/>
    </row>
    <row r="223" spans="3:62" ht="14.25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6"/>
        <v>1</v>
      </c>
      <c r="M223" s="26">
        <f t="shared" si="17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>
        <v>1</v>
      </c>
      <c r="AY223" s="67">
        <f>SUMIFS([1]Up!$J:$J,[1]Up!$D:$D,D223)</f>
        <v>0</v>
      </c>
      <c r="AZ223" s="82"/>
      <c r="BA223" s="82" t="str">
        <f t="shared" si="27"/>
        <v>PL10</v>
      </c>
      <c r="BB223" s="53" t="str">
        <f t="shared" si="28"/>
        <v/>
      </c>
      <c r="BC223" s="53" t="s">
        <v>154</v>
      </c>
      <c r="BD223" s="53" t="s">
        <v>1005</v>
      </c>
      <c r="BE223" s="53" t="s">
        <v>1006</v>
      </c>
      <c r="BF223" s="53" t="s">
        <v>1064</v>
      </c>
      <c r="BG223" s="53">
        <v>1</v>
      </c>
      <c r="BH223" s="83">
        <v>46088</v>
      </c>
      <c r="BI223" s="53"/>
      <c r="BJ223" s="53"/>
    </row>
    <row r="224" spans="3:62" ht="14.25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6"/>
        <v>2</v>
      </c>
      <c r="M224" s="26">
        <f t="shared" si="17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67">
        <f>SUMIFS([1]Up!$J:$J,[1]Up!$D:$D,D224)</f>
        <v>0</v>
      </c>
      <c r="AZ224" s="82"/>
      <c r="BA224" s="82" t="str">
        <f t="shared" si="27"/>
        <v>PL10</v>
      </c>
      <c r="BB224" s="53" t="str">
        <f t="shared" si="28"/>
        <v/>
      </c>
      <c r="BC224" s="53" t="s">
        <v>148</v>
      </c>
      <c r="BD224" s="53" t="s">
        <v>1005</v>
      </c>
      <c r="BE224" s="53" t="s">
        <v>1006</v>
      </c>
      <c r="BF224" s="53" t="s">
        <v>1064</v>
      </c>
      <c r="BG224" s="53">
        <v>2</v>
      </c>
      <c r="BH224" s="83">
        <v>46088</v>
      </c>
      <c r="BI224" s="53"/>
      <c r="BJ224" s="53"/>
    </row>
    <row r="225" spans="3:63" ht="14.25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6"/>
        <v>1</v>
      </c>
      <c r="M225" s="26">
        <f t="shared" si="17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67">
        <f>SUMIFS([1]Up!$J:$J,[1]Up!$D:$D,D225)</f>
        <v>0</v>
      </c>
      <c r="AZ225" s="82"/>
      <c r="BA225" s="82" t="str">
        <f t="shared" si="27"/>
        <v>PL10</v>
      </c>
      <c r="BB225" s="53" t="str">
        <f t="shared" si="28"/>
        <v/>
      </c>
      <c r="BC225" s="53" t="s">
        <v>148</v>
      </c>
      <c r="BD225" s="53" t="s">
        <v>1005</v>
      </c>
      <c r="BE225" s="53" t="s">
        <v>1006</v>
      </c>
      <c r="BF225" s="53" t="s">
        <v>1064</v>
      </c>
      <c r="BG225" s="53">
        <v>1</v>
      </c>
      <c r="BH225" s="83">
        <v>46088</v>
      </c>
      <c r="BI225" s="53"/>
      <c r="BJ225" s="53"/>
    </row>
    <row r="226" spans="3:63" ht="14.25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6"/>
        <v>1</v>
      </c>
      <c r="M226" s="26">
        <f t="shared" si="17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67">
        <f>SUMIFS([1]Up!$J:$J,[1]Up!$D:$D,D226)</f>
        <v>0</v>
      </c>
      <c r="AZ226" s="82"/>
      <c r="BA226" s="82" t="str">
        <f t="shared" si="27"/>
        <v>PL15</v>
      </c>
      <c r="BB226" s="53" t="str">
        <f t="shared" si="28"/>
        <v/>
      </c>
      <c r="BC226" s="53" t="s">
        <v>148</v>
      </c>
      <c r="BD226" s="53" t="s">
        <v>1094</v>
      </c>
      <c r="BE226" s="53" t="s">
        <v>1095</v>
      </c>
      <c r="BF226" s="53" t="s">
        <v>1304</v>
      </c>
      <c r="BG226" s="53">
        <v>1</v>
      </c>
      <c r="BH226" s="83">
        <v>46088</v>
      </c>
      <c r="BI226" s="53"/>
      <c r="BJ226" s="53"/>
    </row>
    <row r="227" spans="3:63" ht="14.25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6"/>
        <v>1</v>
      </c>
      <c r="M227" s="26">
        <f t="shared" si="17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67">
        <f>SUMIFS([1]Up!$J:$J,[1]Up!$D:$D,D227)</f>
        <v>0</v>
      </c>
      <c r="AZ227" s="82"/>
      <c r="BA227" s="82" t="str">
        <f t="shared" si="27"/>
        <v>PL15</v>
      </c>
      <c r="BB227" s="53" t="str">
        <f t="shared" si="28"/>
        <v/>
      </c>
      <c r="BC227" s="53" t="s">
        <v>148</v>
      </c>
      <c r="BD227" s="53" t="s">
        <v>1094</v>
      </c>
      <c r="BE227" s="53" t="s">
        <v>1095</v>
      </c>
      <c r="BF227" s="53" t="s">
        <v>1304</v>
      </c>
      <c r="BG227" s="53">
        <v>1</v>
      </c>
      <c r="BH227" s="83">
        <v>46088</v>
      </c>
      <c r="BI227" s="53"/>
      <c r="BJ227" s="53"/>
    </row>
    <row r="228" spans="3:63" ht="14.25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6"/>
        <v>1</v>
      </c>
      <c r="M228" s="26">
        <f t="shared" si="17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67">
        <f>SUMIFS([1]Up!$J:$J,[1]Up!$D:$D,D228)</f>
        <v>0</v>
      </c>
      <c r="AZ228" s="82"/>
      <c r="BA228" s="82" t="str">
        <f t="shared" si="27"/>
        <v>PL10</v>
      </c>
      <c r="BB228" s="53" t="str">
        <f t="shared" si="28"/>
        <v/>
      </c>
      <c r="BC228" s="53" t="s">
        <v>154</v>
      </c>
      <c r="BD228" s="53" t="s">
        <v>1005</v>
      </c>
      <c r="BE228" s="53" t="s">
        <v>1006</v>
      </c>
      <c r="BF228" s="53" t="s">
        <v>1064</v>
      </c>
      <c r="BG228" s="53">
        <v>1</v>
      </c>
      <c r="BH228" s="83">
        <v>46088</v>
      </c>
      <c r="BI228" s="53"/>
      <c r="BJ228" s="53"/>
    </row>
    <row r="229" spans="3:63" ht="14.25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6"/>
        <v>4</v>
      </c>
      <c r="M229" s="26">
        <f t="shared" si="17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67">
        <f>SUMIFS([1]Up!$J:$J,[1]Up!$D:$D,D229)</f>
        <v>0</v>
      </c>
      <c r="AZ229" s="82"/>
      <c r="BA229" s="82" t="str">
        <f t="shared" si="27"/>
        <v/>
      </c>
      <c r="BB229" s="53" t="str">
        <f t="shared" si="28"/>
        <v/>
      </c>
      <c r="BC229" s="53" t="s">
        <v>148</v>
      </c>
      <c r="BD229" s="53" t="s">
        <v>1079</v>
      </c>
      <c r="BE229" s="53" t="s">
        <v>1076</v>
      </c>
      <c r="BF229" s="84" t="s">
        <v>2162</v>
      </c>
      <c r="BG229" s="53">
        <v>16</v>
      </c>
      <c r="BH229" s="83" t="s">
        <v>2225</v>
      </c>
      <c r="BI229" s="53"/>
      <c r="BJ229" s="53"/>
      <c r="BK229" s="238"/>
    </row>
    <row r="230" spans="3:63" ht="14.25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6"/>
        <v>0</v>
      </c>
      <c r="M230" s="26">
        <f t="shared" si="17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67">
        <f>SUMIFS([1]Up!$J:$J,[1]Up!$D:$D,D230)</f>
        <v>0</v>
      </c>
      <c r="AZ230" s="82"/>
      <c r="BA230" s="82" t="str">
        <f t="shared" si="27"/>
        <v/>
      </c>
      <c r="BB230" s="53" t="str">
        <f t="shared" si="28"/>
        <v/>
      </c>
      <c r="BC230" s="53" t="s">
        <v>154</v>
      </c>
      <c r="BD230" s="53" t="s">
        <v>1082</v>
      </c>
      <c r="BE230" s="53" t="s">
        <v>1081</v>
      </c>
      <c r="BF230" s="84" t="s">
        <v>2163</v>
      </c>
      <c r="BG230" s="53">
        <v>8</v>
      </c>
      <c r="BH230" s="83" t="s">
        <v>2225</v>
      </c>
      <c r="BI230" s="53"/>
      <c r="BJ230" s="53"/>
      <c r="BK230" s="238"/>
    </row>
    <row r="231" spans="3:63" ht="14.25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6"/>
        <v>0</v>
      </c>
      <c r="M231" s="26">
        <f t="shared" si="17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67">
        <f>SUMIFS([1]Up!$J:$J,[1]Up!$D:$D,D231)</f>
        <v>0</v>
      </c>
      <c r="AZ231" s="82"/>
      <c r="BA231" s="82" t="str">
        <f t="shared" si="27"/>
        <v>PL12</v>
      </c>
      <c r="BB231" s="53" t="str">
        <f t="shared" si="28"/>
        <v/>
      </c>
      <c r="BC231" s="53" t="s">
        <v>154</v>
      </c>
      <c r="BD231" s="53" t="s">
        <v>1021</v>
      </c>
      <c r="BE231" s="53" t="s">
        <v>1022</v>
      </c>
      <c r="BF231" s="53" t="s">
        <v>57</v>
      </c>
      <c r="BG231" s="53">
        <v>4</v>
      </c>
      <c r="BH231" s="83"/>
      <c r="BI231" s="53"/>
      <c r="BJ231" s="53"/>
    </row>
    <row r="232" spans="3:63" ht="14.25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6"/>
        <v>2</v>
      </c>
      <c r="M232" s="26">
        <f t="shared" si="17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67">
        <f>SUMIFS([1]Up!$J:$J,[1]Up!$D:$D,D232)</f>
        <v>0</v>
      </c>
      <c r="AZ232" s="82"/>
      <c r="BA232" s="82" t="str">
        <f t="shared" si="27"/>
        <v>PL10</v>
      </c>
      <c r="BB232" s="53" t="str">
        <f t="shared" si="28"/>
        <v/>
      </c>
      <c r="BC232" s="53" t="s">
        <v>148</v>
      </c>
      <c r="BD232" s="53" t="s">
        <v>1005</v>
      </c>
      <c r="BE232" s="53" t="s">
        <v>1006</v>
      </c>
      <c r="BF232" s="84" t="s">
        <v>2157</v>
      </c>
      <c r="BG232" s="53">
        <v>8</v>
      </c>
      <c r="BH232" s="83">
        <v>46302</v>
      </c>
      <c r="BI232" s="53"/>
      <c r="BJ232" s="53"/>
      <c r="BK232" s="238"/>
    </row>
    <row r="233" spans="3:63" ht="14.25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6"/>
        <v>4</v>
      </c>
      <c r="M233" s="26">
        <f t="shared" si="17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67">
        <f>SUMIFS([1]Up!$J:$J,[1]Up!$D:$D,D233)</f>
        <v>0</v>
      </c>
      <c r="AZ233" s="82"/>
      <c r="BA233" s="82" t="str">
        <f t="shared" si="27"/>
        <v>PL12</v>
      </c>
      <c r="BB233" s="53" t="str">
        <f t="shared" si="28"/>
        <v/>
      </c>
      <c r="BC233" s="53" t="s">
        <v>148</v>
      </c>
      <c r="BD233" s="53" t="s">
        <v>1021</v>
      </c>
      <c r="BE233" s="53" t="s">
        <v>1022</v>
      </c>
      <c r="BF233" s="84" t="s">
        <v>2160</v>
      </c>
      <c r="BG233" s="53">
        <v>16</v>
      </c>
      <c r="BH233" s="83">
        <v>46302</v>
      </c>
      <c r="BI233" s="53"/>
      <c r="BJ233" s="53"/>
      <c r="BK233" s="238"/>
    </row>
    <row r="234" spans="3:63" ht="14.25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6"/>
        <v>4</v>
      </c>
      <c r="M234" s="26">
        <f t="shared" si="17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67">
        <f>SUMIFS([1]Up!$J:$J,[1]Up!$D:$D,D234)</f>
        <v>0</v>
      </c>
      <c r="AZ234" s="82"/>
      <c r="BA234" s="82" t="str">
        <f t="shared" si="27"/>
        <v>PL12</v>
      </c>
      <c r="BB234" s="53" t="str">
        <f t="shared" si="28"/>
        <v/>
      </c>
      <c r="BC234" s="53" t="s">
        <v>148</v>
      </c>
      <c r="BD234" s="53" t="s">
        <v>1021</v>
      </c>
      <c r="BE234" s="53" t="s">
        <v>1022</v>
      </c>
      <c r="BF234" s="84" t="s">
        <v>2160</v>
      </c>
      <c r="BG234" s="53">
        <v>16</v>
      </c>
      <c r="BH234" s="83">
        <v>46302</v>
      </c>
      <c r="BI234" s="53"/>
      <c r="BJ234" s="53"/>
      <c r="BK234" s="238"/>
    </row>
    <row r="235" spans="3:63" ht="14.25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6"/>
        <v>8</v>
      </c>
      <c r="M235" s="26">
        <f t="shared" si="17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67">
        <f>SUMIFS([1]Up!$J:$J,[1]Up!$D:$D,D235)</f>
        <v>8</v>
      </c>
      <c r="AZ235" s="82"/>
      <c r="BA235" s="82" t="str">
        <f t="shared" si="27"/>
        <v>PL16</v>
      </c>
      <c r="BB235" s="53" t="str">
        <f t="shared" si="28"/>
        <v/>
      </c>
      <c r="BC235" s="53" t="s">
        <v>148</v>
      </c>
      <c r="BD235" s="53" t="s">
        <v>988</v>
      </c>
      <c r="BE235" s="53" t="s">
        <v>989</v>
      </c>
      <c r="BF235" s="84" t="s">
        <v>2161</v>
      </c>
      <c r="BG235" s="53">
        <v>32</v>
      </c>
      <c r="BH235" s="83" t="s">
        <v>2226</v>
      </c>
      <c r="BI235" s="53"/>
      <c r="BJ235" s="53"/>
      <c r="BK235" s="238"/>
    </row>
    <row r="236" spans="3:63" ht="14.25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6"/>
        <v>2</v>
      </c>
      <c r="M236" s="26">
        <f t="shared" si="17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67">
        <f>SUMIFS([1]Up!$J:$J,[1]Up!$D:$D,D236)</f>
        <v>2</v>
      </c>
      <c r="AZ236" s="82"/>
      <c r="BA236" s="82" t="str">
        <f t="shared" si="27"/>
        <v>PL15</v>
      </c>
      <c r="BB236" s="53" t="str">
        <f t="shared" si="28"/>
        <v/>
      </c>
      <c r="BC236" s="53" t="s">
        <v>148</v>
      </c>
      <c r="BD236" s="53" t="s">
        <v>1094</v>
      </c>
      <c r="BE236" s="53" t="s">
        <v>1095</v>
      </c>
      <c r="BF236" s="84" t="s">
        <v>2156</v>
      </c>
      <c r="BG236" s="53">
        <v>8</v>
      </c>
      <c r="BH236" s="83" t="s">
        <v>2225</v>
      </c>
      <c r="BI236" s="53"/>
      <c r="BJ236" s="53"/>
      <c r="BK236" s="238"/>
    </row>
    <row r="237" spans="3:63" ht="14.25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6"/>
        <v>0</v>
      </c>
      <c r="M237" s="26">
        <f t="shared" si="17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67">
        <f>SUMIFS([1]Up!$J:$J,[1]Up!$D:$D,D237)</f>
        <v>0</v>
      </c>
      <c r="AZ237" s="82"/>
      <c r="BA237" s="82" t="str">
        <f t="shared" si="27"/>
        <v>PL10</v>
      </c>
      <c r="BB237" s="53" t="str">
        <f t="shared" si="28"/>
        <v/>
      </c>
      <c r="BC237" s="53" t="s">
        <v>154</v>
      </c>
      <c r="BD237" s="53" t="s">
        <v>1005</v>
      </c>
      <c r="BE237" s="53" t="s">
        <v>1006</v>
      </c>
      <c r="BF237" s="84" t="s">
        <v>2157</v>
      </c>
      <c r="BG237" s="53">
        <v>4</v>
      </c>
      <c r="BH237" s="83">
        <v>46302</v>
      </c>
      <c r="BI237" s="53"/>
      <c r="BJ237" s="53"/>
      <c r="BK237" s="238"/>
    </row>
    <row r="238" spans="3:63" ht="14.25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6"/>
        <v>1</v>
      </c>
      <c r="M238" s="26">
        <f t="shared" si="17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67">
        <f>SUMIFS([1]Up!$J:$J,[1]Up!$D:$D,D238)</f>
        <v>0</v>
      </c>
      <c r="AZ238" s="82"/>
      <c r="BA238" s="82" t="str">
        <f t="shared" si="27"/>
        <v>PL20</v>
      </c>
      <c r="BB238" s="53" t="str">
        <f t="shared" si="28"/>
        <v/>
      </c>
      <c r="BC238" s="53" t="s">
        <v>148</v>
      </c>
      <c r="BD238" s="53" t="s">
        <v>1100</v>
      </c>
      <c r="BE238" s="53" t="s">
        <v>1101</v>
      </c>
      <c r="BF238" s="84" t="s">
        <v>2158</v>
      </c>
      <c r="BG238" s="53">
        <v>4</v>
      </c>
      <c r="BH238" s="83">
        <v>46242</v>
      </c>
      <c r="BI238" s="53"/>
      <c r="BJ238" s="53"/>
      <c r="BK238" s="238"/>
    </row>
    <row r="239" spans="3:63" ht="14.25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6"/>
        <v>1</v>
      </c>
      <c r="M239" s="26">
        <f t="shared" si="17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67">
        <f>SUMIFS([1]Up!$J:$J,[1]Up!$D:$D,D239)</f>
        <v>0</v>
      </c>
      <c r="AZ239" s="82"/>
      <c r="BA239" s="82" t="str">
        <f t="shared" si="27"/>
        <v>PL20</v>
      </c>
      <c r="BB239" s="53" t="str">
        <f t="shared" si="28"/>
        <v/>
      </c>
      <c r="BC239" s="53" t="s">
        <v>148</v>
      </c>
      <c r="BD239" s="53" t="s">
        <v>1100</v>
      </c>
      <c r="BE239" s="53" t="s">
        <v>1101</v>
      </c>
      <c r="BF239" s="84" t="s">
        <v>2158</v>
      </c>
      <c r="BG239" s="53">
        <v>4</v>
      </c>
      <c r="BH239" s="83">
        <v>46242</v>
      </c>
      <c r="BI239" s="53"/>
      <c r="BJ239" s="53"/>
      <c r="BK239" s="238"/>
    </row>
    <row r="240" spans="3:63" ht="14.25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6"/>
        <v>0</v>
      </c>
      <c r="M240" s="26">
        <f t="shared" si="17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67">
        <f>SUMIFS([1]Up!$J:$J,[1]Up!$D:$D,D240)</f>
        <v>0</v>
      </c>
      <c r="AZ240" s="82"/>
      <c r="BA240" s="82" t="str">
        <f t="shared" si="27"/>
        <v>PL10</v>
      </c>
      <c r="BB240" s="53" t="str">
        <f t="shared" si="28"/>
        <v/>
      </c>
      <c r="BC240" s="53" t="s">
        <v>148</v>
      </c>
      <c r="BD240" s="53" t="s">
        <v>1005</v>
      </c>
      <c r="BE240" s="53" t="s">
        <v>1006</v>
      </c>
      <c r="BF240" s="84" t="s">
        <v>2157</v>
      </c>
      <c r="BG240" s="53">
        <v>4</v>
      </c>
      <c r="BH240" s="83">
        <v>46302</v>
      </c>
      <c r="BI240" s="53"/>
      <c r="BJ240" s="53"/>
      <c r="BK240" s="238"/>
    </row>
    <row r="241" spans="3:63" ht="14.25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6"/>
        <v>0</v>
      </c>
      <c r="M241" s="26">
        <f t="shared" si="17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67">
        <f>SUMIFS([1]Up!$J:$J,[1]Up!$D:$D,D241)</f>
        <v>0</v>
      </c>
      <c r="AZ241" s="82"/>
      <c r="BA241" s="82" t="str">
        <f t="shared" si="27"/>
        <v>PL5</v>
      </c>
      <c r="BB241" s="53" t="str">
        <f t="shared" si="28"/>
        <v/>
      </c>
      <c r="BC241" s="53" t="s">
        <v>148</v>
      </c>
      <c r="BD241" s="53" t="s">
        <v>1108</v>
      </c>
      <c r="BE241" s="53" t="s">
        <v>957</v>
      </c>
      <c r="BF241" s="84" t="s">
        <v>2159</v>
      </c>
      <c r="BG241" s="53">
        <v>8</v>
      </c>
      <c r="BH241" s="83">
        <v>46302</v>
      </c>
      <c r="BI241" s="53"/>
      <c r="BJ241" s="53"/>
      <c r="BK241" s="238"/>
    </row>
    <row r="242" spans="3:63" ht="14.25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6"/>
        <v>4</v>
      </c>
      <c r="M242" s="26">
        <f t="shared" si="17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67">
        <f>SUMIFS([1]Up!$J:$J,[1]Up!$D:$D,D242)</f>
        <v>0</v>
      </c>
      <c r="AZ242" s="82"/>
      <c r="BA242" s="82" t="str">
        <f t="shared" si="27"/>
        <v>PL12</v>
      </c>
      <c r="BB242" s="53" t="str">
        <f t="shared" si="28"/>
        <v/>
      </c>
      <c r="BC242" s="53" t="s">
        <v>148</v>
      </c>
      <c r="BD242" s="53" t="s">
        <v>1021</v>
      </c>
      <c r="BE242" s="53" t="s">
        <v>1022</v>
      </c>
      <c r="BF242" s="84" t="s">
        <v>2160</v>
      </c>
      <c r="BG242" s="53">
        <v>16</v>
      </c>
      <c r="BH242" s="83">
        <v>46302</v>
      </c>
      <c r="BI242" s="53"/>
      <c r="BJ242" s="53"/>
      <c r="BK242" s="238"/>
    </row>
    <row r="243" spans="3:63" ht="14.25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6"/>
        <v>2</v>
      </c>
      <c r="M243" s="26">
        <f t="shared" si="17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67">
        <f>SUMIFS([1]Up!$J:$J,[1]Up!$D:$D,D243)</f>
        <v>0</v>
      </c>
      <c r="AZ243" s="82"/>
      <c r="BA243" s="82" t="str">
        <f t="shared" si="27"/>
        <v>PL12</v>
      </c>
      <c r="BB243" s="53" t="str">
        <f t="shared" si="28"/>
        <v/>
      </c>
      <c r="BC243" s="53" t="s">
        <v>148</v>
      </c>
      <c r="BD243" s="53" t="s">
        <v>1021</v>
      </c>
      <c r="BE243" s="53" t="s">
        <v>1022</v>
      </c>
      <c r="BF243" s="84" t="s">
        <v>2160</v>
      </c>
      <c r="BG243" s="53">
        <v>8</v>
      </c>
      <c r="BH243" s="83">
        <v>46302</v>
      </c>
      <c r="BI243" s="53"/>
      <c r="BJ243" s="53"/>
      <c r="BK243" s="238"/>
    </row>
    <row r="244" spans="3:63" ht="14.25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6"/>
        <v>10</v>
      </c>
      <c r="M244" s="26">
        <f t="shared" si="17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67">
        <f>SUMIFS([1]Up!$J:$J,[1]Up!$D:$D,D244)</f>
        <v>0</v>
      </c>
      <c r="AZ244" s="82"/>
      <c r="BA244" s="82" t="str">
        <f t="shared" si="27"/>
        <v>PL20</v>
      </c>
      <c r="BB244" s="53" t="str">
        <f t="shared" si="28"/>
        <v/>
      </c>
      <c r="BC244" s="53" t="s">
        <v>148</v>
      </c>
      <c r="BD244" s="53" t="s">
        <v>1100</v>
      </c>
      <c r="BE244" s="53" t="s">
        <v>1101</v>
      </c>
      <c r="BF244" s="53" t="s">
        <v>2167</v>
      </c>
      <c r="BG244" s="53">
        <v>4</v>
      </c>
      <c r="BH244" s="83" t="s">
        <v>2227</v>
      </c>
      <c r="BI244" s="53"/>
      <c r="BJ244" s="53"/>
    </row>
    <row r="245" spans="3:63" ht="14.25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6"/>
        <v>2</v>
      </c>
      <c r="M245" s="26">
        <f t="shared" si="17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67">
        <f>SUMIFS([1]Up!$J:$J,[1]Up!$D:$D,D245)</f>
        <v>0</v>
      </c>
      <c r="AZ245" s="82" t="s">
        <v>2085</v>
      </c>
      <c r="BA245" s="82" t="str">
        <f t="shared" si="27"/>
        <v>PL12</v>
      </c>
      <c r="BB245" s="53" t="str">
        <f t="shared" si="28"/>
        <v>Thừa 3</v>
      </c>
      <c r="BC245" s="53" t="s">
        <v>154</v>
      </c>
      <c r="BD245" s="53" t="s">
        <v>1021</v>
      </c>
      <c r="BE245" s="53" t="s">
        <v>1022</v>
      </c>
      <c r="BF245" s="53" t="s">
        <v>57</v>
      </c>
      <c r="BG245" s="53">
        <v>4</v>
      </c>
      <c r="BH245" s="83"/>
      <c r="BI245" s="53"/>
      <c r="BJ245" s="53"/>
    </row>
    <row r="246" spans="3:63" ht="14.25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6"/>
        <v>4</v>
      </c>
      <c r="M246" s="26">
        <f t="shared" si="17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67">
        <f>SUMIFS([1]Up!$J:$J,[1]Up!$D:$D,D246)</f>
        <v>2</v>
      </c>
      <c r="AZ246" s="82"/>
      <c r="BA246" s="82" t="str">
        <f t="shared" si="27"/>
        <v>PL15</v>
      </c>
      <c r="BB246" s="53" t="str">
        <f t="shared" si="28"/>
        <v/>
      </c>
      <c r="BC246" s="53" t="s">
        <v>148</v>
      </c>
      <c r="BD246" s="53" t="s">
        <v>1094</v>
      </c>
      <c r="BE246" s="53" t="s">
        <v>1095</v>
      </c>
      <c r="BF246" s="84" t="s">
        <v>2156</v>
      </c>
      <c r="BG246" s="53">
        <v>8</v>
      </c>
      <c r="BH246" s="83" t="s">
        <v>2225</v>
      </c>
      <c r="BI246" s="53"/>
      <c r="BJ246" s="53"/>
      <c r="BK246" s="238"/>
    </row>
    <row r="247" spans="3:63" ht="14.25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6"/>
        <v>2</v>
      </c>
      <c r="M247" s="26">
        <f t="shared" si="17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67">
        <f>SUMIFS([1]Up!$J:$J,[1]Up!$D:$D,D247)</f>
        <v>0</v>
      </c>
      <c r="AZ247" s="82"/>
      <c r="BA247" s="82" t="str">
        <f t="shared" si="27"/>
        <v>PL20</v>
      </c>
      <c r="BB247" s="53" t="str">
        <f t="shared" si="28"/>
        <v/>
      </c>
      <c r="BC247" s="53" t="s">
        <v>148</v>
      </c>
      <c r="BD247" s="53" t="s">
        <v>1100</v>
      </c>
      <c r="BE247" s="53" t="s">
        <v>1101</v>
      </c>
      <c r="BF247" s="84" t="s">
        <v>2158</v>
      </c>
      <c r="BG247" s="53">
        <v>8</v>
      </c>
      <c r="BH247" s="83">
        <v>46242</v>
      </c>
      <c r="BI247" s="53"/>
      <c r="BJ247" s="53"/>
      <c r="BK247" s="238"/>
    </row>
    <row r="248" spans="3:63" ht="14.25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6"/>
        <v>0</v>
      </c>
      <c r="M248" s="26">
        <f t="shared" si="17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67">
        <f>SUMIFS([1]Up!$J:$J,[1]Up!$D:$D,D248)</f>
        <v>0</v>
      </c>
      <c r="AZ248" s="82"/>
      <c r="BA248" s="82" t="str">
        <f t="shared" si="27"/>
        <v/>
      </c>
      <c r="BB248" s="53" t="str">
        <f t="shared" si="28"/>
        <v/>
      </c>
      <c r="BC248" s="53" t="s">
        <v>154</v>
      </c>
      <c r="BD248" s="53" t="s">
        <v>1082</v>
      </c>
      <c r="BE248" s="53" t="s">
        <v>1081</v>
      </c>
      <c r="BF248" s="84" t="s">
        <v>2163</v>
      </c>
      <c r="BG248" s="53">
        <v>20</v>
      </c>
      <c r="BH248" s="83" t="s">
        <v>2225</v>
      </c>
      <c r="BI248" s="53"/>
      <c r="BJ248" s="53"/>
      <c r="BK248" s="238"/>
    </row>
    <row r="249" spans="3:63" ht="14.25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6"/>
        <v>0</v>
      </c>
      <c r="M249" s="26">
        <f t="shared" si="17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67">
        <f>SUMIFS([1]Up!$J:$J,[1]Up!$D:$D,D249)</f>
        <v>0</v>
      </c>
      <c r="AZ249" s="82"/>
      <c r="BA249" s="82" t="str">
        <f t="shared" si="27"/>
        <v/>
      </c>
      <c r="BB249" s="53" t="str">
        <f t="shared" si="28"/>
        <v/>
      </c>
      <c r="BC249" s="53" t="s">
        <v>154</v>
      </c>
      <c r="BD249" s="53"/>
      <c r="BE249" s="53" t="s">
        <v>1129</v>
      </c>
      <c r="BF249" s="84" t="s">
        <v>2169</v>
      </c>
      <c r="BG249" s="53">
        <v>4</v>
      </c>
      <c r="BH249" s="83" t="s">
        <v>2225</v>
      </c>
      <c r="BI249" s="53"/>
      <c r="BJ249" s="53"/>
      <c r="BK249" s="238"/>
    </row>
    <row r="250" spans="3:63" ht="14.25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6"/>
        <v>2</v>
      </c>
      <c r="M250" s="26">
        <f t="shared" si="17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67">
        <f>SUMIFS([1]Up!$J:$J,[1]Up!$D:$D,D250)</f>
        <v>0</v>
      </c>
      <c r="AZ250" s="82" t="s">
        <v>2251</v>
      </c>
      <c r="BA250" s="82" t="str">
        <f t="shared" si="27"/>
        <v>PL12</v>
      </c>
      <c r="BB250" s="53" t="str">
        <f t="shared" si="28"/>
        <v>Thừa 2</v>
      </c>
      <c r="BC250" s="53" t="s">
        <v>154</v>
      </c>
      <c r="BD250" s="53" t="s">
        <v>1021</v>
      </c>
      <c r="BE250" s="53" t="s">
        <v>1022</v>
      </c>
      <c r="BF250" s="53" t="s">
        <v>57</v>
      </c>
      <c r="BG250" s="53">
        <v>4</v>
      </c>
      <c r="BH250" s="83"/>
      <c r="BI250" s="53"/>
      <c r="BJ250" s="53"/>
    </row>
    <row r="251" spans="3:63" ht="14.25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6"/>
        <v>1</v>
      </c>
      <c r="M251" s="26">
        <f t="shared" si="17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67">
        <f>SUMIFS([1]Up!$J:$J,[1]Up!$D:$D,D251)</f>
        <v>0</v>
      </c>
      <c r="AZ251" s="82"/>
      <c r="BA251" s="82" t="str">
        <f t="shared" si="27"/>
        <v>PL20</v>
      </c>
      <c r="BB251" s="53" t="str">
        <f t="shared" si="28"/>
        <v/>
      </c>
      <c r="BC251" s="53" t="s">
        <v>148</v>
      </c>
      <c r="BD251" s="53" t="s">
        <v>1100</v>
      </c>
      <c r="BE251" s="53" t="s">
        <v>1101</v>
      </c>
      <c r="BF251" s="84" t="s">
        <v>2165</v>
      </c>
      <c r="BG251" s="53">
        <v>4</v>
      </c>
      <c r="BH251" s="83">
        <v>46242</v>
      </c>
      <c r="BI251" s="53"/>
      <c r="BJ251" s="53"/>
      <c r="BK251" s="238"/>
    </row>
    <row r="252" spans="3:63" ht="14.25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6"/>
        <v>8</v>
      </c>
      <c r="M252" s="26">
        <f t="shared" si="17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67">
        <f>SUMIFS([1]Up!$J:$J,[1]Up!$D:$D,D252)</f>
        <v>0</v>
      </c>
      <c r="AZ252" s="82"/>
      <c r="BA252" s="82" t="str">
        <f t="shared" si="27"/>
        <v>PL20</v>
      </c>
      <c r="BB252" s="53" t="str">
        <f t="shared" si="28"/>
        <v/>
      </c>
      <c r="BC252" s="53" t="s">
        <v>148</v>
      </c>
      <c r="BD252" s="53" t="s">
        <v>1021</v>
      </c>
      <c r="BE252" s="53" t="s">
        <v>1022</v>
      </c>
      <c r="BF252" s="84" t="s">
        <v>2167</v>
      </c>
      <c r="BG252" s="53">
        <v>16</v>
      </c>
      <c r="BH252" s="83" t="s">
        <v>2227</v>
      </c>
      <c r="BI252" s="53"/>
      <c r="BJ252" s="53"/>
    </row>
    <row r="253" spans="3:63" ht="14.25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6"/>
        <v>0</v>
      </c>
      <c r="M253" s="26">
        <f t="shared" si="17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67">
        <f>SUMIFS([1]Up!$J:$J,[1]Up!$D:$D,D253)</f>
        <v>0</v>
      </c>
      <c r="AZ253" s="82"/>
      <c r="BA253" s="82" t="str">
        <f t="shared" si="27"/>
        <v>PL10</v>
      </c>
      <c r="BB253" s="53" t="str">
        <f t="shared" si="28"/>
        <v/>
      </c>
      <c r="BC253" s="53" t="s">
        <v>154</v>
      </c>
      <c r="BD253" s="53" t="s">
        <v>1005</v>
      </c>
      <c r="BE253" s="53" t="s">
        <v>1006</v>
      </c>
      <c r="BF253" s="84" t="s">
        <v>2168</v>
      </c>
      <c r="BG253" s="53">
        <v>4</v>
      </c>
      <c r="BH253" s="83">
        <v>46302</v>
      </c>
      <c r="BI253" s="53"/>
      <c r="BJ253" s="53"/>
      <c r="BK253" s="238"/>
    </row>
    <row r="254" spans="3:63" ht="14.25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6"/>
        <v>0</v>
      </c>
      <c r="M254" s="26">
        <f t="shared" si="17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67">
        <f>SUMIFS([1]Up!$J:$J,[1]Up!$D:$D,D254)</f>
        <v>0</v>
      </c>
      <c r="AZ254" s="82"/>
      <c r="BA254" s="82" t="str">
        <f t="shared" si="27"/>
        <v>PL10</v>
      </c>
      <c r="BB254" s="53" t="str">
        <f t="shared" si="28"/>
        <v/>
      </c>
      <c r="BC254" s="53" t="s">
        <v>154</v>
      </c>
      <c r="BD254" s="53" t="s">
        <v>1005</v>
      </c>
      <c r="BE254" s="53" t="s">
        <v>1006</v>
      </c>
      <c r="BF254" s="84" t="s">
        <v>2168</v>
      </c>
      <c r="BG254" s="53">
        <v>4</v>
      </c>
      <c r="BH254" s="83">
        <v>46302</v>
      </c>
      <c r="BI254" s="53"/>
      <c r="BJ254" s="53"/>
      <c r="BK254" s="238"/>
    </row>
    <row r="255" spans="3:63" ht="14.25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6"/>
        <v>0</v>
      </c>
      <c r="M255" s="26">
        <f t="shared" si="17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67">
        <f>SUMIFS([1]Up!$J:$J,[1]Up!$D:$D,D255)</f>
        <v>0</v>
      </c>
      <c r="AZ255" s="82"/>
      <c r="BA255" s="82" t="str">
        <f t="shared" si="27"/>
        <v>PL10</v>
      </c>
      <c r="BB255" s="53" t="str">
        <f t="shared" si="28"/>
        <v/>
      </c>
      <c r="BC255" s="53" t="s">
        <v>154</v>
      </c>
      <c r="BD255" s="53" t="s">
        <v>1005</v>
      </c>
      <c r="BE255" s="53" t="s">
        <v>1006</v>
      </c>
      <c r="BF255" s="84" t="s">
        <v>2157</v>
      </c>
      <c r="BG255" s="53">
        <v>4</v>
      </c>
      <c r="BH255" s="83">
        <v>46302</v>
      </c>
      <c r="BI255" s="53"/>
      <c r="BJ255" s="53"/>
      <c r="BK255" s="238"/>
    </row>
    <row r="256" spans="3:63" ht="14.25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6"/>
        <v>4</v>
      </c>
      <c r="M256" s="26">
        <f t="shared" si="17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67">
        <f>SUMIFS([1]Up!$J:$J,[1]Up!$D:$D,D256)</f>
        <v>2</v>
      </c>
      <c r="AZ256" s="82"/>
      <c r="BA256" s="82" t="str">
        <f t="shared" si="27"/>
        <v>PL10</v>
      </c>
      <c r="BB256" s="53" t="str">
        <f t="shared" si="28"/>
        <v/>
      </c>
      <c r="BC256" s="53" t="s">
        <v>148</v>
      </c>
      <c r="BD256" s="53" t="s">
        <v>1005</v>
      </c>
      <c r="BE256" s="53" t="s">
        <v>1006</v>
      </c>
      <c r="BF256" s="84" t="s">
        <v>2157</v>
      </c>
      <c r="BG256" s="53">
        <v>8</v>
      </c>
      <c r="BH256" s="83">
        <v>46302</v>
      </c>
      <c r="BI256" s="53"/>
      <c r="BJ256" s="53"/>
      <c r="BK256" s="238"/>
    </row>
    <row r="257" spans="3:63" ht="14.25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6"/>
        <v>2</v>
      </c>
      <c r="M257" s="26">
        <f t="shared" si="17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67">
        <f>SUMIFS([1]Up!$J:$J,[1]Up!$D:$D,D257)</f>
        <v>1</v>
      </c>
      <c r="AZ257" s="82"/>
      <c r="BA257" s="82" t="str">
        <f t="shared" si="27"/>
        <v>PL10</v>
      </c>
      <c r="BB257" s="53" t="str">
        <f t="shared" si="28"/>
        <v/>
      </c>
      <c r="BC257" s="53" t="s">
        <v>148</v>
      </c>
      <c r="BD257" s="53" t="s">
        <v>1005</v>
      </c>
      <c r="BE257" s="53" t="s">
        <v>1006</v>
      </c>
      <c r="BF257" s="84" t="s">
        <v>2157</v>
      </c>
      <c r="BG257" s="53">
        <v>4</v>
      </c>
      <c r="BH257" s="83">
        <v>46302</v>
      </c>
      <c r="BI257" s="53"/>
      <c r="BJ257" s="53"/>
      <c r="BK257" s="238"/>
    </row>
    <row r="258" spans="3:63" ht="14.25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6"/>
        <v>1</v>
      </c>
      <c r="M258" s="26">
        <f t="shared" si="17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67">
        <f>SUMIFS([1]Up!$J:$J,[1]Up!$D:$D,D258)</f>
        <v>1</v>
      </c>
      <c r="AZ258" s="82"/>
      <c r="BA258" s="82" t="str">
        <f t="shared" si="27"/>
        <v>PL15</v>
      </c>
      <c r="BB258" s="53" t="str">
        <f t="shared" si="28"/>
        <v/>
      </c>
      <c r="BC258" s="53" t="s">
        <v>148</v>
      </c>
      <c r="BD258" s="53" t="s">
        <v>1094</v>
      </c>
      <c r="BE258" s="53" t="s">
        <v>1095</v>
      </c>
      <c r="BF258" s="84" t="s">
        <v>2156</v>
      </c>
      <c r="BG258" s="53">
        <v>4</v>
      </c>
      <c r="BH258" s="83" t="s">
        <v>2225</v>
      </c>
      <c r="BI258" s="53"/>
      <c r="BJ258" s="53"/>
      <c r="BK258" s="238"/>
    </row>
    <row r="259" spans="3:63" ht="14.25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6"/>
        <v>1</v>
      </c>
      <c r="M259" s="26">
        <f t="shared" si="17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67">
        <f>SUMIFS([1]Up!$J:$J,[1]Up!$D:$D,D259)</f>
        <v>1</v>
      </c>
      <c r="AZ259" s="82"/>
      <c r="BA259" s="82" t="str">
        <f t="shared" si="27"/>
        <v>PL15</v>
      </c>
      <c r="BB259" s="53" t="str">
        <f t="shared" si="28"/>
        <v/>
      </c>
      <c r="BC259" s="53" t="s">
        <v>148</v>
      </c>
      <c r="BD259" s="53" t="s">
        <v>1094</v>
      </c>
      <c r="BE259" s="53" t="s">
        <v>1095</v>
      </c>
      <c r="BF259" s="84" t="s">
        <v>2156</v>
      </c>
      <c r="BG259" s="53">
        <v>4</v>
      </c>
      <c r="BH259" s="83" t="s">
        <v>2225</v>
      </c>
      <c r="BI259" s="53"/>
      <c r="BJ259" s="53"/>
      <c r="BK259" s="238"/>
    </row>
    <row r="260" spans="3:63" ht="14.25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6"/>
        <v>0</v>
      </c>
      <c r="M260" s="26">
        <f t="shared" si="17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67">
        <f>SUMIFS([1]Up!$J:$J,[1]Up!$D:$D,D260)</f>
        <v>0</v>
      </c>
      <c r="AZ260" s="82"/>
      <c r="BA260" s="82" t="str">
        <f t="shared" si="27"/>
        <v>PL10</v>
      </c>
      <c r="BB260" s="53" t="str">
        <f t="shared" si="28"/>
        <v/>
      </c>
      <c r="BC260" s="53" t="s">
        <v>154</v>
      </c>
      <c r="BD260" s="53" t="s">
        <v>1005</v>
      </c>
      <c r="BE260" s="53" t="s">
        <v>1006</v>
      </c>
      <c r="BF260" s="84" t="s">
        <v>2157</v>
      </c>
      <c r="BG260" s="53">
        <v>4</v>
      </c>
      <c r="BH260" s="83">
        <v>46302</v>
      </c>
      <c r="BI260" s="53"/>
      <c r="BJ260" s="53"/>
      <c r="BK260" s="238"/>
    </row>
    <row r="261" spans="3:63" ht="14.25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6"/>
        <v>1</v>
      </c>
      <c r="M261" s="26">
        <f t="shared" si="17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67">
        <f>SUMIFS([1]Up!$J:$J,[1]Up!$D:$D,D261)</f>
        <v>0</v>
      </c>
      <c r="AZ261" s="82"/>
      <c r="BA261" s="82" t="str">
        <f t="shared" si="27"/>
        <v>PL20</v>
      </c>
      <c r="BB261" s="53" t="str">
        <f t="shared" si="28"/>
        <v/>
      </c>
      <c r="BC261" s="53" t="s">
        <v>148</v>
      </c>
      <c r="BD261" s="53" t="s">
        <v>1100</v>
      </c>
      <c r="BE261" s="53" t="s">
        <v>1101</v>
      </c>
      <c r="BF261" s="84" t="s">
        <v>2165</v>
      </c>
      <c r="BG261" s="53">
        <v>4</v>
      </c>
      <c r="BH261" s="83">
        <v>46242</v>
      </c>
      <c r="BI261" s="53"/>
      <c r="BJ261" s="53"/>
      <c r="BK261" s="238"/>
    </row>
    <row r="262" spans="3:63" ht="14.25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6"/>
        <v>8</v>
      </c>
      <c r="M262" s="26">
        <f t="shared" si="17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67">
        <f>SUMIFS([1]Up!$J:$J,[1]Up!$D:$D,D262)</f>
        <v>0</v>
      </c>
      <c r="AZ262" s="82"/>
      <c r="BA262" s="82" t="str">
        <f t="shared" si="27"/>
        <v>PL20</v>
      </c>
      <c r="BB262" s="53" t="str">
        <f t="shared" si="28"/>
        <v/>
      </c>
      <c r="BC262" s="53" t="s">
        <v>148</v>
      </c>
      <c r="BD262" s="53" t="s">
        <v>1021</v>
      </c>
      <c r="BE262" s="53" t="s">
        <v>1022</v>
      </c>
      <c r="BF262" s="84" t="s">
        <v>2167</v>
      </c>
      <c r="BG262" s="53">
        <v>16</v>
      </c>
      <c r="BH262" s="83" t="s">
        <v>2227</v>
      </c>
      <c r="BI262" s="53"/>
      <c r="BJ262" s="53"/>
    </row>
    <row r="263" spans="3:63" ht="14.25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6"/>
        <v>0</v>
      </c>
      <c r="M263" s="26">
        <f t="shared" si="17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67">
        <f>SUMIFS([1]Up!$J:$J,[1]Up!$D:$D,D263)</f>
        <v>0</v>
      </c>
      <c r="AZ263" s="82"/>
      <c r="BA263" s="82" t="str">
        <f t="shared" si="27"/>
        <v>PL10</v>
      </c>
      <c r="BB263" s="53" t="str">
        <f t="shared" si="28"/>
        <v/>
      </c>
      <c r="BC263" s="53" t="s">
        <v>154</v>
      </c>
      <c r="BD263" s="53" t="s">
        <v>1005</v>
      </c>
      <c r="BE263" s="53" t="s">
        <v>1006</v>
      </c>
      <c r="BF263" s="84" t="s">
        <v>2157</v>
      </c>
      <c r="BG263" s="53">
        <v>4</v>
      </c>
      <c r="BH263" s="83">
        <v>46302</v>
      </c>
      <c r="BI263" s="53"/>
      <c r="BJ263" s="53"/>
      <c r="BK263" s="238"/>
    </row>
    <row r="264" spans="3:63" ht="14.25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6"/>
        <v>2</v>
      </c>
      <c r="M264" s="26">
        <f t="shared" si="17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67">
        <f>SUMIFS([1]Up!$J:$J,[1]Up!$D:$D,D264)</f>
        <v>0</v>
      </c>
      <c r="AZ264" s="82" t="s">
        <v>2249</v>
      </c>
      <c r="BA264" s="82" t="str">
        <f t="shared" si="27"/>
        <v>PL12</v>
      </c>
      <c r="BB264" s="53" t="str">
        <f t="shared" si="28"/>
        <v>Thừa 2</v>
      </c>
      <c r="BC264" s="53" t="s">
        <v>154</v>
      </c>
      <c r="BD264" s="53" t="s">
        <v>1021</v>
      </c>
      <c r="BE264" s="53" t="s">
        <v>1022</v>
      </c>
      <c r="BF264" s="53" t="s">
        <v>57</v>
      </c>
      <c r="BG264" s="53">
        <v>4</v>
      </c>
      <c r="BH264" s="83"/>
      <c r="BI264" s="53"/>
      <c r="BJ264" s="53"/>
    </row>
    <row r="265" spans="3:63" ht="14.25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6"/>
        <v>2</v>
      </c>
      <c r="M265" s="26">
        <f t="shared" si="17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67">
        <f>SUMIFS([1]Up!$J:$J,[1]Up!$D:$D,D265)</f>
        <v>1</v>
      </c>
      <c r="AZ265" s="82"/>
      <c r="BA265" s="82" t="str">
        <f t="shared" si="27"/>
        <v>PL15</v>
      </c>
      <c r="BB265" s="53" t="str">
        <f t="shared" si="28"/>
        <v/>
      </c>
      <c r="BC265" s="53" t="s">
        <v>148</v>
      </c>
      <c r="BD265" s="53" t="s">
        <v>1094</v>
      </c>
      <c r="BE265" s="53" t="s">
        <v>1095</v>
      </c>
      <c r="BF265" s="84" t="s">
        <v>2156</v>
      </c>
      <c r="BG265" s="53">
        <v>4</v>
      </c>
      <c r="BH265" s="83" t="s">
        <v>2225</v>
      </c>
      <c r="BI265" s="53"/>
      <c r="BJ265" s="53"/>
      <c r="BK265" s="238"/>
    </row>
    <row r="266" spans="3:63" ht="14.25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6"/>
        <v>6</v>
      </c>
      <c r="M266" s="26">
        <f t="shared" si="17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67">
        <f>SUMIFS([1]Up!$J:$J,[1]Up!$D:$D,D266)</f>
        <v>0</v>
      </c>
      <c r="AZ266" s="82"/>
      <c r="BA266" s="82" t="str">
        <f t="shared" si="27"/>
        <v/>
      </c>
      <c r="BB266" s="53" t="str">
        <f t="shared" si="28"/>
        <v/>
      </c>
      <c r="BC266" s="53" t="s">
        <v>148</v>
      </c>
      <c r="BD266" s="53" t="s">
        <v>1079</v>
      </c>
      <c r="BE266" s="53" t="s">
        <v>1076</v>
      </c>
      <c r="BF266" s="53" t="s">
        <v>1290</v>
      </c>
      <c r="BG266" s="53">
        <v>6</v>
      </c>
      <c r="BH266" s="83">
        <v>46362</v>
      </c>
      <c r="BI266" s="53"/>
      <c r="BJ266" s="53"/>
    </row>
    <row r="267" spans="3:63" ht="14.25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6"/>
        <v>2</v>
      </c>
      <c r="M267" s="26">
        <f t="shared" si="17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67">
        <f>SUMIFS([1]Up!$J:$J,[1]Up!$D:$D,D267)</f>
        <v>0</v>
      </c>
      <c r="AZ267" s="82" t="s">
        <v>2074</v>
      </c>
      <c r="BA267" s="82" t="str">
        <f t="shared" si="27"/>
        <v>PL12</v>
      </c>
      <c r="BB267" s="53" t="str">
        <f t="shared" si="28"/>
        <v/>
      </c>
      <c r="BC267" s="53" t="s">
        <v>154</v>
      </c>
      <c r="BD267" s="53" t="s">
        <v>1021</v>
      </c>
      <c r="BE267" s="53" t="s">
        <v>1022</v>
      </c>
      <c r="BF267" s="53" t="s">
        <v>57</v>
      </c>
      <c r="BG267" s="53">
        <v>2</v>
      </c>
      <c r="BH267" s="83"/>
      <c r="BI267" s="53"/>
      <c r="BJ267" s="53"/>
    </row>
    <row r="268" spans="3:63" ht="14.25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6"/>
        <v>1</v>
      </c>
      <c r="M268" s="26">
        <f t="shared" si="17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67">
        <f>SUMIFS([1]Up!$J:$J,[1]Up!$D:$D,D268)</f>
        <v>0</v>
      </c>
      <c r="AZ268" s="82"/>
      <c r="BA268" s="82" t="str">
        <f t="shared" si="27"/>
        <v>PL12</v>
      </c>
      <c r="BB268" s="53" t="str">
        <f t="shared" si="28"/>
        <v/>
      </c>
      <c r="BC268" s="53" t="s">
        <v>154</v>
      </c>
      <c r="BD268" s="53" t="s">
        <v>1021</v>
      </c>
      <c r="BE268" s="53" t="s">
        <v>1022</v>
      </c>
      <c r="BF268" s="53" t="s">
        <v>1399</v>
      </c>
      <c r="BG268" s="53">
        <v>2</v>
      </c>
      <c r="BH268" s="83" t="s">
        <v>2223</v>
      </c>
      <c r="BI268" s="53"/>
      <c r="BJ268" s="53"/>
    </row>
    <row r="269" spans="3:63" ht="14.25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6"/>
        <v>1</v>
      </c>
      <c r="M269" s="26">
        <f t="shared" si="17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67">
        <f>SUMIFS([1]Up!$J:$J,[1]Up!$D:$D,D269)</f>
        <v>0</v>
      </c>
      <c r="AZ269" s="82"/>
      <c r="BA269" s="82" t="str">
        <f t="shared" si="27"/>
        <v>PL12</v>
      </c>
      <c r="BB269" s="53" t="str">
        <f t="shared" si="28"/>
        <v/>
      </c>
      <c r="BC269" s="53" t="s">
        <v>154</v>
      </c>
      <c r="BD269" s="53" t="s">
        <v>1021</v>
      </c>
      <c r="BE269" s="53" t="s">
        <v>1022</v>
      </c>
      <c r="BF269" s="53"/>
      <c r="BG269" s="53"/>
      <c r="BH269" s="83"/>
      <c r="BI269" s="53"/>
      <c r="BJ269" s="53"/>
    </row>
    <row r="270" spans="3:63" ht="14.25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6"/>
        <v>1</v>
      </c>
      <c r="M270" s="26">
        <f t="shared" si="17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67">
        <f>SUMIFS([1]Up!$J:$J,[1]Up!$D:$D,D270)</f>
        <v>0</v>
      </c>
      <c r="AZ270" s="82" t="s">
        <v>2074</v>
      </c>
      <c r="BA270" s="82" t="str">
        <f t="shared" si="27"/>
        <v>PL12</v>
      </c>
      <c r="BB270" s="53" t="str">
        <f t="shared" si="28"/>
        <v>Thừa 1</v>
      </c>
      <c r="BC270" s="53" t="s">
        <v>154</v>
      </c>
      <c r="BD270" s="53" t="s">
        <v>1021</v>
      </c>
      <c r="BE270" s="53" t="s">
        <v>1022</v>
      </c>
      <c r="BF270" s="53" t="s">
        <v>57</v>
      </c>
      <c r="BG270" s="53">
        <v>1</v>
      </c>
      <c r="BH270" s="83"/>
      <c r="BI270" s="53"/>
      <c r="BJ270" s="53"/>
    </row>
    <row r="271" spans="3:63" ht="14.25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67">
        <f>SUMIFS([1]Up!$J:$J,[1]Up!$D:$D,D271)</f>
        <v>0</v>
      </c>
      <c r="AZ271" s="82" t="s">
        <v>2074</v>
      </c>
      <c r="BA271" s="82" t="str">
        <f t="shared" si="27"/>
        <v>PL12</v>
      </c>
      <c r="BB271" s="53" t="str">
        <f t="shared" si="28"/>
        <v>Thừa 1</v>
      </c>
      <c r="BC271" s="53" t="s">
        <v>154</v>
      </c>
      <c r="BD271" s="53" t="s">
        <v>1021</v>
      </c>
      <c r="BE271" s="53" t="s">
        <v>1022</v>
      </c>
      <c r="BF271" s="53" t="s">
        <v>57</v>
      </c>
      <c r="BG271" s="53">
        <v>1</v>
      </c>
      <c r="BH271" s="83"/>
      <c r="BI271" s="53"/>
      <c r="BJ271" s="53"/>
    </row>
    <row r="272" spans="3:63" ht="14.25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6"/>
        <v>2</v>
      </c>
      <c r="M272" s="26">
        <f t="shared" si="17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67">
        <f>SUMIFS([1]Up!$J:$J,[1]Up!$D:$D,D272)</f>
        <v>0</v>
      </c>
      <c r="AZ272" s="82"/>
      <c r="BA272" s="82" t="str">
        <f t="shared" si="27"/>
        <v>PL15</v>
      </c>
      <c r="BB272" s="53" t="str">
        <f t="shared" si="28"/>
        <v/>
      </c>
      <c r="BC272" s="53" t="s">
        <v>148</v>
      </c>
      <c r="BD272" s="53" t="s">
        <v>1094</v>
      </c>
      <c r="BE272" s="53" t="s">
        <v>1095</v>
      </c>
      <c r="BF272" s="53" t="s">
        <v>1304</v>
      </c>
      <c r="BG272" s="53">
        <v>2</v>
      </c>
      <c r="BH272" s="83">
        <v>46088</v>
      </c>
      <c r="BI272" s="53"/>
      <c r="BJ272" s="53"/>
    </row>
    <row r="273" spans="3:62" ht="14.25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6"/>
        <v>6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67">
        <f>SUMIFS([1]Up!$J:$J,[1]Up!$D:$D,D273)</f>
        <v>0</v>
      </c>
      <c r="AZ273" s="82"/>
      <c r="BA273" s="82" t="str">
        <f t="shared" si="27"/>
        <v>PL16</v>
      </c>
      <c r="BB273" s="53" t="str">
        <f t="shared" si="28"/>
        <v/>
      </c>
      <c r="BC273" s="53" t="s">
        <v>148</v>
      </c>
      <c r="BD273" s="53" t="s">
        <v>988</v>
      </c>
      <c r="BE273" s="53" t="s">
        <v>989</v>
      </c>
      <c r="BF273" s="53" t="s">
        <v>990</v>
      </c>
      <c r="BG273" s="53">
        <v>6</v>
      </c>
      <c r="BH273" s="83" t="s">
        <v>2223</v>
      </c>
      <c r="BI273" s="53"/>
      <c r="BJ273" s="53"/>
    </row>
    <row r="274" spans="3:62" ht="14.25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6"/>
        <v>6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67">
        <f>SUMIFS([1]Up!$J:$J,[1]Up!$D:$D,D274)</f>
        <v>0</v>
      </c>
      <c r="AZ274" s="82"/>
      <c r="BA274" s="82" t="str">
        <f t="shared" si="27"/>
        <v>PL16</v>
      </c>
      <c r="BB274" s="53" t="str">
        <f t="shared" si="28"/>
        <v/>
      </c>
      <c r="BC274" s="53" t="s">
        <v>148</v>
      </c>
      <c r="BD274" s="53" t="s">
        <v>988</v>
      </c>
      <c r="BE274" s="53" t="s">
        <v>989</v>
      </c>
      <c r="BF274" s="53" t="s">
        <v>990</v>
      </c>
      <c r="BG274" s="53">
        <v>6</v>
      </c>
      <c r="BH274" s="83" t="s">
        <v>2223</v>
      </c>
      <c r="BI274" s="53"/>
      <c r="BJ274" s="53"/>
    </row>
    <row r="275" spans="3:62" ht="14.25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6"/>
        <v>6</v>
      </c>
      <c r="M275" s="26">
        <f t="shared" si="17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67">
        <f>SUMIFS([1]Up!$J:$J,[1]Up!$D:$D,D275)</f>
        <v>0</v>
      </c>
      <c r="AZ275" s="82"/>
      <c r="BA275" s="82" t="str">
        <f t="shared" si="27"/>
        <v>PL12</v>
      </c>
      <c r="BB275" s="53" t="str">
        <f t="shared" si="28"/>
        <v/>
      </c>
      <c r="BC275" s="53" t="s">
        <v>148</v>
      </c>
      <c r="BD275" s="53" t="s">
        <v>1021</v>
      </c>
      <c r="BE275" s="53" t="s">
        <v>1022</v>
      </c>
      <c r="BF275" s="53" t="s">
        <v>1023</v>
      </c>
      <c r="BG275" s="53">
        <v>6</v>
      </c>
      <c r="BH275" s="83">
        <v>46088</v>
      </c>
      <c r="BI275" s="53"/>
      <c r="BJ275" s="53"/>
    </row>
    <row r="276" spans="3:62" ht="14.25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6"/>
        <v>6</v>
      </c>
      <c r="M276" s="26">
        <f t="shared" si="17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67">
        <f>SUMIFS([1]Up!$J:$J,[1]Up!$D:$D,D276)</f>
        <v>0</v>
      </c>
      <c r="AZ276" s="82"/>
      <c r="BA276" s="82" t="str">
        <f t="shared" si="27"/>
        <v>PL12</v>
      </c>
      <c r="BB276" s="53" t="str">
        <f t="shared" si="28"/>
        <v/>
      </c>
      <c r="BC276" s="53" t="s">
        <v>148</v>
      </c>
      <c r="BD276" s="53" t="s">
        <v>1021</v>
      </c>
      <c r="BE276" s="53" t="s">
        <v>1022</v>
      </c>
      <c r="BF276" s="53" t="s">
        <v>1023</v>
      </c>
      <c r="BG276" s="53">
        <v>6</v>
      </c>
      <c r="BH276" s="83">
        <v>46088</v>
      </c>
      <c r="BI276" s="53"/>
      <c r="BJ276" s="53"/>
    </row>
    <row r="277" spans="3:62" ht="14.25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67">
        <f>SUMIFS([1]Up!$J:$J,[1]Up!$D:$D,D277)</f>
        <v>0</v>
      </c>
      <c r="AZ277" s="82"/>
      <c r="BA277" s="82" t="str">
        <f t="shared" si="27"/>
        <v>PL12</v>
      </c>
      <c r="BB277" s="53" t="str">
        <f t="shared" si="28"/>
        <v/>
      </c>
      <c r="BC277" s="53" t="s">
        <v>154</v>
      </c>
      <c r="BD277" s="53" t="s">
        <v>1021</v>
      </c>
      <c r="BE277" s="53" t="s">
        <v>1022</v>
      </c>
      <c r="BF277" s="53" t="s">
        <v>1399</v>
      </c>
      <c r="BG277" s="53">
        <v>1</v>
      </c>
      <c r="BH277" s="83" t="s">
        <v>2223</v>
      </c>
      <c r="BI277" s="53"/>
      <c r="BJ277" s="53"/>
    </row>
    <row r="278" spans="3:62" ht="14.25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6"/>
        <v>1</v>
      </c>
      <c r="M278" s="26">
        <f t="shared" si="17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67">
        <f>SUMIFS([1]Up!$J:$J,[1]Up!$D:$D,D278)</f>
        <v>0</v>
      </c>
      <c r="AZ278" s="82" t="s">
        <v>2072</v>
      </c>
      <c r="BA278" s="82" t="str">
        <f t="shared" si="27"/>
        <v>PL12</v>
      </c>
      <c r="BB278" s="53" t="str">
        <f t="shared" si="28"/>
        <v>Thừa 2</v>
      </c>
      <c r="BC278" s="53" t="s">
        <v>154</v>
      </c>
      <c r="BD278" s="53" t="s">
        <v>1021</v>
      </c>
      <c r="BE278" s="53" t="s">
        <v>1022</v>
      </c>
      <c r="BF278" s="53" t="s">
        <v>57</v>
      </c>
      <c r="BG278" s="53">
        <v>1</v>
      </c>
      <c r="BH278" s="83"/>
      <c r="BI278" s="53"/>
      <c r="BJ278" s="53"/>
    </row>
    <row r="279" spans="3:62" ht="14.25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6"/>
        <v>1</v>
      </c>
      <c r="M279" s="26">
        <f t="shared" si="17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67">
        <f>SUMIFS([1]Up!$J:$J,[1]Up!$D:$D,D279)</f>
        <v>0</v>
      </c>
      <c r="AZ279" s="82"/>
      <c r="BA279" s="82" t="str">
        <f t="shared" si="27"/>
        <v>PL12</v>
      </c>
      <c r="BB279" s="53" t="str">
        <f t="shared" si="28"/>
        <v/>
      </c>
      <c r="BC279" s="53" t="s">
        <v>148</v>
      </c>
      <c r="BD279" s="53" t="s">
        <v>1021</v>
      </c>
      <c r="BE279" s="53" t="s">
        <v>1022</v>
      </c>
      <c r="BF279" s="53" t="s">
        <v>1023</v>
      </c>
      <c r="BG279" s="53">
        <v>1</v>
      </c>
      <c r="BH279" s="83">
        <v>46088</v>
      </c>
      <c r="BI279" s="53"/>
      <c r="BJ279" s="53"/>
    </row>
    <row r="280" spans="3:62" ht="14.25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6"/>
        <v>2</v>
      </c>
      <c r="M280" s="26">
        <f t="shared" si="17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67">
        <f>SUMIFS([1]Up!$J:$J,[1]Up!$D:$D,D280)</f>
        <v>0</v>
      </c>
      <c r="AZ280" s="82"/>
      <c r="BA280" s="82" t="str">
        <f t="shared" si="27"/>
        <v>PL12</v>
      </c>
      <c r="BB280" s="53" t="str">
        <f t="shared" si="28"/>
        <v/>
      </c>
      <c r="BC280" s="53" t="s">
        <v>148</v>
      </c>
      <c r="BD280" s="53" t="s">
        <v>1021</v>
      </c>
      <c r="BE280" s="53" t="s">
        <v>1022</v>
      </c>
      <c r="BF280" s="53" t="s">
        <v>1023</v>
      </c>
      <c r="BG280" s="53">
        <v>2</v>
      </c>
      <c r="BH280" s="83">
        <v>46088</v>
      </c>
      <c r="BI280" s="53"/>
      <c r="BJ280" s="53"/>
    </row>
    <row r="281" spans="3:62" ht="14.25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6"/>
        <v>2</v>
      </c>
      <c r="M281" s="26">
        <f t="shared" si="17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67">
        <f>SUMIFS([1]Up!$J:$J,[1]Up!$D:$D,D281)</f>
        <v>0</v>
      </c>
      <c r="AZ281" s="82"/>
      <c r="BA281" s="82" t="str">
        <f t="shared" si="27"/>
        <v>PL12</v>
      </c>
      <c r="BB281" s="53" t="str">
        <f t="shared" si="28"/>
        <v/>
      </c>
      <c r="BC281" s="53" t="s">
        <v>148</v>
      </c>
      <c r="BD281" s="53" t="s">
        <v>1021</v>
      </c>
      <c r="BE281" s="53" t="s">
        <v>1022</v>
      </c>
      <c r="BF281" s="53" t="s">
        <v>1023</v>
      </c>
      <c r="BG281" s="53">
        <v>2</v>
      </c>
      <c r="BH281" s="83">
        <v>46088</v>
      </c>
      <c r="BI281" s="53"/>
      <c r="BJ281" s="53"/>
    </row>
    <row r="282" spans="3:62" ht="14.25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6"/>
        <v>2</v>
      </c>
      <c r="M282" s="26">
        <f t="shared" si="17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67">
        <f>SUMIFS([1]Up!$J:$J,[1]Up!$D:$D,D282)</f>
        <v>0</v>
      </c>
      <c r="AZ282" s="82"/>
      <c r="BA282" s="82" t="str">
        <f t="shared" si="27"/>
        <v>PL12</v>
      </c>
      <c r="BB282" s="53" t="str">
        <f t="shared" si="28"/>
        <v/>
      </c>
      <c r="BC282" s="53" t="s">
        <v>148</v>
      </c>
      <c r="BD282" s="53" t="s">
        <v>1021</v>
      </c>
      <c r="BE282" s="53" t="s">
        <v>1022</v>
      </c>
      <c r="BF282" s="53" t="s">
        <v>1023</v>
      </c>
      <c r="BG282" s="53">
        <v>2</v>
      </c>
      <c r="BH282" s="83">
        <v>46088</v>
      </c>
      <c r="BI282" s="53"/>
      <c r="BJ282" s="53"/>
    </row>
    <row r="283" spans="3:62" ht="14.25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6"/>
        <v>2</v>
      </c>
      <c r="M283" s="26">
        <f t="shared" si="17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67">
        <f>SUMIFS([1]Up!$J:$J,[1]Up!$D:$D,D283)</f>
        <v>0</v>
      </c>
      <c r="AZ283" s="82"/>
      <c r="BA283" s="82" t="str">
        <f t="shared" si="27"/>
        <v>PL15</v>
      </c>
      <c r="BB283" s="53" t="str">
        <f t="shared" si="28"/>
        <v/>
      </c>
      <c r="BC283" s="53" t="s">
        <v>148</v>
      </c>
      <c r="BD283" s="53" t="s">
        <v>1094</v>
      </c>
      <c r="BE283" s="53" t="s">
        <v>1095</v>
      </c>
      <c r="BF283" s="53" t="s">
        <v>1304</v>
      </c>
      <c r="BG283" s="53">
        <v>2</v>
      </c>
      <c r="BH283" s="83">
        <v>46088</v>
      </c>
      <c r="BI283" s="53"/>
      <c r="BJ283" s="53"/>
    </row>
    <row r="284" spans="3:62" ht="14.25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6"/>
        <v>1</v>
      </c>
      <c r="M284" s="26">
        <f t="shared" si="17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67">
        <f>SUMIFS([1]Up!$J:$J,[1]Up!$D:$D,D284)</f>
        <v>0</v>
      </c>
      <c r="AZ284" s="82"/>
      <c r="BA284" s="82" t="str">
        <f t="shared" si="27"/>
        <v>PL12</v>
      </c>
      <c r="BB284" s="53" t="str">
        <f t="shared" si="28"/>
        <v/>
      </c>
      <c r="BC284" s="53" t="s">
        <v>148</v>
      </c>
      <c r="BD284" s="53" t="s">
        <v>1021</v>
      </c>
      <c r="BE284" s="53" t="s">
        <v>1022</v>
      </c>
      <c r="BF284" s="53" t="s">
        <v>1023</v>
      </c>
      <c r="BG284" s="53">
        <v>1</v>
      </c>
      <c r="BH284" s="83">
        <v>46088</v>
      </c>
      <c r="BI284" s="53"/>
      <c r="BJ284" s="53"/>
    </row>
    <row r="285" spans="3:62" ht="14.25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6"/>
        <v>1</v>
      </c>
      <c r="M285" s="26">
        <f t="shared" ref="M285:M540" si="29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67">
        <f>SUMIFS([1]Up!$J:$J,[1]Up!$D:$D,D285)</f>
        <v>0</v>
      </c>
      <c r="AZ285" s="82"/>
      <c r="BA285" s="82" t="str">
        <f t="shared" si="27"/>
        <v>PL12</v>
      </c>
      <c r="BB285" s="53" t="str">
        <f t="shared" si="28"/>
        <v/>
      </c>
      <c r="BC285" s="53" t="s">
        <v>148</v>
      </c>
      <c r="BD285" s="53" t="s">
        <v>1021</v>
      </c>
      <c r="BE285" s="53" t="s">
        <v>1022</v>
      </c>
      <c r="BF285" s="53" t="s">
        <v>1023</v>
      </c>
      <c r="BG285" s="53">
        <v>1</v>
      </c>
      <c r="BH285" s="83">
        <v>46088</v>
      </c>
      <c r="BI285" s="53"/>
      <c r="BJ285" s="53"/>
    </row>
    <row r="286" spans="3:62" ht="14.25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0">MIN(SUM(N286:AX286),I286)</f>
        <v>1</v>
      </c>
      <c r="M286" s="26">
        <f t="shared" si="29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67">
        <f>SUMIFS([1]Up!$J:$J,[1]Up!$D:$D,D286)</f>
        <v>0</v>
      </c>
      <c r="AZ286" s="82"/>
      <c r="BA286" s="82" t="str">
        <f t="shared" ref="BA286:BA349" si="31">IFERROR(IF(C286="Plate",LEFT(E286,FIND("*",E286,1)-1),""),IF(C286="Plate",LEFT(E286,FIND("x",E286,1)-1),""))</f>
        <v>PL15</v>
      </c>
      <c r="BB286" s="53" t="str">
        <f t="shared" ref="BB286:BB349" si="32">IF(ROUND(SUM(N286:AX286)-I286,0)&gt;0,"Thừa "&amp;SUM(N286:AX286)-I286,"")</f>
        <v/>
      </c>
      <c r="BC286" s="53" t="s">
        <v>148</v>
      </c>
      <c r="BD286" s="53" t="s">
        <v>1094</v>
      </c>
      <c r="BE286" s="53" t="s">
        <v>1095</v>
      </c>
      <c r="BF286" s="53" t="s">
        <v>1304</v>
      </c>
      <c r="BG286" s="53">
        <v>1</v>
      </c>
      <c r="BH286" s="83">
        <v>46088</v>
      </c>
      <c r="BI286" s="53"/>
      <c r="BJ286" s="53"/>
    </row>
    <row r="287" spans="3:62" ht="14.25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0"/>
        <v>1</v>
      </c>
      <c r="M287" s="26">
        <f t="shared" si="29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67">
        <f>SUMIFS([1]Up!$J:$J,[1]Up!$D:$D,D287)</f>
        <v>0</v>
      </c>
      <c r="AZ287" s="82" t="s">
        <v>2072</v>
      </c>
      <c r="BA287" s="82" t="str">
        <f t="shared" si="31"/>
        <v>PL12</v>
      </c>
      <c r="BB287" s="53" t="str">
        <f t="shared" si="32"/>
        <v>Thừa 2</v>
      </c>
      <c r="BC287" s="53" t="s">
        <v>154</v>
      </c>
      <c r="BD287" s="53" t="s">
        <v>1021</v>
      </c>
      <c r="BE287" s="53" t="s">
        <v>1022</v>
      </c>
      <c r="BF287" s="53" t="s">
        <v>57</v>
      </c>
      <c r="BG287" s="53">
        <v>1</v>
      </c>
      <c r="BH287" s="83"/>
      <c r="BI287" s="53"/>
      <c r="BJ287" s="53"/>
    </row>
    <row r="288" spans="3:62" ht="14.25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0"/>
        <v>1</v>
      </c>
      <c r="M288" s="26">
        <f t="shared" si="29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67">
        <f>SUMIFS([1]Up!$J:$J,[1]Up!$D:$D,D288)</f>
        <v>0</v>
      </c>
      <c r="AZ288" s="82" t="s">
        <v>2074</v>
      </c>
      <c r="BA288" s="82" t="str">
        <f t="shared" si="31"/>
        <v>PL12</v>
      </c>
      <c r="BB288" s="53" t="str">
        <f t="shared" si="32"/>
        <v>Thừa 1</v>
      </c>
      <c r="BC288" s="53" t="s">
        <v>154</v>
      </c>
      <c r="BD288" s="53" t="s">
        <v>1021</v>
      </c>
      <c r="BE288" s="53" t="s">
        <v>1022</v>
      </c>
      <c r="BF288" s="53" t="s">
        <v>57</v>
      </c>
      <c r="BG288" s="53">
        <v>1</v>
      </c>
      <c r="BH288" s="83"/>
      <c r="BI288" s="53"/>
      <c r="BJ288" s="53"/>
    </row>
    <row r="289" spans="3:63" ht="14.25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0"/>
        <v>1</v>
      </c>
      <c r="M289" s="26">
        <f t="shared" si="2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67">
        <f>SUMIFS([1]Up!$J:$J,[1]Up!$D:$D,D289)</f>
        <v>0</v>
      </c>
      <c r="AZ289" s="82"/>
      <c r="BA289" s="82" t="str">
        <f t="shared" si="31"/>
        <v>PL12</v>
      </c>
      <c r="BB289" s="53" t="str">
        <f t="shared" si="32"/>
        <v/>
      </c>
      <c r="BC289" s="53" t="s">
        <v>154</v>
      </c>
      <c r="BD289" s="53" t="s">
        <v>1021</v>
      </c>
      <c r="BE289" s="53" t="s">
        <v>1022</v>
      </c>
      <c r="BF289" s="53" t="s">
        <v>1399</v>
      </c>
      <c r="BG289" s="53">
        <v>1</v>
      </c>
      <c r="BH289" s="83" t="s">
        <v>2223</v>
      </c>
      <c r="BI289" s="53"/>
      <c r="BJ289" s="53"/>
    </row>
    <row r="290" spans="3:63" ht="14.25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0"/>
        <v>1</v>
      </c>
      <c r="M290" s="26">
        <f t="shared" si="29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67">
        <f>SUMIFS([1]Up!$J:$J,[1]Up!$D:$D,D290)</f>
        <v>0</v>
      </c>
      <c r="AZ290" s="82" t="s">
        <v>2073</v>
      </c>
      <c r="BA290" s="82" t="str">
        <f t="shared" si="31"/>
        <v>PL12</v>
      </c>
      <c r="BB290" s="53" t="str">
        <f t="shared" si="32"/>
        <v>Thừa 3</v>
      </c>
      <c r="BC290" s="53" t="s">
        <v>154</v>
      </c>
      <c r="BD290" s="53" t="s">
        <v>1021</v>
      </c>
      <c r="BE290" s="53" t="s">
        <v>1022</v>
      </c>
      <c r="BF290" s="53" t="s">
        <v>57</v>
      </c>
      <c r="BG290" s="53">
        <v>1</v>
      </c>
      <c r="BH290" s="83"/>
      <c r="BI290" s="53"/>
      <c r="BJ290" s="53"/>
    </row>
    <row r="291" spans="3:63" ht="14.25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0"/>
        <v>3</v>
      </c>
      <c r="M291" s="26">
        <f t="shared" si="29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67">
        <f>SUMIFS([1]Up!$J:$J,[1]Up!$D:$D,D291)</f>
        <v>0</v>
      </c>
      <c r="AZ291" s="82"/>
      <c r="BA291" s="82" t="str">
        <f t="shared" si="31"/>
        <v>PL12</v>
      </c>
      <c r="BB291" s="53" t="str">
        <f t="shared" si="32"/>
        <v/>
      </c>
      <c r="BC291" s="53" t="s">
        <v>148</v>
      </c>
      <c r="BD291" s="53" t="s">
        <v>1021</v>
      </c>
      <c r="BE291" s="53" t="s">
        <v>1022</v>
      </c>
      <c r="BF291" s="53" t="s">
        <v>1023</v>
      </c>
      <c r="BG291" s="53">
        <v>3</v>
      </c>
      <c r="BH291" s="83">
        <v>46088</v>
      </c>
      <c r="BI291" s="53"/>
      <c r="BJ291" s="53"/>
    </row>
    <row r="292" spans="3:63" ht="14.25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0"/>
        <v>3</v>
      </c>
      <c r="M292" s="26">
        <f t="shared" si="29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67">
        <f>SUMIFS([1]Up!$J:$J,[1]Up!$D:$D,D292)</f>
        <v>0</v>
      </c>
      <c r="AZ292" s="82"/>
      <c r="BA292" s="82" t="str">
        <f t="shared" si="31"/>
        <v>PL12</v>
      </c>
      <c r="BB292" s="53" t="str">
        <f t="shared" si="32"/>
        <v/>
      </c>
      <c r="BC292" s="53" t="s">
        <v>148</v>
      </c>
      <c r="BD292" s="53" t="s">
        <v>1021</v>
      </c>
      <c r="BE292" s="53" t="s">
        <v>1022</v>
      </c>
      <c r="BF292" s="53" t="s">
        <v>1023</v>
      </c>
      <c r="BG292" s="53">
        <v>3</v>
      </c>
      <c r="BH292" s="83">
        <v>46088</v>
      </c>
      <c r="BI292" s="53"/>
      <c r="BJ292" s="53"/>
    </row>
    <row r="293" spans="3:63" ht="14.25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0"/>
        <v>2</v>
      </c>
      <c r="M293" s="26">
        <f t="shared" si="29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67">
        <f>SUMIFS([1]Up!$J:$J,[1]Up!$D:$D,D293)</f>
        <v>0</v>
      </c>
      <c r="AZ293" s="82"/>
      <c r="BA293" s="82" t="str">
        <f t="shared" si="31"/>
        <v>PL15</v>
      </c>
      <c r="BB293" s="53" t="str">
        <f t="shared" si="32"/>
        <v/>
      </c>
      <c r="BC293" s="53" t="s">
        <v>148</v>
      </c>
      <c r="BD293" s="53" t="s">
        <v>1094</v>
      </c>
      <c r="BE293" s="53" t="s">
        <v>1095</v>
      </c>
      <c r="BF293" s="53" t="s">
        <v>1304</v>
      </c>
      <c r="BG293" s="53">
        <v>2</v>
      </c>
      <c r="BH293" s="83">
        <v>46088</v>
      </c>
      <c r="BI293" s="53"/>
      <c r="BJ293" s="53"/>
    </row>
    <row r="294" spans="3:63" ht="14.25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0"/>
        <v>2</v>
      </c>
      <c r="M294" s="26">
        <f t="shared" si="29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67">
        <f>SUMIFS([1]Up!$J:$J,[1]Up!$D:$D,D294)</f>
        <v>0</v>
      </c>
      <c r="AZ294" s="82"/>
      <c r="BA294" s="82" t="str">
        <f t="shared" si="31"/>
        <v>PL20</v>
      </c>
      <c r="BB294" s="53" t="str">
        <f t="shared" si="32"/>
        <v/>
      </c>
      <c r="BC294" s="53" t="s">
        <v>148</v>
      </c>
      <c r="BD294" s="53" t="s">
        <v>1100</v>
      </c>
      <c r="BE294" s="53" t="s">
        <v>1101</v>
      </c>
      <c r="BF294" s="53" t="s">
        <v>1308</v>
      </c>
      <c r="BG294" s="53">
        <v>2</v>
      </c>
      <c r="BH294" s="83">
        <v>46242</v>
      </c>
      <c r="BI294" s="53"/>
      <c r="BJ294" s="53"/>
    </row>
    <row r="295" spans="3:63" ht="14.25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0"/>
        <v>1</v>
      </c>
      <c r="M295" s="26">
        <f t="shared" si="2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67">
        <f>SUMIFS([1]Up!$J:$J,[1]Up!$D:$D,D295)</f>
        <v>0</v>
      </c>
      <c r="AZ295" s="82"/>
      <c r="BA295" s="82" t="str">
        <f t="shared" si="31"/>
        <v>PL12</v>
      </c>
      <c r="BB295" s="53" t="str">
        <f t="shared" si="32"/>
        <v/>
      </c>
      <c r="BC295" s="53" t="s">
        <v>154</v>
      </c>
      <c r="BD295" s="53" t="s">
        <v>1021</v>
      </c>
      <c r="BE295" s="53" t="s">
        <v>1022</v>
      </c>
      <c r="BF295" s="53" t="s">
        <v>1399</v>
      </c>
      <c r="BG295" s="53">
        <v>1</v>
      </c>
      <c r="BH295" s="83" t="s">
        <v>2223</v>
      </c>
      <c r="BI295" s="53"/>
      <c r="BJ295" s="53"/>
    </row>
    <row r="296" spans="3:63" ht="14.25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0"/>
        <v>1</v>
      </c>
      <c r="M296" s="26">
        <f t="shared" si="29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67">
        <f>SUMIFS([1]Up!$J:$J,[1]Up!$D:$D,D296)</f>
        <v>0</v>
      </c>
      <c r="AZ296" s="82" t="s">
        <v>2072</v>
      </c>
      <c r="BA296" s="82" t="str">
        <f t="shared" si="31"/>
        <v>PL12</v>
      </c>
      <c r="BB296" s="53" t="str">
        <f t="shared" si="32"/>
        <v>Thừa 2</v>
      </c>
      <c r="BC296" s="53" t="s">
        <v>154</v>
      </c>
      <c r="BD296" s="53" t="s">
        <v>1021</v>
      </c>
      <c r="BE296" s="53" t="s">
        <v>1022</v>
      </c>
      <c r="BF296" s="53" t="s">
        <v>57</v>
      </c>
      <c r="BG296" s="53">
        <v>1</v>
      </c>
      <c r="BH296" s="83"/>
      <c r="BI296" s="53"/>
      <c r="BJ296" s="53"/>
    </row>
    <row r="297" spans="3:63" ht="14.25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0"/>
        <v>3</v>
      </c>
      <c r="M297" s="26">
        <f t="shared" si="2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67">
        <f>SUMIFS([1]Up!$J:$J,[1]Up!$D:$D,D297)</f>
        <v>0</v>
      </c>
      <c r="AZ297" s="82"/>
      <c r="BA297" s="82" t="str">
        <f t="shared" si="31"/>
        <v>PL12</v>
      </c>
      <c r="BB297" s="53" t="str">
        <f t="shared" si="32"/>
        <v/>
      </c>
      <c r="BC297" s="53" t="s">
        <v>154</v>
      </c>
      <c r="BD297" s="53" t="s">
        <v>1021</v>
      </c>
      <c r="BE297" s="53" t="s">
        <v>1022</v>
      </c>
      <c r="BF297" s="53" t="s">
        <v>1023</v>
      </c>
      <c r="BG297" s="53">
        <v>3</v>
      </c>
      <c r="BH297" s="83">
        <v>46088</v>
      </c>
      <c r="BI297" s="53"/>
      <c r="BJ297" s="53"/>
    </row>
    <row r="298" spans="3:63" ht="14.25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0"/>
        <v>3</v>
      </c>
      <c r="M298" s="26">
        <f t="shared" si="29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67">
        <f>SUMIFS([1]Up!$J:$J,[1]Up!$D:$D,D298)</f>
        <v>0</v>
      </c>
      <c r="AZ298" s="82"/>
      <c r="BA298" s="82" t="str">
        <f t="shared" si="31"/>
        <v>PL12</v>
      </c>
      <c r="BB298" s="53" t="str">
        <f t="shared" si="32"/>
        <v/>
      </c>
      <c r="BC298" s="53" t="s">
        <v>154</v>
      </c>
      <c r="BD298" s="53" t="s">
        <v>1021</v>
      </c>
      <c r="BE298" s="53" t="s">
        <v>1022</v>
      </c>
      <c r="BF298" s="53" t="s">
        <v>1023</v>
      </c>
      <c r="BG298" s="53">
        <v>3</v>
      </c>
      <c r="BH298" s="83">
        <v>46088</v>
      </c>
      <c r="BI298" s="53"/>
      <c r="BJ298" s="53"/>
    </row>
    <row r="299" spans="3:63" ht="14.25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0"/>
        <v>1</v>
      </c>
      <c r="M299" s="26">
        <f t="shared" si="29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67">
        <f>SUMIFS([1]Up!$J:$J,[1]Up!$D:$D,D299)</f>
        <v>0</v>
      </c>
      <c r="AZ299" s="82" t="s">
        <v>2072</v>
      </c>
      <c r="BA299" s="82" t="str">
        <f t="shared" si="31"/>
        <v>PL12</v>
      </c>
      <c r="BB299" s="53" t="str">
        <f t="shared" si="32"/>
        <v>Thừa 2</v>
      </c>
      <c r="BC299" s="53" t="s">
        <v>154</v>
      </c>
      <c r="BD299" s="53" t="s">
        <v>1021</v>
      </c>
      <c r="BE299" s="53" t="s">
        <v>1022</v>
      </c>
      <c r="BF299" s="53" t="s">
        <v>57</v>
      </c>
      <c r="BG299" s="53">
        <v>1</v>
      </c>
      <c r="BH299" s="83"/>
      <c r="BI299" s="53"/>
      <c r="BJ299" s="53"/>
    </row>
    <row r="300" spans="3:63" ht="14.25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30"/>
        <v>6</v>
      </c>
      <c r="M300" s="26">
        <f t="shared" si="29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67">
        <f>SUMIFS([1]Up!$J:$J,[1]Up!$D:$D,D300)</f>
        <v>0</v>
      </c>
      <c r="AZ300" s="82"/>
      <c r="BA300" s="82" t="str">
        <f t="shared" si="31"/>
        <v/>
      </c>
      <c r="BB300" s="53" t="str">
        <f t="shared" si="32"/>
        <v/>
      </c>
      <c r="BC300" s="53" t="s">
        <v>148</v>
      </c>
      <c r="BD300" s="53" t="s">
        <v>1079</v>
      </c>
      <c r="BE300" s="53" t="s">
        <v>1076</v>
      </c>
      <c r="BF300" s="84" t="s">
        <v>2162</v>
      </c>
      <c r="BG300" s="53">
        <v>24</v>
      </c>
      <c r="BH300" s="83" t="s">
        <v>2225</v>
      </c>
      <c r="BI300" s="53"/>
      <c r="BJ300" s="53"/>
      <c r="BK300" s="238"/>
    </row>
    <row r="301" spans="3:63" ht="14.25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0"/>
        <v>0</v>
      </c>
      <c r="M301" s="26">
        <f t="shared" si="29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67">
        <f>SUMIFS([1]Up!$J:$J,[1]Up!$D:$D,D301)</f>
        <v>0</v>
      </c>
      <c r="AZ301" s="82"/>
      <c r="BA301" s="82" t="str">
        <f t="shared" si="31"/>
        <v>PL12</v>
      </c>
      <c r="BB301" s="53" t="str">
        <f t="shared" si="32"/>
        <v/>
      </c>
      <c r="BC301" s="53" t="s">
        <v>154</v>
      </c>
      <c r="BD301" s="53" t="s">
        <v>1021</v>
      </c>
      <c r="BE301" s="53" t="s">
        <v>1022</v>
      </c>
      <c r="BF301" s="53" t="s">
        <v>57</v>
      </c>
      <c r="BG301" s="53">
        <v>8</v>
      </c>
      <c r="BH301" s="83"/>
      <c r="BI301" s="53"/>
      <c r="BJ301" s="53"/>
    </row>
    <row r="302" spans="3:63" ht="14.25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0"/>
        <v>0</v>
      </c>
      <c r="M302" s="26">
        <f t="shared" si="29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67">
        <f>SUMIFS([1]Up!$J:$J,[1]Up!$D:$D,D302)</f>
        <v>0</v>
      </c>
      <c r="AZ302" s="82"/>
      <c r="BA302" s="82" t="str">
        <f t="shared" si="31"/>
        <v>PL12</v>
      </c>
      <c r="BB302" s="53" t="str">
        <f t="shared" si="32"/>
        <v/>
      </c>
      <c r="BC302" s="53" t="s">
        <v>154</v>
      </c>
      <c r="BD302" s="53" t="s">
        <v>1021</v>
      </c>
      <c r="BE302" s="53" t="s">
        <v>1022</v>
      </c>
      <c r="BF302" s="84" t="s">
        <v>1450</v>
      </c>
      <c r="BG302" s="53">
        <v>4</v>
      </c>
      <c r="BH302" s="83" t="s">
        <v>2228</v>
      </c>
      <c r="BI302" s="53"/>
      <c r="BJ302" s="53"/>
      <c r="BK302" s="238"/>
    </row>
    <row r="303" spans="3:63" ht="14.25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0"/>
        <v>0</v>
      </c>
      <c r="M303" s="26">
        <f t="shared" si="29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67">
        <f>SUMIFS([1]Up!$J:$J,[1]Up!$D:$D,D303)</f>
        <v>0</v>
      </c>
      <c r="AZ303" s="82"/>
      <c r="BA303" s="82" t="str">
        <f t="shared" si="31"/>
        <v>PL12</v>
      </c>
      <c r="BB303" s="53" t="str">
        <f t="shared" si="32"/>
        <v/>
      </c>
      <c r="BC303" s="53" t="s">
        <v>154</v>
      </c>
      <c r="BD303" s="53" t="s">
        <v>1021</v>
      </c>
      <c r="BE303" s="53" t="s">
        <v>1022</v>
      </c>
      <c r="BF303" s="84" t="s">
        <v>2174</v>
      </c>
      <c r="BG303" s="53">
        <v>4</v>
      </c>
      <c r="BH303" s="83" t="s">
        <v>2228</v>
      </c>
      <c r="BI303" s="53"/>
      <c r="BJ303" s="53"/>
      <c r="BK303" s="238"/>
    </row>
    <row r="304" spans="3:63" ht="14.25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0"/>
        <v>0</v>
      </c>
      <c r="M304" s="26">
        <f t="shared" si="29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67">
        <f>SUMIFS([1]Up!$J:$J,[1]Up!$D:$D,D304)</f>
        <v>0</v>
      </c>
      <c r="AZ304" s="82"/>
      <c r="BA304" s="82" t="str">
        <f t="shared" si="31"/>
        <v>PL12</v>
      </c>
      <c r="BB304" s="53" t="str">
        <f t="shared" si="32"/>
        <v/>
      </c>
      <c r="BC304" s="53" t="s">
        <v>154</v>
      </c>
      <c r="BD304" s="53" t="s">
        <v>1021</v>
      </c>
      <c r="BE304" s="53" t="s">
        <v>1022</v>
      </c>
      <c r="BF304" s="53" t="s">
        <v>57</v>
      </c>
      <c r="BG304" s="53">
        <v>4</v>
      </c>
      <c r="BH304" s="83"/>
      <c r="BI304" s="53"/>
      <c r="BJ304" s="53"/>
    </row>
    <row r="305" spans="3:63" ht="14.25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0"/>
        <v>0</v>
      </c>
      <c r="M305" s="26">
        <f t="shared" si="29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67">
        <f>SUMIFS([1]Up!$J:$J,[1]Up!$D:$D,D305)</f>
        <v>0</v>
      </c>
      <c r="AZ305" s="82"/>
      <c r="BA305" s="82" t="str">
        <f t="shared" si="31"/>
        <v>PL12</v>
      </c>
      <c r="BB305" s="53" t="str">
        <f t="shared" si="32"/>
        <v/>
      </c>
      <c r="BC305" s="53" t="s">
        <v>154</v>
      </c>
      <c r="BD305" s="53" t="s">
        <v>1021</v>
      </c>
      <c r="BE305" s="53" t="s">
        <v>1022</v>
      </c>
      <c r="BF305" s="53" t="s">
        <v>57</v>
      </c>
      <c r="BG305" s="53">
        <v>4</v>
      </c>
      <c r="BH305" s="83"/>
      <c r="BI305" s="53"/>
      <c r="BJ305" s="53"/>
    </row>
    <row r="306" spans="3:63" ht="14.25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0"/>
        <v>2</v>
      </c>
      <c r="M306" s="26">
        <f t="shared" si="29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67">
        <f>SUMIFS([1]Up!$J:$J,[1]Up!$D:$D,D306)</f>
        <v>0</v>
      </c>
      <c r="AZ306" s="82"/>
      <c r="BA306" s="82" t="str">
        <f t="shared" si="31"/>
        <v>PL15</v>
      </c>
      <c r="BB306" s="53" t="str">
        <f t="shared" si="32"/>
        <v/>
      </c>
      <c r="BC306" s="53" t="s">
        <v>148</v>
      </c>
      <c r="BD306" s="53" t="s">
        <v>1094</v>
      </c>
      <c r="BE306" s="53" t="s">
        <v>1095</v>
      </c>
      <c r="BF306" s="84" t="s">
        <v>2156</v>
      </c>
      <c r="BG306" s="53">
        <v>8</v>
      </c>
      <c r="BH306" s="83" t="s">
        <v>2225</v>
      </c>
      <c r="BI306" s="53"/>
      <c r="BJ306" s="53"/>
      <c r="BK306" s="238"/>
    </row>
    <row r="307" spans="3:63" ht="14.25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0"/>
        <v>6</v>
      </c>
      <c r="M307" s="26">
        <f t="shared" si="29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67">
        <f>SUMIFS([1]Up!$J:$J,[1]Up!$D:$D,D307)</f>
        <v>6</v>
      </c>
      <c r="AZ307" s="82"/>
      <c r="BA307" s="82" t="str">
        <f t="shared" si="31"/>
        <v>PL16</v>
      </c>
      <c r="BB307" s="53" t="str">
        <f t="shared" si="32"/>
        <v/>
      </c>
      <c r="BC307" s="53" t="s">
        <v>148</v>
      </c>
      <c r="BD307" s="53" t="s">
        <v>988</v>
      </c>
      <c r="BE307" s="53" t="s">
        <v>989</v>
      </c>
      <c r="BF307" s="84" t="s">
        <v>2161</v>
      </c>
      <c r="BG307" s="53">
        <v>24</v>
      </c>
      <c r="BH307" s="83" t="s">
        <v>2226</v>
      </c>
      <c r="BI307" s="53"/>
      <c r="BJ307" s="53"/>
      <c r="BK307" s="238"/>
    </row>
    <row r="308" spans="3:63" ht="14.25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0"/>
        <v>6</v>
      </c>
      <c r="M308" s="26">
        <f t="shared" si="29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67">
        <f>SUMIFS([1]Up!$J:$J,[1]Up!$D:$D,D308)</f>
        <v>6</v>
      </c>
      <c r="AZ308" s="82"/>
      <c r="BA308" s="82" t="str">
        <f t="shared" si="31"/>
        <v>PL16</v>
      </c>
      <c r="BB308" s="53" t="str">
        <f t="shared" si="32"/>
        <v/>
      </c>
      <c r="BC308" s="53" t="s">
        <v>148</v>
      </c>
      <c r="BD308" s="53" t="s">
        <v>988</v>
      </c>
      <c r="BE308" s="53" t="s">
        <v>989</v>
      </c>
      <c r="BF308" s="84" t="s">
        <v>2161</v>
      </c>
      <c r="BG308" s="53">
        <v>24</v>
      </c>
      <c r="BH308" s="83" t="s">
        <v>2226</v>
      </c>
      <c r="BI308" s="53"/>
      <c r="BJ308" s="53"/>
      <c r="BK308" s="238"/>
    </row>
    <row r="309" spans="3:63" ht="14.25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0"/>
        <v>2</v>
      </c>
      <c r="M309" s="26">
        <f t="shared" si="29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67">
        <f>SUMIFS([1]Up!$J:$J,[1]Up!$D:$D,D309)</f>
        <v>0</v>
      </c>
      <c r="AZ309" s="82"/>
      <c r="BA309" s="82" t="str">
        <f t="shared" si="31"/>
        <v>PL12</v>
      </c>
      <c r="BB309" s="53" t="str">
        <f t="shared" si="32"/>
        <v/>
      </c>
      <c r="BC309" s="53" t="s">
        <v>148</v>
      </c>
      <c r="BD309" s="53" t="s">
        <v>1021</v>
      </c>
      <c r="BE309" s="53" t="s">
        <v>1022</v>
      </c>
      <c r="BF309" s="84" t="s">
        <v>2160</v>
      </c>
      <c r="BG309" s="53">
        <v>24</v>
      </c>
      <c r="BH309" s="83">
        <v>46302</v>
      </c>
      <c r="BI309" s="53"/>
      <c r="BJ309" s="53"/>
      <c r="BK309" s="238"/>
    </row>
    <row r="310" spans="3:63" ht="14.25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0"/>
        <v>6</v>
      </c>
      <c r="M310" s="26">
        <f t="shared" si="29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67">
        <f>SUMIFS([1]Up!$J:$J,[1]Up!$D:$D,D310)</f>
        <v>0</v>
      </c>
      <c r="AZ310" s="82"/>
      <c r="BA310" s="82" t="str">
        <f t="shared" si="31"/>
        <v>PL12</v>
      </c>
      <c r="BB310" s="53" t="str">
        <f t="shared" si="32"/>
        <v/>
      </c>
      <c r="BC310" s="53" t="s">
        <v>148</v>
      </c>
      <c r="BD310" s="53" t="s">
        <v>1021</v>
      </c>
      <c r="BE310" s="53" t="s">
        <v>1022</v>
      </c>
      <c r="BF310" s="84" t="s">
        <v>2160</v>
      </c>
      <c r="BG310" s="53">
        <v>24</v>
      </c>
      <c r="BH310" s="83">
        <v>46302</v>
      </c>
      <c r="BI310" s="53"/>
      <c r="BJ310" s="53"/>
      <c r="BK310" s="238"/>
    </row>
    <row r="311" spans="3:63" ht="14.25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0"/>
        <v>2</v>
      </c>
      <c r="M311" s="26">
        <f t="shared" si="29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67">
        <f>SUMIFS([1]Up!$J:$J,[1]Up!$D:$D,D311)</f>
        <v>0</v>
      </c>
      <c r="AZ311" s="82" t="s">
        <v>2229</v>
      </c>
      <c r="BA311" s="82" t="str">
        <f t="shared" si="31"/>
        <v>PL12</v>
      </c>
      <c r="BB311" s="53" t="str">
        <f t="shared" si="32"/>
        <v/>
      </c>
      <c r="BC311" s="53" t="s">
        <v>154</v>
      </c>
      <c r="BD311" s="53" t="s">
        <v>1021</v>
      </c>
      <c r="BE311" s="53" t="s">
        <v>1022</v>
      </c>
      <c r="BF311" s="53" t="s">
        <v>57</v>
      </c>
      <c r="BG311" s="53">
        <v>4</v>
      </c>
      <c r="BH311" s="83"/>
      <c r="BI311" s="53"/>
      <c r="BJ311" s="53"/>
    </row>
    <row r="312" spans="3:63" ht="14.25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0"/>
        <v>0</v>
      </c>
      <c r="M312" s="26">
        <f t="shared" si="29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67">
        <f>SUMIFS([1]Up!$J:$J,[1]Up!$D:$D,D312)</f>
        <v>0</v>
      </c>
      <c r="AZ312" s="82"/>
      <c r="BA312" s="82" t="str">
        <f t="shared" si="31"/>
        <v>PL12</v>
      </c>
      <c r="BB312" s="53" t="str">
        <f t="shared" si="32"/>
        <v/>
      </c>
      <c r="BC312" s="53" t="s">
        <v>154</v>
      </c>
      <c r="BD312" s="53" t="s">
        <v>1021</v>
      </c>
      <c r="BE312" s="53" t="s">
        <v>1022</v>
      </c>
      <c r="BF312" s="84" t="s">
        <v>2155</v>
      </c>
      <c r="BG312" s="53">
        <v>4</v>
      </c>
      <c r="BH312" s="83" t="s">
        <v>2228</v>
      </c>
      <c r="BI312" s="53"/>
      <c r="BJ312" s="53"/>
      <c r="BK312" s="238"/>
    </row>
    <row r="313" spans="3:63" ht="14.25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0"/>
        <v>2</v>
      </c>
      <c r="M313" s="26">
        <f t="shared" si="29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67">
        <f>SUMIFS([1]Up!$J:$J,[1]Up!$D:$D,D313)</f>
        <v>0</v>
      </c>
      <c r="AZ313" s="82" t="s">
        <v>2247</v>
      </c>
      <c r="BA313" s="82" t="str">
        <f t="shared" si="31"/>
        <v>PL12</v>
      </c>
      <c r="BB313" s="53" t="str">
        <f t="shared" si="32"/>
        <v>Thừa 1</v>
      </c>
      <c r="BC313" s="53" t="s">
        <v>154</v>
      </c>
      <c r="BD313" s="53" t="s">
        <v>1021</v>
      </c>
      <c r="BE313" s="53" t="s">
        <v>1022</v>
      </c>
      <c r="BF313" s="53" t="s">
        <v>57</v>
      </c>
      <c r="BG313" s="53">
        <v>4</v>
      </c>
      <c r="BH313" s="83"/>
      <c r="BI313" s="53"/>
      <c r="BJ313" s="53"/>
    </row>
    <row r="314" spans="3:63" ht="14.25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0"/>
        <v>1</v>
      </c>
      <c r="M314" s="26">
        <f t="shared" si="29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67">
        <f>SUMIFS([1]Up!$J:$J,[1]Up!$D:$D,D314)</f>
        <v>0</v>
      </c>
      <c r="AZ314" s="82"/>
      <c r="BA314" s="82" t="str">
        <f t="shared" si="31"/>
        <v>PL12</v>
      </c>
      <c r="BB314" s="53" t="str">
        <f t="shared" si="32"/>
        <v/>
      </c>
      <c r="BC314" s="53" t="s">
        <v>148</v>
      </c>
      <c r="BD314" s="53" t="s">
        <v>1021</v>
      </c>
      <c r="BE314" s="53" t="s">
        <v>1022</v>
      </c>
      <c r="BF314" s="84" t="s">
        <v>2160</v>
      </c>
      <c r="BG314" s="53">
        <v>12</v>
      </c>
      <c r="BH314" s="83">
        <v>46302</v>
      </c>
      <c r="BI314" s="53"/>
      <c r="BJ314" s="53"/>
      <c r="BK314" s="238"/>
    </row>
    <row r="315" spans="3:63" ht="14.25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0"/>
        <v>3</v>
      </c>
      <c r="M315" s="26">
        <f t="shared" si="29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67">
        <f>SUMIFS([1]Up!$J:$J,[1]Up!$D:$D,D315)</f>
        <v>0</v>
      </c>
      <c r="AZ315" s="82"/>
      <c r="BA315" s="82" t="str">
        <f t="shared" si="31"/>
        <v>PL12</v>
      </c>
      <c r="BB315" s="53" t="str">
        <f t="shared" si="32"/>
        <v/>
      </c>
      <c r="BC315" s="53" t="s">
        <v>148</v>
      </c>
      <c r="BD315" s="53" t="s">
        <v>1021</v>
      </c>
      <c r="BE315" s="53" t="s">
        <v>1022</v>
      </c>
      <c r="BF315" s="84" t="s">
        <v>2160</v>
      </c>
      <c r="BG315" s="53">
        <v>12</v>
      </c>
      <c r="BH315" s="83">
        <v>46302</v>
      </c>
      <c r="BI315" s="53"/>
      <c r="BJ315" s="53"/>
      <c r="BK315" s="238"/>
    </row>
    <row r="316" spans="3:63" ht="14.25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0"/>
        <v>2</v>
      </c>
      <c r="M316" s="26">
        <f t="shared" si="29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67">
        <f>SUMIFS([1]Up!$J:$J,[1]Up!$D:$D,D316)</f>
        <v>2</v>
      </c>
      <c r="AZ316" s="82"/>
      <c r="BA316" s="82" t="str">
        <f t="shared" si="31"/>
        <v>PL15</v>
      </c>
      <c r="BB316" s="53" t="str">
        <f t="shared" si="32"/>
        <v/>
      </c>
      <c r="BC316" s="53" t="s">
        <v>148</v>
      </c>
      <c r="BD316" s="53" t="s">
        <v>1094</v>
      </c>
      <c r="BE316" s="53" t="s">
        <v>1095</v>
      </c>
      <c r="BF316" s="84" t="s">
        <v>2156</v>
      </c>
      <c r="BG316" s="53">
        <v>8</v>
      </c>
      <c r="BH316" s="83" t="s">
        <v>2225</v>
      </c>
      <c r="BI316" s="53"/>
      <c r="BJ316" s="53"/>
      <c r="BK316" s="238"/>
    </row>
    <row r="317" spans="3:63" ht="14.25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0"/>
        <v>2</v>
      </c>
      <c r="M317" s="26">
        <f t="shared" si="29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67">
        <f>SUMIFS([1]Up!$J:$J,[1]Up!$D:$D,D317)</f>
        <v>0</v>
      </c>
      <c r="AZ317" s="82"/>
      <c r="BA317" s="82" t="str">
        <f t="shared" si="31"/>
        <v>PL20</v>
      </c>
      <c r="BB317" s="53" t="str">
        <f t="shared" si="32"/>
        <v/>
      </c>
      <c r="BC317" s="53" t="s">
        <v>148</v>
      </c>
      <c r="BD317" s="53" t="s">
        <v>1100</v>
      </c>
      <c r="BE317" s="53" t="s">
        <v>1101</v>
      </c>
      <c r="BF317" s="84" t="s">
        <v>2158</v>
      </c>
      <c r="BG317" s="53">
        <v>8</v>
      </c>
      <c r="BH317" s="83">
        <v>46242</v>
      </c>
      <c r="BI317" s="53"/>
      <c r="BJ317" s="53"/>
      <c r="BK317" s="238"/>
    </row>
    <row r="318" spans="3:63" ht="14.25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0"/>
        <v>0</v>
      </c>
      <c r="M318" s="26">
        <f t="shared" si="29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67">
        <f>SUMIFS([1]Up!$J:$J,[1]Up!$D:$D,D318)</f>
        <v>0</v>
      </c>
      <c r="AZ318" s="82"/>
      <c r="BA318" s="82" t="str">
        <f t="shared" si="31"/>
        <v>PL12</v>
      </c>
      <c r="BB318" s="53" t="str">
        <f t="shared" si="32"/>
        <v/>
      </c>
      <c r="BC318" s="53" t="s">
        <v>154</v>
      </c>
      <c r="BD318" s="53" t="s">
        <v>1021</v>
      </c>
      <c r="BE318" s="53" t="s">
        <v>1022</v>
      </c>
      <c r="BF318" s="84" t="s">
        <v>2155</v>
      </c>
      <c r="BG318" s="53">
        <v>4</v>
      </c>
      <c r="BH318" s="83" t="s">
        <v>2228</v>
      </c>
      <c r="BI318" s="53"/>
      <c r="BJ318" s="53"/>
      <c r="BK318" s="238"/>
    </row>
    <row r="319" spans="3:63" ht="14.25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0"/>
        <v>2</v>
      </c>
      <c r="M319" s="26">
        <f t="shared" si="2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67">
        <f>SUMIFS([1]Up!$J:$J,[1]Up!$D:$D,D319)</f>
        <v>0</v>
      </c>
      <c r="AZ319" s="82" t="s">
        <v>2078</v>
      </c>
      <c r="BA319" s="82" t="str">
        <f t="shared" si="31"/>
        <v>PL12</v>
      </c>
      <c r="BB319" s="53" t="str">
        <f t="shared" si="32"/>
        <v>Thừa 1</v>
      </c>
      <c r="BC319" s="53" t="s">
        <v>154</v>
      </c>
      <c r="BD319" s="53" t="s">
        <v>1021</v>
      </c>
      <c r="BE319" s="53" t="s">
        <v>1022</v>
      </c>
      <c r="BF319" s="53" t="s">
        <v>57</v>
      </c>
      <c r="BG319" s="53">
        <v>4</v>
      </c>
      <c r="BH319" s="83"/>
      <c r="BI319" s="53"/>
      <c r="BJ319" s="53"/>
    </row>
    <row r="320" spans="3:63" ht="14.25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0"/>
        <v>0</v>
      </c>
      <c r="M320" s="26">
        <f t="shared" si="29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67">
        <f>SUMIFS([1]Up!$J:$J,[1]Up!$D:$D,D320)</f>
        <v>0</v>
      </c>
      <c r="AZ320" s="82"/>
      <c r="BA320" s="82" t="str">
        <f t="shared" si="31"/>
        <v>PL12</v>
      </c>
      <c r="BB320" s="53" t="str">
        <f t="shared" si="32"/>
        <v/>
      </c>
      <c r="BC320" s="53" t="s">
        <v>148</v>
      </c>
      <c r="BD320" s="53" t="s">
        <v>1021</v>
      </c>
      <c r="BE320" s="53" t="s">
        <v>1022</v>
      </c>
      <c r="BF320" s="84" t="s">
        <v>2160</v>
      </c>
      <c r="BG320" s="53">
        <v>12</v>
      </c>
      <c r="BH320" s="83">
        <v>46302</v>
      </c>
      <c r="BI320" s="53"/>
      <c r="BJ320" s="53"/>
      <c r="BK320" s="238"/>
    </row>
    <row r="321" spans="3:63" ht="14.25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0"/>
        <v>0</v>
      </c>
      <c r="M321" s="26">
        <f t="shared" si="29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67">
        <f>SUMIFS([1]Up!$J:$J,[1]Up!$D:$D,D321)</f>
        <v>0</v>
      </c>
      <c r="AZ321" s="82"/>
      <c r="BA321" s="82" t="str">
        <f t="shared" si="31"/>
        <v>PL12</v>
      </c>
      <c r="BB321" s="53" t="str">
        <f t="shared" si="32"/>
        <v/>
      </c>
      <c r="BC321" s="53" t="s">
        <v>148</v>
      </c>
      <c r="BD321" s="53" t="s">
        <v>1021</v>
      </c>
      <c r="BE321" s="53" t="s">
        <v>1022</v>
      </c>
      <c r="BF321" s="84" t="s">
        <v>2160</v>
      </c>
      <c r="BG321" s="53">
        <v>12</v>
      </c>
      <c r="BH321" s="83">
        <v>46302</v>
      </c>
      <c r="BI321" s="53"/>
      <c r="BJ321" s="53"/>
      <c r="BK321" s="238"/>
    </row>
    <row r="322" spans="3:63" ht="14.25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0"/>
        <v>2</v>
      </c>
      <c r="M322" s="26">
        <f t="shared" si="2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67">
        <f>SUMIFS([1]Up!$J:$J,[1]Up!$D:$D,D322)</f>
        <v>0</v>
      </c>
      <c r="AZ322" s="82" t="s">
        <v>2245</v>
      </c>
      <c r="BA322" s="82" t="str">
        <f t="shared" si="31"/>
        <v>PL12</v>
      </c>
      <c r="BB322" s="53" t="str">
        <f t="shared" si="32"/>
        <v/>
      </c>
      <c r="BC322" s="53" t="s">
        <v>154</v>
      </c>
      <c r="BD322" s="53" t="s">
        <v>1021</v>
      </c>
      <c r="BE322" s="53" t="s">
        <v>1022</v>
      </c>
      <c r="BF322" s="53" t="s">
        <v>57</v>
      </c>
      <c r="BG322" s="53">
        <v>4</v>
      </c>
      <c r="BH322" s="83"/>
      <c r="BI322" s="53"/>
      <c r="BJ322" s="53"/>
    </row>
    <row r="323" spans="3:63" ht="14.25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0"/>
        <v>0</v>
      </c>
      <c r="M323" s="26">
        <f t="shared" si="29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67">
        <f>SUMIFS([1]Up!$J:$J,[1]Up!$D:$D,D323)</f>
        <v>0</v>
      </c>
      <c r="AZ323" s="82"/>
      <c r="BA323" s="82" t="str">
        <f t="shared" si="31"/>
        <v>PL12</v>
      </c>
      <c r="BB323" s="53" t="str">
        <f t="shared" si="32"/>
        <v/>
      </c>
      <c r="BC323" s="53" t="s">
        <v>154</v>
      </c>
      <c r="BD323" s="53" t="s">
        <v>1021</v>
      </c>
      <c r="BE323" s="53" t="s">
        <v>1022</v>
      </c>
      <c r="BF323" s="84" t="s">
        <v>2155</v>
      </c>
      <c r="BG323" s="53">
        <v>4</v>
      </c>
      <c r="BH323" s="83" t="s">
        <v>2228</v>
      </c>
      <c r="BI323" s="53"/>
      <c r="BJ323" s="53"/>
      <c r="BK323" s="238"/>
    </row>
    <row r="324" spans="3:63" ht="14.25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0"/>
        <v>2</v>
      </c>
      <c r="M324" s="26">
        <f t="shared" si="2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67">
        <f>SUMIFS([1]Up!$J:$J,[1]Up!$D:$D,D324)</f>
        <v>0</v>
      </c>
      <c r="AZ324" s="82" t="s">
        <v>2252</v>
      </c>
      <c r="BA324" s="82" t="str">
        <f t="shared" si="31"/>
        <v>PL12</v>
      </c>
      <c r="BB324" s="53" t="str">
        <f t="shared" si="32"/>
        <v>Thừa 1</v>
      </c>
      <c r="BC324" s="53" t="s">
        <v>154</v>
      </c>
      <c r="BD324" s="53" t="s">
        <v>1021</v>
      </c>
      <c r="BE324" s="53" t="s">
        <v>1022</v>
      </c>
      <c r="BF324" s="53" t="s">
        <v>57</v>
      </c>
      <c r="BG324" s="53">
        <v>4</v>
      </c>
      <c r="BH324" s="83"/>
      <c r="BI324" s="53"/>
      <c r="BJ324" s="53"/>
    </row>
    <row r="325" spans="3:63" ht="14.25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0"/>
        <v>0</v>
      </c>
      <c r="M325" s="26">
        <f t="shared" si="29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67">
        <f>SUMIFS([1]Up!$J:$J,[1]Up!$D:$D,D325)</f>
        <v>0</v>
      </c>
      <c r="AZ325" s="82"/>
      <c r="BA325" s="82" t="str">
        <f t="shared" si="31"/>
        <v>PL12</v>
      </c>
      <c r="BB325" s="53" t="str">
        <f t="shared" si="32"/>
        <v/>
      </c>
      <c r="BC325" s="53" t="s">
        <v>148</v>
      </c>
      <c r="BD325" s="53" t="s">
        <v>1021</v>
      </c>
      <c r="BE325" s="53" t="s">
        <v>1022</v>
      </c>
      <c r="BF325" s="84" t="s">
        <v>2160</v>
      </c>
      <c r="BG325" s="53">
        <v>12</v>
      </c>
      <c r="BH325" s="83">
        <v>46302</v>
      </c>
      <c r="BI325" s="53"/>
      <c r="BJ325" s="53"/>
      <c r="BK325" s="238"/>
    </row>
    <row r="326" spans="3:63" ht="14.25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0"/>
        <v>0</v>
      </c>
      <c r="M326" s="26">
        <f t="shared" si="29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67">
        <f>SUMIFS([1]Up!$J:$J,[1]Up!$D:$D,D326)</f>
        <v>0</v>
      </c>
      <c r="AZ326" s="82"/>
      <c r="BA326" s="82" t="str">
        <f t="shared" si="31"/>
        <v>PL12</v>
      </c>
      <c r="BB326" s="53" t="str">
        <f t="shared" si="32"/>
        <v/>
      </c>
      <c r="BC326" s="53" t="s">
        <v>148</v>
      </c>
      <c r="BD326" s="53" t="s">
        <v>1021</v>
      </c>
      <c r="BE326" s="53" t="s">
        <v>1022</v>
      </c>
      <c r="BF326" s="84" t="s">
        <v>2160</v>
      </c>
      <c r="BG326" s="53">
        <v>12</v>
      </c>
      <c r="BH326" s="83">
        <v>46302</v>
      </c>
      <c r="BI326" s="53"/>
      <c r="BJ326" s="53"/>
      <c r="BK326" s="238"/>
    </row>
    <row r="327" spans="3:63" ht="14.25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0"/>
        <v>2</v>
      </c>
      <c r="M327" s="26">
        <f t="shared" si="29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67">
        <f>SUMIFS([1]Up!$J:$J,[1]Up!$D:$D,D327)</f>
        <v>0</v>
      </c>
      <c r="AZ327" s="82" t="s">
        <v>2245</v>
      </c>
      <c r="BA327" s="82" t="str">
        <f t="shared" si="31"/>
        <v>PL12</v>
      </c>
      <c r="BB327" s="53" t="str">
        <f t="shared" si="32"/>
        <v/>
      </c>
      <c r="BC327" s="53" t="s">
        <v>154</v>
      </c>
      <c r="BD327" s="53" t="s">
        <v>1021</v>
      </c>
      <c r="BE327" s="53" t="s">
        <v>1022</v>
      </c>
      <c r="BF327" s="53" t="s">
        <v>57</v>
      </c>
      <c r="BG327" s="53">
        <v>4</v>
      </c>
      <c r="BH327" s="83"/>
      <c r="BI327" s="53"/>
      <c r="BJ327" s="53"/>
    </row>
    <row r="328" spans="3:63" ht="14.25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30"/>
        <v>3</v>
      </c>
      <c r="M328" s="26">
        <f t="shared" si="29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67">
        <f>SUMIFS([1]Up!$J:$J,[1]Up!$D:$D,D328)</f>
        <v>0</v>
      </c>
      <c r="AZ328" s="82"/>
      <c r="BA328" s="82" t="str">
        <f t="shared" si="31"/>
        <v/>
      </c>
      <c r="BB328" s="53" t="str">
        <f t="shared" si="32"/>
        <v/>
      </c>
      <c r="BC328" s="53" t="s">
        <v>148</v>
      </c>
      <c r="BD328" s="53" t="s">
        <v>1079</v>
      </c>
      <c r="BE328" s="53" t="s">
        <v>1076</v>
      </c>
      <c r="BF328" s="53" t="s">
        <v>1290</v>
      </c>
      <c r="BG328" s="53">
        <v>3</v>
      </c>
      <c r="BH328" s="83">
        <v>46362</v>
      </c>
      <c r="BI328" s="53"/>
      <c r="BJ328" s="53"/>
    </row>
    <row r="329" spans="3:63" ht="14.25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0"/>
        <v>1</v>
      </c>
      <c r="M329" s="26">
        <f t="shared" si="29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67">
        <f>SUMIFS([1]Up!$J:$J,[1]Up!$D:$D,D329)</f>
        <v>0</v>
      </c>
      <c r="AZ329" s="82" t="s">
        <v>2229</v>
      </c>
      <c r="BA329" s="82" t="str">
        <f t="shared" si="31"/>
        <v>PL10</v>
      </c>
      <c r="BB329" s="53" t="str">
        <f t="shared" si="32"/>
        <v>Thừa 1</v>
      </c>
      <c r="BC329" s="53" t="s">
        <v>154</v>
      </c>
      <c r="BD329" s="53" t="s">
        <v>1005</v>
      </c>
      <c r="BE329" s="53" t="s">
        <v>1006</v>
      </c>
      <c r="BF329" s="53" t="s">
        <v>57</v>
      </c>
      <c r="BG329" s="53">
        <v>1</v>
      </c>
      <c r="BH329" s="83"/>
      <c r="BI329" s="53"/>
      <c r="BJ329" s="53"/>
    </row>
    <row r="330" spans="3:63" ht="14.25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0"/>
        <v>1</v>
      </c>
      <c r="M330" s="26">
        <f t="shared" si="2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67">
        <f>SUMIFS([1]Up!$J:$J,[1]Up!$D:$D,D330)</f>
        <v>0</v>
      </c>
      <c r="AZ330" s="82" t="s">
        <v>2074</v>
      </c>
      <c r="BA330" s="82" t="str">
        <f t="shared" si="31"/>
        <v>PL12</v>
      </c>
      <c r="BB330" s="53" t="str">
        <f t="shared" si="32"/>
        <v>Thừa 1</v>
      </c>
      <c r="BC330" s="53" t="s">
        <v>154</v>
      </c>
      <c r="BD330" s="53" t="s">
        <v>1021</v>
      </c>
      <c r="BE330" s="53" t="s">
        <v>1022</v>
      </c>
      <c r="BF330" s="53" t="s">
        <v>57</v>
      </c>
      <c r="BG330" s="53">
        <v>1</v>
      </c>
      <c r="BH330" s="83"/>
      <c r="BI330" s="53"/>
      <c r="BJ330" s="53"/>
    </row>
    <row r="331" spans="3:63" ht="14.25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0"/>
        <v>1</v>
      </c>
      <c r="M331" s="26">
        <f t="shared" si="2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67">
        <f>SUMIFS([1]Up!$J:$J,[1]Up!$D:$D,D331)</f>
        <v>0</v>
      </c>
      <c r="AZ331" s="82" t="s">
        <v>2074</v>
      </c>
      <c r="BA331" s="82" t="str">
        <f t="shared" si="31"/>
        <v>PL12</v>
      </c>
      <c r="BB331" s="53" t="str">
        <f t="shared" si="32"/>
        <v>Thừa 1</v>
      </c>
      <c r="BC331" s="53" t="s">
        <v>154</v>
      </c>
      <c r="BD331" s="53" t="s">
        <v>1021</v>
      </c>
      <c r="BE331" s="53" t="s">
        <v>1022</v>
      </c>
      <c r="BF331" s="53" t="s">
        <v>57</v>
      </c>
      <c r="BG331" s="53">
        <v>1</v>
      </c>
      <c r="BH331" s="83"/>
      <c r="BI331" s="53"/>
      <c r="BJ331" s="53"/>
    </row>
    <row r="332" spans="3:63" ht="14.25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0"/>
        <v>3</v>
      </c>
      <c r="M332" s="26">
        <f t="shared" si="29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67">
        <f>SUMIFS([1]Up!$J:$J,[1]Up!$D:$D,D332)</f>
        <v>0</v>
      </c>
      <c r="AZ332" s="82"/>
      <c r="BA332" s="82" t="str">
        <f t="shared" si="31"/>
        <v>PL12</v>
      </c>
      <c r="BB332" s="53" t="str">
        <f t="shared" si="32"/>
        <v/>
      </c>
      <c r="BC332" s="53" t="s">
        <v>148</v>
      </c>
      <c r="BD332" s="53" t="s">
        <v>1021</v>
      </c>
      <c r="BE332" s="53" t="s">
        <v>1022</v>
      </c>
      <c r="BF332" s="53" t="s">
        <v>1023</v>
      </c>
      <c r="BG332" s="53">
        <v>3</v>
      </c>
      <c r="BH332" s="83">
        <v>46088</v>
      </c>
      <c r="BI332" s="53"/>
      <c r="BJ332" s="53"/>
    </row>
    <row r="333" spans="3:63" ht="14.25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0"/>
        <v>3</v>
      </c>
      <c r="M333" s="26">
        <f t="shared" si="29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67">
        <f>SUMIFS([1]Up!$J:$J,[1]Up!$D:$D,D333)</f>
        <v>0</v>
      </c>
      <c r="AZ333" s="82"/>
      <c r="BA333" s="82" t="str">
        <f t="shared" si="31"/>
        <v>PL12</v>
      </c>
      <c r="BB333" s="53" t="str">
        <f t="shared" si="32"/>
        <v/>
      </c>
      <c r="BC333" s="53" t="s">
        <v>148</v>
      </c>
      <c r="BD333" s="53" t="s">
        <v>1021</v>
      </c>
      <c r="BE333" s="53" t="s">
        <v>1022</v>
      </c>
      <c r="BF333" s="53" t="s">
        <v>1023</v>
      </c>
      <c r="BG333" s="53">
        <v>3</v>
      </c>
      <c r="BH333" s="83">
        <v>46088</v>
      </c>
      <c r="BI333" s="53"/>
      <c r="BJ333" s="53"/>
    </row>
    <row r="334" spans="3:63" ht="14.25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0"/>
        <v>6</v>
      </c>
      <c r="M334" s="26">
        <f t="shared" si="29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67">
        <f>SUMIFS([1]Up!$J:$J,[1]Up!$D:$D,D334)</f>
        <v>0</v>
      </c>
      <c r="AZ334" s="82"/>
      <c r="BA334" s="82" t="str">
        <f t="shared" si="31"/>
        <v>PL16</v>
      </c>
      <c r="BB334" s="53" t="str">
        <f t="shared" si="32"/>
        <v/>
      </c>
      <c r="BC334" s="53" t="s">
        <v>148</v>
      </c>
      <c r="BD334" s="53" t="s">
        <v>988</v>
      </c>
      <c r="BE334" s="53" t="s">
        <v>989</v>
      </c>
      <c r="BF334" s="53" t="s">
        <v>990</v>
      </c>
      <c r="BG334" s="53">
        <v>6</v>
      </c>
      <c r="BH334" s="83" t="s">
        <v>2223</v>
      </c>
      <c r="BI334" s="53"/>
      <c r="BJ334" s="53"/>
    </row>
    <row r="335" spans="3:63" ht="14.25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0"/>
        <v>1</v>
      </c>
      <c r="M335" s="26">
        <f t="shared" si="29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>
        <v>1</v>
      </c>
      <c r="AY335" s="67">
        <f>SUMIFS([1]Up!$J:$J,[1]Up!$D:$D,D335)</f>
        <v>0</v>
      </c>
      <c r="AZ335" s="82"/>
      <c r="BA335" s="82" t="str">
        <f t="shared" si="31"/>
        <v>PL10</v>
      </c>
      <c r="BB335" s="53" t="str">
        <f t="shared" si="32"/>
        <v/>
      </c>
      <c r="BC335" s="53" t="s">
        <v>154</v>
      </c>
      <c r="BD335" s="53" t="s">
        <v>1005</v>
      </c>
      <c r="BE335" s="53" t="s">
        <v>1006</v>
      </c>
      <c r="BF335" s="53" t="s">
        <v>1064</v>
      </c>
      <c r="BG335" s="53">
        <v>1</v>
      </c>
      <c r="BH335" s="83">
        <v>46088</v>
      </c>
      <c r="BI335" s="53"/>
      <c r="BJ335" s="53"/>
    </row>
    <row r="336" spans="3:63" ht="14.25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0"/>
        <v>2</v>
      </c>
      <c r="M336" s="26">
        <f t="shared" si="29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67">
        <f>SUMIFS([1]Up!$J:$J,[1]Up!$D:$D,D336)</f>
        <v>0</v>
      </c>
      <c r="AZ336" s="82"/>
      <c r="BA336" s="82" t="str">
        <f t="shared" si="31"/>
        <v>PL20</v>
      </c>
      <c r="BB336" s="53" t="str">
        <f t="shared" si="32"/>
        <v/>
      </c>
      <c r="BC336" s="53" t="s">
        <v>148</v>
      </c>
      <c r="BD336" s="53" t="s">
        <v>1100</v>
      </c>
      <c r="BE336" s="53" t="s">
        <v>1101</v>
      </c>
      <c r="BF336" s="53" t="s">
        <v>1308</v>
      </c>
      <c r="BG336" s="53">
        <v>2</v>
      </c>
      <c r="BH336" s="83">
        <v>46242</v>
      </c>
      <c r="BI336" s="53"/>
      <c r="BJ336" s="53"/>
    </row>
    <row r="337" spans="3:62" ht="14.25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0"/>
        <v>3</v>
      </c>
      <c r="M337" s="26">
        <f t="shared" si="29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67">
        <f>SUMIFS([1]Up!$J:$J,[1]Up!$D:$D,D337)</f>
        <v>0</v>
      </c>
      <c r="AZ337" s="82"/>
      <c r="BA337" s="82" t="str">
        <f t="shared" si="31"/>
        <v>PL20</v>
      </c>
      <c r="BB337" s="53" t="str">
        <f t="shared" si="32"/>
        <v/>
      </c>
      <c r="BC337" s="53" t="s">
        <v>148</v>
      </c>
      <c r="BD337" s="53" t="s">
        <v>1100</v>
      </c>
      <c r="BE337" s="53" t="s">
        <v>1101</v>
      </c>
      <c r="BF337" s="53" t="s">
        <v>1308</v>
      </c>
      <c r="BG337" s="53">
        <v>3</v>
      </c>
      <c r="BH337" s="83">
        <v>46242</v>
      </c>
      <c r="BI337" s="53"/>
      <c r="BJ337" s="53"/>
    </row>
    <row r="338" spans="3:62" ht="14.25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0"/>
        <v>1</v>
      </c>
      <c r="M338" s="26">
        <f t="shared" si="29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67">
        <f>SUMIFS([1]Up!$J:$J,[1]Up!$D:$D,D338)</f>
        <v>0</v>
      </c>
      <c r="AZ338" s="82"/>
      <c r="BA338" s="82" t="str">
        <f t="shared" si="31"/>
        <v>PL20</v>
      </c>
      <c r="BB338" s="53" t="str">
        <f t="shared" si="32"/>
        <v/>
      </c>
      <c r="BC338" s="53" t="s">
        <v>148</v>
      </c>
      <c r="BD338" s="53" t="s">
        <v>1100</v>
      </c>
      <c r="BE338" s="53" t="s">
        <v>1101</v>
      </c>
      <c r="BF338" s="53" t="s">
        <v>1308</v>
      </c>
      <c r="BG338" s="53">
        <v>1</v>
      </c>
      <c r="BH338" s="83">
        <v>46242</v>
      </c>
      <c r="BI338" s="53"/>
      <c r="BJ338" s="53"/>
    </row>
    <row r="339" spans="3:62" ht="14.25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0"/>
        <v>1</v>
      </c>
      <c r="M339" s="26">
        <f t="shared" si="29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67">
        <f>SUMIFS([1]Up!$J:$J,[1]Up!$D:$D,D339)</f>
        <v>0</v>
      </c>
      <c r="AZ339" s="82"/>
      <c r="BA339" s="82" t="str">
        <f t="shared" si="31"/>
        <v>PL30</v>
      </c>
      <c r="BB339" s="53" t="str">
        <f t="shared" si="32"/>
        <v/>
      </c>
      <c r="BC339" s="53" t="s">
        <v>148</v>
      </c>
      <c r="BD339" s="53" t="s">
        <v>1059</v>
      </c>
      <c r="BE339" s="53" t="s">
        <v>1060</v>
      </c>
      <c r="BF339" s="53" t="s">
        <v>1061</v>
      </c>
      <c r="BG339" s="53">
        <v>1</v>
      </c>
      <c r="BH339" s="83" t="s">
        <v>2223</v>
      </c>
      <c r="BI339" s="53"/>
      <c r="BJ339" s="53"/>
    </row>
    <row r="340" spans="3:62" ht="14.25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0"/>
        <v>1</v>
      </c>
      <c r="M340" s="26">
        <f t="shared" si="29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67">
        <f>SUMIFS([1]Up!$J:$J,[1]Up!$D:$D,D340)</f>
        <v>0</v>
      </c>
      <c r="AZ340" s="82"/>
      <c r="BA340" s="82" t="str">
        <f t="shared" si="31"/>
        <v>PL10</v>
      </c>
      <c r="BB340" s="53" t="str">
        <f t="shared" si="32"/>
        <v/>
      </c>
      <c r="BC340" s="53" t="s">
        <v>148</v>
      </c>
      <c r="BD340" s="53" t="s">
        <v>1005</v>
      </c>
      <c r="BE340" s="53" t="s">
        <v>1006</v>
      </c>
      <c r="BF340" s="53" t="s">
        <v>1064</v>
      </c>
      <c r="BG340" s="53">
        <v>1</v>
      </c>
      <c r="BH340" s="83">
        <v>46088</v>
      </c>
      <c r="BI340" s="53"/>
      <c r="BJ340" s="53"/>
    </row>
    <row r="341" spans="3:62" ht="14.25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0"/>
        <v>1</v>
      </c>
      <c r="M341" s="26">
        <f t="shared" si="2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67">
        <f>SUMIFS([1]Up!$J:$J,[1]Up!$D:$D,D341)</f>
        <v>0</v>
      </c>
      <c r="AZ341" s="82" t="s">
        <v>2072</v>
      </c>
      <c r="BA341" s="82" t="str">
        <f t="shared" si="31"/>
        <v>PL12</v>
      </c>
      <c r="BB341" s="53" t="str">
        <f t="shared" si="32"/>
        <v>Thừa 2</v>
      </c>
      <c r="BC341" s="53" t="s">
        <v>154</v>
      </c>
      <c r="BD341" s="53" t="s">
        <v>1021</v>
      </c>
      <c r="BE341" s="53" t="s">
        <v>1022</v>
      </c>
      <c r="BF341" s="53" t="s">
        <v>57</v>
      </c>
      <c r="BG341" s="53">
        <v>1</v>
      </c>
      <c r="BH341" s="83"/>
      <c r="BI341" s="53"/>
      <c r="BJ341" s="53"/>
    </row>
    <row r="342" spans="3:62" ht="14.25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0"/>
        <v>1</v>
      </c>
      <c r="M342" s="26">
        <f t="shared" si="29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67">
        <f>SUMIFS([1]Up!$J:$J,[1]Up!$D:$D,D342)</f>
        <v>0</v>
      </c>
      <c r="AZ342" s="82"/>
      <c r="BA342" s="82" t="str">
        <f t="shared" si="31"/>
        <v>PL10</v>
      </c>
      <c r="BB342" s="53" t="str">
        <f t="shared" si="32"/>
        <v/>
      </c>
      <c r="BC342" s="53" t="s">
        <v>148</v>
      </c>
      <c r="BD342" s="53" t="s">
        <v>1005</v>
      </c>
      <c r="BE342" s="53" t="s">
        <v>1006</v>
      </c>
      <c r="BF342" s="53" t="s">
        <v>1064</v>
      </c>
      <c r="BG342" s="53">
        <v>1</v>
      </c>
      <c r="BH342" s="83">
        <v>46088</v>
      </c>
      <c r="BI342" s="53"/>
      <c r="BJ342" s="53"/>
    </row>
    <row r="343" spans="3:62" ht="14.25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0"/>
        <v>2</v>
      </c>
      <c r="M343" s="26">
        <f t="shared" si="29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67">
        <f>SUMIFS([1]Up!$J:$J,[1]Up!$D:$D,D343)</f>
        <v>0</v>
      </c>
      <c r="AZ343" s="82"/>
      <c r="BA343" s="82" t="str">
        <f t="shared" si="31"/>
        <v>PL15</v>
      </c>
      <c r="BB343" s="53" t="str">
        <f t="shared" si="32"/>
        <v/>
      </c>
      <c r="BC343" s="53" t="s">
        <v>148</v>
      </c>
      <c r="BD343" s="53" t="s">
        <v>1094</v>
      </c>
      <c r="BE343" s="53" t="s">
        <v>1095</v>
      </c>
      <c r="BF343" s="53" t="s">
        <v>1304</v>
      </c>
      <c r="BG343" s="53">
        <v>2</v>
      </c>
      <c r="BH343" s="83">
        <v>46088</v>
      </c>
      <c r="BI343" s="53"/>
      <c r="BJ343" s="53"/>
    </row>
    <row r="344" spans="3:62" ht="14.25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0"/>
        <v>1</v>
      </c>
      <c r="M344" s="26">
        <f t="shared" si="29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67">
        <f>SUMIFS([1]Up!$J:$J,[1]Up!$D:$D,D344)</f>
        <v>0</v>
      </c>
      <c r="AZ344" s="82" t="s">
        <v>2074</v>
      </c>
      <c r="BA344" s="82" t="str">
        <f t="shared" si="31"/>
        <v>PL10</v>
      </c>
      <c r="BB344" s="53" t="str">
        <f t="shared" si="32"/>
        <v>Thừa 1</v>
      </c>
      <c r="BC344" s="53" t="s">
        <v>154</v>
      </c>
      <c r="BD344" s="53" t="s">
        <v>1005</v>
      </c>
      <c r="BE344" s="53" t="s">
        <v>1006</v>
      </c>
      <c r="BF344" s="53" t="s">
        <v>57</v>
      </c>
      <c r="BG344" s="53">
        <v>1</v>
      </c>
      <c r="BH344" s="83"/>
      <c r="BI344" s="53"/>
      <c r="BJ344" s="53"/>
    </row>
    <row r="345" spans="3:62" ht="14.25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0"/>
        <v>1</v>
      </c>
      <c r="M345" s="26">
        <f t="shared" si="29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67">
        <f>SUMIFS([1]Up!$J:$J,[1]Up!$D:$D,D345)</f>
        <v>0</v>
      </c>
      <c r="AZ345" s="82"/>
      <c r="BA345" s="82" t="str">
        <f t="shared" si="31"/>
        <v>PL10</v>
      </c>
      <c r="BB345" s="53" t="str">
        <f t="shared" si="32"/>
        <v/>
      </c>
      <c r="BC345" s="53" t="s">
        <v>148</v>
      </c>
      <c r="BD345" s="53" t="s">
        <v>1005</v>
      </c>
      <c r="BE345" s="53" t="s">
        <v>1006</v>
      </c>
      <c r="BF345" s="53" t="s">
        <v>1064</v>
      </c>
      <c r="BG345" s="53">
        <v>1</v>
      </c>
      <c r="BH345" s="83">
        <v>46088</v>
      </c>
      <c r="BI345" s="53"/>
      <c r="BJ345" s="53"/>
    </row>
    <row r="346" spans="3:62" ht="14.25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0"/>
        <v>2</v>
      </c>
      <c r="M346" s="26">
        <f t="shared" si="29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67">
        <f>SUMIFS([1]Up!$J:$J,[1]Up!$D:$D,D346)</f>
        <v>0</v>
      </c>
      <c r="AZ346" s="82"/>
      <c r="BA346" s="82" t="str">
        <f t="shared" si="31"/>
        <v>PL20</v>
      </c>
      <c r="BB346" s="53" t="str">
        <f t="shared" si="32"/>
        <v/>
      </c>
      <c r="BC346" s="53" t="s">
        <v>148</v>
      </c>
      <c r="BD346" s="53" t="s">
        <v>1100</v>
      </c>
      <c r="BE346" s="53" t="s">
        <v>1101</v>
      </c>
      <c r="BF346" s="53" t="s">
        <v>1308</v>
      </c>
      <c r="BG346" s="53">
        <v>2</v>
      </c>
      <c r="BH346" s="83">
        <v>46242</v>
      </c>
      <c r="BI346" s="53"/>
      <c r="BJ346" s="53"/>
    </row>
    <row r="347" spans="3:62" ht="14.25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0"/>
        <v>1</v>
      </c>
      <c r="M347" s="26">
        <f t="shared" si="29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67">
        <f>SUMIFS([1]Up!$J:$J,[1]Up!$D:$D,D347)</f>
        <v>0</v>
      </c>
      <c r="AZ347" s="82" t="s">
        <v>2074</v>
      </c>
      <c r="BA347" s="82" t="str">
        <f t="shared" si="31"/>
        <v>PL12</v>
      </c>
      <c r="BB347" s="53" t="str">
        <f t="shared" si="32"/>
        <v>Thừa 1</v>
      </c>
      <c r="BC347" s="53" t="s">
        <v>154</v>
      </c>
      <c r="BD347" s="53" t="s">
        <v>1021</v>
      </c>
      <c r="BE347" s="53" t="s">
        <v>1022</v>
      </c>
      <c r="BF347" s="53" t="s">
        <v>57</v>
      </c>
      <c r="BG347" s="53">
        <v>1</v>
      </c>
      <c r="BH347" s="83"/>
      <c r="BI347" s="53"/>
      <c r="BJ347" s="53"/>
    </row>
    <row r="348" spans="3:62" ht="14.25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0"/>
        <v>1</v>
      </c>
      <c r="M348" s="26">
        <f t="shared" si="29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67">
        <f>SUMIFS([1]Up!$J:$J,[1]Up!$D:$D,D348)</f>
        <v>0</v>
      </c>
      <c r="AZ348" s="82" t="s">
        <v>2072</v>
      </c>
      <c r="BA348" s="82" t="str">
        <f t="shared" si="31"/>
        <v>PL12</v>
      </c>
      <c r="BB348" s="53" t="str">
        <f t="shared" si="32"/>
        <v>Thừa 2</v>
      </c>
      <c r="BC348" s="53" t="s">
        <v>154</v>
      </c>
      <c r="BD348" s="53" t="s">
        <v>1021</v>
      </c>
      <c r="BE348" s="53" t="s">
        <v>1022</v>
      </c>
      <c r="BF348" s="53" t="s">
        <v>57</v>
      </c>
      <c r="BG348" s="53">
        <v>1</v>
      </c>
      <c r="BH348" s="83"/>
      <c r="BI348" s="53"/>
      <c r="BJ348" s="53"/>
    </row>
    <row r="349" spans="3:62" ht="14.25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0"/>
        <v>2</v>
      </c>
      <c r="M349" s="26">
        <f t="shared" si="29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67">
        <f>SUMIFS([1]Up!$J:$J,[1]Up!$D:$D,D349)</f>
        <v>0</v>
      </c>
      <c r="AZ349" s="82"/>
      <c r="BA349" s="82" t="str">
        <f t="shared" si="31"/>
        <v>PL12</v>
      </c>
      <c r="BB349" s="53" t="str">
        <f t="shared" si="32"/>
        <v/>
      </c>
      <c r="BC349" s="53" t="s">
        <v>148</v>
      </c>
      <c r="BD349" s="53" t="s">
        <v>1021</v>
      </c>
      <c r="BE349" s="53" t="s">
        <v>1022</v>
      </c>
      <c r="BF349" s="53" t="s">
        <v>1023</v>
      </c>
      <c r="BG349" s="53">
        <v>2</v>
      </c>
      <c r="BH349" s="83">
        <v>46088</v>
      </c>
      <c r="BI349" s="53"/>
      <c r="BJ349" s="53"/>
    </row>
    <row r="350" spans="3:62" ht="14.25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3">MIN(SUM(N350:AX350),I350)</f>
        <v>1</v>
      </c>
      <c r="M350" s="26">
        <f t="shared" si="29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67">
        <f>SUMIFS([1]Up!$J:$J,[1]Up!$D:$D,D350)</f>
        <v>0</v>
      </c>
      <c r="AZ350" s="82"/>
      <c r="BA350" s="82" t="str">
        <f t="shared" ref="BA350:BA413" si="34">IFERROR(IF(C350="Plate",LEFT(E350,FIND("*",E350,1)-1),""),IF(C350="Plate",LEFT(E350,FIND("x",E350,1)-1),""))</f>
        <v>PL10</v>
      </c>
      <c r="BB350" s="53" t="str">
        <f t="shared" ref="BB350:BB413" si="35">IF(ROUND(SUM(N350:AX350)-I350,0)&gt;0,"Thừa "&amp;SUM(N350:AX350)-I350,"")</f>
        <v/>
      </c>
      <c r="BC350" s="53" t="s">
        <v>148</v>
      </c>
      <c r="BD350" s="53" t="s">
        <v>1005</v>
      </c>
      <c r="BE350" s="53" t="s">
        <v>1006</v>
      </c>
      <c r="BF350" s="53" t="s">
        <v>1064</v>
      </c>
      <c r="BG350" s="53">
        <v>1</v>
      </c>
      <c r="BH350" s="83">
        <v>46088</v>
      </c>
      <c r="BI350" s="53"/>
      <c r="BJ350" s="53"/>
    </row>
    <row r="351" spans="3:62" ht="14.25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3"/>
        <v>1</v>
      </c>
      <c r="M351" s="26">
        <f t="shared" si="29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67">
        <f>SUMIFS([1]Up!$J:$J,[1]Up!$D:$D,D351)</f>
        <v>0</v>
      </c>
      <c r="AZ351" s="82"/>
      <c r="BA351" s="82" t="str">
        <f t="shared" si="34"/>
        <v>PL10</v>
      </c>
      <c r="BB351" s="53" t="str">
        <f t="shared" si="35"/>
        <v/>
      </c>
      <c r="BC351" s="53" t="s">
        <v>148</v>
      </c>
      <c r="BD351" s="53" t="s">
        <v>1005</v>
      </c>
      <c r="BE351" s="53" t="s">
        <v>1006</v>
      </c>
      <c r="BF351" s="53" t="s">
        <v>1064</v>
      </c>
      <c r="BG351" s="53">
        <v>1</v>
      </c>
      <c r="BH351" s="83">
        <v>46088</v>
      </c>
      <c r="BI351" s="53"/>
      <c r="BJ351" s="53"/>
    </row>
    <row r="352" spans="3:62" ht="14.25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3"/>
        <v>1</v>
      </c>
      <c r="M352" s="26">
        <f t="shared" si="29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67">
        <f>SUMIFS([1]Up!$J:$J,[1]Up!$D:$D,D352)</f>
        <v>0</v>
      </c>
      <c r="AZ352" s="82"/>
      <c r="BA352" s="82" t="str">
        <f t="shared" si="34"/>
        <v>PL15</v>
      </c>
      <c r="BB352" s="53" t="str">
        <f t="shared" si="35"/>
        <v/>
      </c>
      <c r="BC352" s="53" t="s">
        <v>148</v>
      </c>
      <c r="BD352" s="53" t="s">
        <v>1094</v>
      </c>
      <c r="BE352" s="53" t="s">
        <v>1095</v>
      </c>
      <c r="BF352" s="53" t="s">
        <v>1304</v>
      </c>
      <c r="BG352" s="53">
        <v>1</v>
      </c>
      <c r="BH352" s="83">
        <v>46088</v>
      </c>
      <c r="BI352" s="53"/>
      <c r="BJ352" s="53"/>
    </row>
    <row r="353" spans="3:62" ht="14.25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3"/>
        <v>1</v>
      </c>
      <c r="M353" s="26">
        <f t="shared" si="29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67">
        <f>SUMIFS([1]Up!$J:$J,[1]Up!$D:$D,D353)</f>
        <v>0</v>
      </c>
      <c r="AZ353" s="82"/>
      <c r="BA353" s="82" t="str">
        <f t="shared" si="34"/>
        <v>PL12</v>
      </c>
      <c r="BB353" s="53" t="str">
        <f t="shared" si="35"/>
        <v/>
      </c>
      <c r="BC353" s="53" t="s">
        <v>148</v>
      </c>
      <c r="BD353" s="53" t="s">
        <v>1021</v>
      </c>
      <c r="BE353" s="53" t="s">
        <v>1022</v>
      </c>
      <c r="BF353" s="53" t="s">
        <v>1023</v>
      </c>
      <c r="BG353" s="53">
        <v>1</v>
      </c>
      <c r="BH353" s="83">
        <v>46088</v>
      </c>
      <c r="BI353" s="53"/>
      <c r="BJ353" s="53"/>
    </row>
    <row r="354" spans="3:62" ht="14.25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3"/>
        <v>1</v>
      </c>
      <c r="M354" s="26">
        <f t="shared" si="29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67">
        <f>SUMIFS([1]Up!$J:$J,[1]Up!$D:$D,D354)</f>
        <v>0</v>
      </c>
      <c r="AZ354" s="82"/>
      <c r="BA354" s="82" t="str">
        <f t="shared" si="34"/>
        <v>PL12</v>
      </c>
      <c r="BB354" s="53" t="str">
        <f t="shared" si="35"/>
        <v/>
      </c>
      <c r="BC354" s="53" t="s">
        <v>148</v>
      </c>
      <c r="BD354" s="53" t="s">
        <v>1021</v>
      </c>
      <c r="BE354" s="53" t="s">
        <v>1022</v>
      </c>
      <c r="BF354" s="53" t="s">
        <v>1023</v>
      </c>
      <c r="BG354" s="53">
        <v>1</v>
      </c>
      <c r="BH354" s="83">
        <v>46088</v>
      </c>
      <c r="BI354" s="53"/>
      <c r="BJ354" s="53"/>
    </row>
    <row r="355" spans="3:62" ht="14.25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3"/>
        <v>1</v>
      </c>
      <c r="M355" s="26">
        <f t="shared" si="29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67">
        <f>SUMIFS([1]Up!$J:$J,[1]Up!$D:$D,D355)</f>
        <v>0</v>
      </c>
      <c r="AZ355" s="82"/>
      <c r="BA355" s="82" t="str">
        <f t="shared" si="34"/>
        <v>PL15</v>
      </c>
      <c r="BB355" s="53" t="str">
        <f t="shared" si="35"/>
        <v/>
      </c>
      <c r="BC355" s="53" t="s">
        <v>148</v>
      </c>
      <c r="BD355" s="53" t="s">
        <v>1094</v>
      </c>
      <c r="BE355" s="53" t="s">
        <v>1095</v>
      </c>
      <c r="BF355" s="53" t="s">
        <v>1304</v>
      </c>
      <c r="BG355" s="53">
        <v>1</v>
      </c>
      <c r="BH355" s="83">
        <v>46088</v>
      </c>
      <c r="BI355" s="53"/>
      <c r="BJ355" s="53"/>
    </row>
    <row r="356" spans="3:62" ht="14.25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3"/>
        <v>1</v>
      </c>
      <c r="M356" s="26">
        <f t="shared" si="29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67">
        <f>SUMIFS([1]Up!$J:$J,[1]Up!$D:$D,D356)</f>
        <v>0</v>
      </c>
      <c r="AZ356" s="82" t="s">
        <v>2229</v>
      </c>
      <c r="BA356" s="82" t="str">
        <f t="shared" si="34"/>
        <v>PL10</v>
      </c>
      <c r="BB356" s="53" t="str">
        <f t="shared" si="35"/>
        <v>Thừa 1</v>
      </c>
      <c r="BC356" s="53" t="s">
        <v>154</v>
      </c>
      <c r="BD356" s="53" t="s">
        <v>1005</v>
      </c>
      <c r="BE356" s="53" t="s">
        <v>1006</v>
      </c>
      <c r="BF356" s="53" t="s">
        <v>57</v>
      </c>
      <c r="BG356" s="53">
        <v>1</v>
      </c>
      <c r="BH356" s="83"/>
      <c r="BI356" s="53"/>
      <c r="BJ356" s="53"/>
    </row>
    <row r="357" spans="3:62" ht="14.25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3"/>
        <v>1</v>
      </c>
      <c r="M357" s="26">
        <f t="shared" si="29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67">
        <f>SUMIFS([1]Up!$J:$J,[1]Up!$D:$D,D357)</f>
        <v>0</v>
      </c>
      <c r="AZ357" s="82" t="s">
        <v>2072</v>
      </c>
      <c r="BA357" s="82" t="str">
        <f t="shared" si="34"/>
        <v>PL12</v>
      </c>
      <c r="BB357" s="53" t="str">
        <f t="shared" si="35"/>
        <v>Thừa 2</v>
      </c>
      <c r="BC357" s="53" t="s">
        <v>154</v>
      </c>
      <c r="BD357" s="53" t="s">
        <v>1021</v>
      </c>
      <c r="BE357" s="53" t="s">
        <v>1022</v>
      </c>
      <c r="BF357" s="53" t="s">
        <v>57</v>
      </c>
      <c r="BG357" s="53">
        <v>1</v>
      </c>
      <c r="BH357" s="83"/>
      <c r="BI357" s="53"/>
      <c r="BJ357" s="53"/>
    </row>
    <row r="358" spans="3:62" ht="14.25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3"/>
        <v>3</v>
      </c>
      <c r="M358" s="26">
        <f t="shared" si="29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67">
        <f>SUMIFS([1]Up!$J:$J,[1]Up!$D:$D,D358)</f>
        <v>0</v>
      </c>
      <c r="AZ358" s="82"/>
      <c r="BA358" s="82" t="str">
        <f t="shared" si="34"/>
        <v>PL12</v>
      </c>
      <c r="BB358" s="53" t="str">
        <f t="shared" si="35"/>
        <v/>
      </c>
      <c r="BC358" s="53" t="s">
        <v>148</v>
      </c>
      <c r="BD358" s="53" t="s">
        <v>1021</v>
      </c>
      <c r="BE358" s="53" t="s">
        <v>1022</v>
      </c>
      <c r="BF358" s="53" t="s">
        <v>1023</v>
      </c>
      <c r="BG358" s="53">
        <v>3</v>
      </c>
      <c r="BH358" s="83">
        <v>46088</v>
      </c>
      <c r="BI358" s="53"/>
      <c r="BJ358" s="53"/>
    </row>
    <row r="359" spans="3:62" ht="14.25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3"/>
        <v>2</v>
      </c>
      <c r="M359" s="26">
        <f t="shared" si="29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67">
        <f>SUMIFS([1]Up!$J:$J,[1]Up!$D:$D,D359)</f>
        <v>0</v>
      </c>
      <c r="AZ359" s="82"/>
      <c r="BA359" s="82" t="str">
        <f t="shared" si="34"/>
        <v>PL20</v>
      </c>
      <c r="BB359" s="53" t="str">
        <f t="shared" si="35"/>
        <v/>
      </c>
      <c r="BC359" s="53" t="s">
        <v>148</v>
      </c>
      <c r="BD359" s="53" t="s">
        <v>1100</v>
      </c>
      <c r="BE359" s="53" t="s">
        <v>1101</v>
      </c>
      <c r="BF359" s="53" t="s">
        <v>1308</v>
      </c>
      <c r="BG359" s="53">
        <v>2</v>
      </c>
      <c r="BH359" s="83">
        <v>46242</v>
      </c>
      <c r="BI359" s="53"/>
      <c r="BJ359" s="53"/>
    </row>
    <row r="360" spans="3:62" ht="14.25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3"/>
        <v>1</v>
      </c>
      <c r="M360" s="26">
        <f t="shared" si="29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67">
        <f>SUMIFS([1]Up!$J:$J,[1]Up!$D:$D,D360)</f>
        <v>0</v>
      </c>
      <c r="AZ360" s="82" t="s">
        <v>2229</v>
      </c>
      <c r="BA360" s="82" t="str">
        <f t="shared" si="34"/>
        <v>PL12</v>
      </c>
      <c r="BB360" s="53" t="str">
        <f t="shared" si="35"/>
        <v>Thừa 1</v>
      </c>
      <c r="BC360" s="53" t="s">
        <v>154</v>
      </c>
      <c r="BD360" s="53" t="s">
        <v>1021</v>
      </c>
      <c r="BE360" s="53" t="s">
        <v>1022</v>
      </c>
      <c r="BF360" s="53" t="s">
        <v>57</v>
      </c>
      <c r="BG360" s="53">
        <v>1</v>
      </c>
      <c r="BH360" s="83"/>
      <c r="BI360" s="53"/>
      <c r="BJ360" s="53"/>
    </row>
    <row r="361" spans="3:62" ht="14.25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3"/>
        <v>2</v>
      </c>
      <c r="M361" s="26">
        <f t="shared" si="29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67">
        <f>SUMIFS([1]Up!$J:$J,[1]Up!$D:$D,D361)</f>
        <v>0</v>
      </c>
      <c r="AZ361" s="82"/>
      <c r="BA361" s="82" t="str">
        <f t="shared" si="34"/>
        <v>PL15</v>
      </c>
      <c r="BB361" s="53" t="str">
        <f t="shared" si="35"/>
        <v/>
      </c>
      <c r="BC361" s="53" t="s">
        <v>148</v>
      </c>
      <c r="BD361" s="53" t="s">
        <v>1094</v>
      </c>
      <c r="BE361" s="53" t="s">
        <v>1095</v>
      </c>
      <c r="BF361" s="53" t="s">
        <v>1304</v>
      </c>
      <c r="BG361" s="53">
        <v>2</v>
      </c>
      <c r="BH361" s="83">
        <v>46088</v>
      </c>
      <c r="BI361" s="53"/>
      <c r="BJ361" s="53"/>
    </row>
    <row r="362" spans="3:62" ht="14.25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3"/>
        <v>2</v>
      </c>
      <c r="M362" s="26">
        <f t="shared" si="29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67">
        <f>SUMIFS([1]Up!$J:$J,[1]Up!$D:$D,D362)</f>
        <v>0</v>
      </c>
      <c r="AZ362" s="82"/>
      <c r="BA362" s="82" t="str">
        <f t="shared" si="34"/>
        <v>PL20</v>
      </c>
      <c r="BB362" s="53" t="str">
        <f t="shared" si="35"/>
        <v/>
      </c>
      <c r="BC362" s="53" t="s">
        <v>148</v>
      </c>
      <c r="BD362" s="53" t="s">
        <v>1100</v>
      </c>
      <c r="BE362" s="53" t="s">
        <v>1101</v>
      </c>
      <c r="BF362" s="53" t="s">
        <v>1308</v>
      </c>
      <c r="BG362" s="53">
        <v>2</v>
      </c>
      <c r="BH362" s="83">
        <v>46242</v>
      </c>
      <c r="BI362" s="53"/>
      <c r="BJ362" s="53"/>
    </row>
    <row r="363" spans="3:62" ht="14.25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3"/>
        <v>1</v>
      </c>
      <c r="M363" s="26">
        <f t="shared" si="29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67">
        <f>SUMIFS([1]Up!$J:$J,[1]Up!$D:$D,D363)</f>
        <v>0</v>
      </c>
      <c r="AZ363" s="82"/>
      <c r="BA363" s="82" t="str">
        <f t="shared" si="34"/>
        <v>PL10</v>
      </c>
      <c r="BB363" s="53" t="str">
        <f t="shared" si="35"/>
        <v/>
      </c>
      <c r="BC363" s="53" t="s">
        <v>148</v>
      </c>
      <c r="BD363" s="53" t="s">
        <v>1005</v>
      </c>
      <c r="BE363" s="53" t="s">
        <v>1006</v>
      </c>
      <c r="BF363" s="53" t="s">
        <v>1064</v>
      </c>
      <c r="BG363" s="53">
        <v>1</v>
      </c>
      <c r="BH363" s="83">
        <v>46088</v>
      </c>
      <c r="BI363" s="53"/>
      <c r="BJ363" s="53"/>
    </row>
    <row r="364" spans="3:62" ht="14.25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3"/>
        <v>1</v>
      </c>
      <c r="M364" s="26">
        <f t="shared" si="29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67">
        <f>SUMIFS([1]Up!$J:$J,[1]Up!$D:$D,D364)</f>
        <v>0</v>
      </c>
      <c r="AZ364" s="82" t="s">
        <v>2074</v>
      </c>
      <c r="BA364" s="82" t="str">
        <f t="shared" si="34"/>
        <v>PL10</v>
      </c>
      <c r="BB364" s="53" t="str">
        <f t="shared" si="35"/>
        <v>Thừa 1</v>
      </c>
      <c r="BC364" s="53" t="s">
        <v>154</v>
      </c>
      <c r="BD364" s="53" t="s">
        <v>1005</v>
      </c>
      <c r="BE364" s="53" t="s">
        <v>1006</v>
      </c>
      <c r="BF364" s="53" t="s">
        <v>57</v>
      </c>
      <c r="BG364" s="53">
        <v>1</v>
      </c>
      <c r="BH364" s="83"/>
      <c r="BI364" s="53"/>
      <c r="BJ364" s="53"/>
    </row>
    <row r="365" spans="3:62" ht="14.25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3"/>
        <v>1</v>
      </c>
      <c r="M365" s="26">
        <f t="shared" si="29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67">
        <f>SUMIFS([1]Up!$J:$J,[1]Up!$D:$D,D365)</f>
        <v>0</v>
      </c>
      <c r="AZ365" s="82"/>
      <c r="BA365" s="82" t="str">
        <f t="shared" si="34"/>
        <v>PL10</v>
      </c>
      <c r="BB365" s="53" t="str">
        <f t="shared" si="35"/>
        <v/>
      </c>
      <c r="BC365" s="53" t="s">
        <v>148</v>
      </c>
      <c r="BD365" s="53" t="s">
        <v>1005</v>
      </c>
      <c r="BE365" s="53" t="s">
        <v>1006</v>
      </c>
      <c r="BF365" s="53" t="s">
        <v>1064</v>
      </c>
      <c r="BG365" s="53">
        <v>1</v>
      </c>
      <c r="BH365" s="83">
        <v>46088</v>
      </c>
      <c r="BI365" s="53"/>
      <c r="BJ365" s="53"/>
    </row>
    <row r="366" spans="3:62" ht="14.25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3"/>
        <v>2</v>
      </c>
      <c r="M366" s="26">
        <f t="shared" si="29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67">
        <f>SUMIFS([1]Up!$J:$J,[1]Up!$D:$D,D366)</f>
        <v>0</v>
      </c>
      <c r="AZ366" s="82"/>
      <c r="BA366" s="82" t="str">
        <f t="shared" si="34"/>
        <v>PL20</v>
      </c>
      <c r="BB366" s="53" t="str">
        <f t="shared" si="35"/>
        <v/>
      </c>
      <c r="BC366" s="53" t="s">
        <v>148</v>
      </c>
      <c r="BD366" s="53" t="s">
        <v>1100</v>
      </c>
      <c r="BE366" s="53" t="s">
        <v>1101</v>
      </c>
      <c r="BF366" s="53" t="s">
        <v>1308</v>
      </c>
      <c r="BG366" s="53">
        <v>2</v>
      </c>
      <c r="BH366" s="83">
        <v>46242</v>
      </c>
      <c r="BI366" s="53"/>
      <c r="BJ366" s="53"/>
    </row>
    <row r="367" spans="3:62" ht="14.25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3"/>
        <v>1</v>
      </c>
      <c r="M367" s="26">
        <f t="shared" si="29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67">
        <f>SUMIFS([1]Up!$J:$J,[1]Up!$D:$D,D367)</f>
        <v>0</v>
      </c>
      <c r="AZ367" s="82" t="s">
        <v>2229</v>
      </c>
      <c r="BA367" s="82" t="str">
        <f t="shared" si="34"/>
        <v>PL12</v>
      </c>
      <c r="BB367" s="53" t="str">
        <f t="shared" si="35"/>
        <v>Thừa 1</v>
      </c>
      <c r="BC367" s="53" t="s">
        <v>154</v>
      </c>
      <c r="BD367" s="53" t="s">
        <v>1021</v>
      </c>
      <c r="BE367" s="53" t="s">
        <v>1022</v>
      </c>
      <c r="BF367" s="53" t="s">
        <v>57</v>
      </c>
      <c r="BG367" s="53">
        <v>1</v>
      </c>
      <c r="BH367" s="83"/>
      <c r="BI367" s="53"/>
      <c r="BJ367" s="53"/>
    </row>
    <row r="368" spans="3:62" ht="14.25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3"/>
        <v>1</v>
      </c>
      <c r="M368" s="26">
        <f t="shared" si="29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67">
        <f>SUMIFS([1]Up!$J:$J,[1]Up!$D:$D,D368)</f>
        <v>0</v>
      </c>
      <c r="AZ368" s="82" t="s">
        <v>2072</v>
      </c>
      <c r="BA368" s="82" t="str">
        <f t="shared" si="34"/>
        <v>PL12</v>
      </c>
      <c r="BB368" s="53" t="str">
        <f t="shared" si="35"/>
        <v>Thừa 2</v>
      </c>
      <c r="BC368" s="53" t="s">
        <v>154</v>
      </c>
      <c r="BD368" s="53" t="s">
        <v>1021</v>
      </c>
      <c r="BE368" s="53" t="s">
        <v>1022</v>
      </c>
      <c r="BF368" s="53" t="s">
        <v>57</v>
      </c>
      <c r="BG368" s="53">
        <v>1</v>
      </c>
      <c r="BH368" s="83"/>
      <c r="BI368" s="53"/>
      <c r="BJ368" s="53"/>
    </row>
    <row r="369" spans="3:63" ht="14.25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3"/>
        <v>3</v>
      </c>
      <c r="M369" s="26">
        <f t="shared" si="29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67">
        <f>SUMIFS([1]Up!$J:$J,[1]Up!$D:$D,D369)</f>
        <v>0</v>
      </c>
      <c r="AZ369" s="82"/>
      <c r="BA369" s="82" t="str">
        <f t="shared" si="34"/>
        <v>PL12</v>
      </c>
      <c r="BB369" s="53" t="str">
        <f t="shared" si="35"/>
        <v/>
      </c>
      <c r="BC369" s="53" t="s">
        <v>148</v>
      </c>
      <c r="BD369" s="53" t="s">
        <v>1021</v>
      </c>
      <c r="BE369" s="53" t="s">
        <v>1022</v>
      </c>
      <c r="BF369" s="53" t="s">
        <v>1023</v>
      </c>
      <c r="BG369" s="53">
        <v>3</v>
      </c>
      <c r="BH369" s="83">
        <v>46088</v>
      </c>
      <c r="BI369" s="53"/>
      <c r="BJ369" s="53"/>
    </row>
    <row r="370" spans="3:63" ht="14.25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3"/>
        <v>1</v>
      </c>
      <c r="M370" s="26">
        <f t="shared" si="29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67">
        <f>SUMIFS([1]Up!$J:$J,[1]Up!$D:$D,D370)</f>
        <v>0</v>
      </c>
      <c r="AZ370" s="82"/>
      <c r="BA370" s="82" t="str">
        <f t="shared" si="34"/>
        <v>PL10</v>
      </c>
      <c r="BB370" s="53" t="str">
        <f t="shared" si="35"/>
        <v/>
      </c>
      <c r="BC370" s="53" t="s">
        <v>148</v>
      </c>
      <c r="BD370" s="53" t="s">
        <v>1005</v>
      </c>
      <c r="BE370" s="53" t="s">
        <v>1006</v>
      </c>
      <c r="BF370" s="53" t="s">
        <v>1064</v>
      </c>
      <c r="BG370" s="53">
        <v>1</v>
      </c>
      <c r="BH370" s="83">
        <v>46088</v>
      </c>
      <c r="BI370" s="53"/>
      <c r="BJ370" s="53"/>
    </row>
    <row r="371" spans="3:63" ht="14.25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3"/>
        <v>3</v>
      </c>
      <c r="M371" s="26">
        <f t="shared" si="29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67">
        <f>SUMIFS([1]Up!$J:$J,[1]Up!$D:$D,D371)</f>
        <v>0</v>
      </c>
      <c r="AZ371" s="82"/>
      <c r="BA371" s="82" t="str">
        <f t="shared" si="34"/>
        <v/>
      </c>
      <c r="BB371" s="53" t="str">
        <f t="shared" si="35"/>
        <v/>
      </c>
      <c r="BC371" s="53" t="s">
        <v>148</v>
      </c>
      <c r="BD371" s="53" t="s">
        <v>1079</v>
      </c>
      <c r="BE371" s="53" t="s">
        <v>1076</v>
      </c>
      <c r="BF371" s="84" t="s">
        <v>2162</v>
      </c>
      <c r="BG371" s="53">
        <v>12</v>
      </c>
      <c r="BH371" s="83" t="s">
        <v>2225</v>
      </c>
      <c r="BI371" s="53"/>
      <c r="BJ371" s="53"/>
      <c r="BK371" s="238"/>
    </row>
    <row r="372" spans="3:63" ht="14.25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3"/>
        <v>2</v>
      </c>
      <c r="M372" s="26">
        <f t="shared" si="29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67">
        <f>SUMIFS([1]Up!$J:$J,[1]Up!$D:$D,D372)</f>
        <v>0</v>
      </c>
      <c r="AZ372" s="82" t="s">
        <v>2240</v>
      </c>
      <c r="BA372" s="82" t="str">
        <f t="shared" si="34"/>
        <v>PL10</v>
      </c>
      <c r="BB372" s="53" t="str">
        <f t="shared" si="35"/>
        <v/>
      </c>
      <c r="BC372" s="53" t="s">
        <v>154</v>
      </c>
      <c r="BD372" s="53" t="s">
        <v>1005</v>
      </c>
      <c r="BE372" s="53" t="s">
        <v>1006</v>
      </c>
      <c r="BF372" s="53" t="s">
        <v>57</v>
      </c>
      <c r="BG372" s="53">
        <v>4</v>
      </c>
      <c r="BH372" s="83"/>
      <c r="BI372" s="53"/>
      <c r="BJ372" s="53"/>
    </row>
    <row r="373" spans="3:63" ht="14.25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3"/>
        <v>0</v>
      </c>
      <c r="M373" s="26">
        <f t="shared" si="29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67">
        <f>SUMIFS([1]Up!$J:$J,[1]Up!$D:$D,D373)</f>
        <v>0</v>
      </c>
      <c r="AZ373" s="82"/>
      <c r="BA373" s="82" t="str">
        <f t="shared" si="34"/>
        <v>PL12</v>
      </c>
      <c r="BB373" s="53" t="str">
        <f t="shared" si="35"/>
        <v/>
      </c>
      <c r="BC373" s="53" t="s">
        <v>154</v>
      </c>
      <c r="BD373" s="53" t="s">
        <v>1021</v>
      </c>
      <c r="BE373" s="53" t="s">
        <v>1022</v>
      </c>
      <c r="BF373" s="53" t="s">
        <v>57</v>
      </c>
      <c r="BG373" s="53">
        <v>4</v>
      </c>
      <c r="BH373" s="83"/>
      <c r="BI373" s="53"/>
      <c r="BJ373" s="53"/>
    </row>
    <row r="374" spans="3:63" ht="14.25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3"/>
        <v>0</v>
      </c>
      <c r="M374" s="26">
        <f t="shared" si="29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67">
        <f>SUMIFS([1]Up!$J:$J,[1]Up!$D:$D,D374)</f>
        <v>0</v>
      </c>
      <c r="AZ374" s="82"/>
      <c r="BA374" s="82" t="str">
        <f t="shared" si="34"/>
        <v>PL12</v>
      </c>
      <c r="BB374" s="53" t="str">
        <f t="shared" si="35"/>
        <v/>
      </c>
      <c r="BC374" s="53" t="s">
        <v>154</v>
      </c>
      <c r="BD374" s="53" t="s">
        <v>1021</v>
      </c>
      <c r="BE374" s="53" t="s">
        <v>1022</v>
      </c>
      <c r="BF374" s="53" t="s">
        <v>57</v>
      </c>
      <c r="BG374" s="53">
        <v>4</v>
      </c>
      <c r="BH374" s="83"/>
      <c r="BI374" s="53"/>
      <c r="BJ374" s="53"/>
    </row>
    <row r="375" spans="3:63" ht="14.25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3"/>
        <v>3</v>
      </c>
      <c r="M375" s="26">
        <f t="shared" si="29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67">
        <f>SUMIFS([1]Up!$J:$J,[1]Up!$D:$D,D375)</f>
        <v>0</v>
      </c>
      <c r="AZ375" s="82"/>
      <c r="BA375" s="82" t="str">
        <f t="shared" si="34"/>
        <v>PL12</v>
      </c>
      <c r="BB375" s="53" t="str">
        <f t="shared" si="35"/>
        <v/>
      </c>
      <c r="BC375" s="53" t="s">
        <v>148</v>
      </c>
      <c r="BD375" s="53" t="s">
        <v>1021</v>
      </c>
      <c r="BE375" s="53" t="s">
        <v>1022</v>
      </c>
      <c r="BF375" s="84" t="s">
        <v>2160</v>
      </c>
      <c r="BG375" s="53">
        <v>12</v>
      </c>
      <c r="BH375" s="83">
        <v>46302</v>
      </c>
      <c r="BI375" s="53"/>
      <c r="BJ375" s="53"/>
      <c r="BK375" s="238"/>
    </row>
    <row r="376" spans="3:63" ht="14.25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3"/>
        <v>3</v>
      </c>
      <c r="M376" s="26">
        <f t="shared" si="29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67">
        <f>SUMIFS([1]Up!$J:$J,[1]Up!$D:$D,D376)</f>
        <v>0</v>
      </c>
      <c r="AZ376" s="82"/>
      <c r="BA376" s="82" t="str">
        <f t="shared" si="34"/>
        <v>PL12</v>
      </c>
      <c r="BB376" s="53" t="str">
        <f t="shared" si="35"/>
        <v/>
      </c>
      <c r="BC376" s="53" t="s">
        <v>148</v>
      </c>
      <c r="BD376" s="53" t="s">
        <v>1021</v>
      </c>
      <c r="BE376" s="53" t="s">
        <v>1022</v>
      </c>
      <c r="BF376" s="84" t="s">
        <v>2160</v>
      </c>
      <c r="BG376" s="53">
        <v>12</v>
      </c>
      <c r="BH376" s="83">
        <v>46302</v>
      </c>
      <c r="BI376" s="53"/>
      <c r="BJ376" s="53"/>
      <c r="BK376" s="238"/>
    </row>
    <row r="377" spans="3:63" ht="14.25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3"/>
        <v>6</v>
      </c>
      <c r="M377" s="26">
        <f t="shared" si="29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67">
        <f>SUMIFS([1]Up!$J:$J,[1]Up!$D:$D,D377)</f>
        <v>6</v>
      </c>
      <c r="AZ377" s="82"/>
      <c r="BA377" s="82" t="str">
        <f t="shared" si="34"/>
        <v>PL16</v>
      </c>
      <c r="BB377" s="53" t="str">
        <f t="shared" si="35"/>
        <v/>
      </c>
      <c r="BC377" s="53" t="s">
        <v>148</v>
      </c>
      <c r="BD377" s="53" t="s">
        <v>988</v>
      </c>
      <c r="BE377" s="53" t="s">
        <v>989</v>
      </c>
      <c r="BF377" s="84" t="s">
        <v>2161</v>
      </c>
      <c r="BG377" s="53">
        <v>24</v>
      </c>
      <c r="BH377" s="83" t="s">
        <v>2226</v>
      </c>
      <c r="BI377" s="53"/>
      <c r="BJ377" s="53"/>
      <c r="BK377" s="238"/>
    </row>
    <row r="378" spans="3:63" ht="14.25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3"/>
        <v>0</v>
      </c>
      <c r="M378" s="26">
        <f t="shared" si="29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67">
        <f>SUMIFS([1]Up!$J:$J,[1]Up!$D:$D,D378)</f>
        <v>0</v>
      </c>
      <c r="AZ378" s="82"/>
      <c r="BA378" s="82" t="str">
        <f t="shared" si="34"/>
        <v>PL10</v>
      </c>
      <c r="BB378" s="53" t="str">
        <f t="shared" si="35"/>
        <v/>
      </c>
      <c r="BC378" s="53" t="s">
        <v>154</v>
      </c>
      <c r="BD378" s="53" t="s">
        <v>1005</v>
      </c>
      <c r="BE378" s="53" t="s">
        <v>1006</v>
      </c>
      <c r="BF378" s="84" t="s">
        <v>2157</v>
      </c>
      <c r="BG378" s="53">
        <v>4</v>
      </c>
      <c r="BH378" s="83">
        <v>46302</v>
      </c>
      <c r="BI378" s="53"/>
      <c r="BJ378" s="53"/>
      <c r="BK378" s="238"/>
    </row>
    <row r="379" spans="3:63" ht="14.25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3"/>
        <v>2</v>
      </c>
      <c r="M379" s="26">
        <f t="shared" si="29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67">
        <f>SUMIFS([1]Up!$J:$J,[1]Up!$D:$D,D379)</f>
        <v>0</v>
      </c>
      <c r="AZ379" s="82"/>
      <c r="BA379" s="82" t="str">
        <f t="shared" si="34"/>
        <v>PL20</v>
      </c>
      <c r="BB379" s="53" t="str">
        <f t="shared" si="35"/>
        <v/>
      </c>
      <c r="BC379" s="53" t="s">
        <v>148</v>
      </c>
      <c r="BD379" s="53" t="s">
        <v>1100</v>
      </c>
      <c r="BE379" s="53" t="s">
        <v>1101</v>
      </c>
      <c r="BF379" s="84" t="s">
        <v>2158</v>
      </c>
      <c r="BG379" s="53">
        <v>8</v>
      </c>
      <c r="BH379" s="83">
        <v>46242</v>
      </c>
      <c r="BI379" s="53"/>
      <c r="BJ379" s="53"/>
      <c r="BK379" s="238"/>
    </row>
    <row r="380" spans="3:63" ht="14.25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3"/>
        <v>3</v>
      </c>
      <c r="M380" s="26">
        <f t="shared" si="29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67">
        <f>SUMIFS([1]Up!$J:$J,[1]Up!$D:$D,D380)</f>
        <v>0</v>
      </c>
      <c r="AZ380" s="82"/>
      <c r="BA380" s="82" t="str">
        <f t="shared" si="34"/>
        <v>PL20</v>
      </c>
      <c r="BB380" s="53" t="str">
        <f t="shared" si="35"/>
        <v/>
      </c>
      <c r="BC380" s="53" t="s">
        <v>148</v>
      </c>
      <c r="BD380" s="53" t="s">
        <v>1100</v>
      </c>
      <c r="BE380" s="53" t="s">
        <v>1101</v>
      </c>
      <c r="BF380" s="84" t="s">
        <v>2158</v>
      </c>
      <c r="BG380" s="53">
        <v>12</v>
      </c>
      <c r="BH380" s="83">
        <v>46242</v>
      </c>
      <c r="BI380" s="53"/>
      <c r="BJ380" s="53"/>
      <c r="BK380" s="238"/>
    </row>
    <row r="381" spans="3:63" ht="14.25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3"/>
        <v>1</v>
      </c>
      <c r="M381" s="26">
        <f t="shared" si="29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67">
        <f>SUMIFS([1]Up!$J:$J,[1]Up!$D:$D,D381)</f>
        <v>0</v>
      </c>
      <c r="AZ381" s="82"/>
      <c r="BA381" s="82" t="str">
        <f t="shared" si="34"/>
        <v>PL20</v>
      </c>
      <c r="BB381" s="53" t="str">
        <f t="shared" si="35"/>
        <v/>
      </c>
      <c r="BC381" s="53" t="s">
        <v>148</v>
      </c>
      <c r="BD381" s="53" t="s">
        <v>1100</v>
      </c>
      <c r="BE381" s="53" t="s">
        <v>1101</v>
      </c>
      <c r="BF381" s="84" t="s">
        <v>2158</v>
      </c>
      <c r="BG381" s="53">
        <v>4</v>
      </c>
      <c r="BH381" s="83">
        <v>46242</v>
      </c>
      <c r="BI381" s="53"/>
      <c r="BJ381" s="53"/>
      <c r="BK381" s="238"/>
    </row>
    <row r="382" spans="3:63" ht="14.25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3"/>
        <v>0</v>
      </c>
      <c r="M382" s="26">
        <f t="shared" si="29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67">
        <f>SUMIFS([1]Up!$J:$J,[1]Up!$D:$D,D382)</f>
        <v>0</v>
      </c>
      <c r="AZ382" s="82"/>
      <c r="BA382" s="82" t="str">
        <f t="shared" si="34"/>
        <v>PL30</v>
      </c>
      <c r="BB382" s="53" t="str">
        <f t="shared" si="35"/>
        <v/>
      </c>
      <c r="BC382" s="53" t="s">
        <v>148</v>
      </c>
      <c r="BD382" s="53" t="s">
        <v>1059</v>
      </c>
      <c r="BE382" s="53" t="s">
        <v>1060</v>
      </c>
      <c r="BF382" s="84" t="s">
        <v>2180</v>
      </c>
      <c r="BG382" s="53">
        <v>4</v>
      </c>
      <c r="BH382" s="83">
        <v>46302</v>
      </c>
      <c r="BI382" s="53"/>
      <c r="BJ382" s="53"/>
      <c r="BK382" s="238"/>
    </row>
    <row r="383" spans="3:63" ht="14.25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3"/>
        <v>1</v>
      </c>
      <c r="M383" s="26">
        <f t="shared" si="29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67">
        <f>SUMIFS([1]Up!$J:$J,[1]Up!$D:$D,D383)</f>
        <v>0</v>
      </c>
      <c r="AZ383" s="82"/>
      <c r="BA383" s="82" t="str">
        <f t="shared" si="34"/>
        <v>PL10</v>
      </c>
      <c r="BB383" s="53" t="str">
        <f t="shared" si="35"/>
        <v/>
      </c>
      <c r="BC383" s="53" t="s">
        <v>148</v>
      </c>
      <c r="BD383" s="53" t="s">
        <v>1005</v>
      </c>
      <c r="BE383" s="53" t="s">
        <v>1006</v>
      </c>
      <c r="BF383" s="84" t="s">
        <v>2157</v>
      </c>
      <c r="BG383" s="53">
        <v>4</v>
      </c>
      <c r="BH383" s="83">
        <v>46302</v>
      </c>
      <c r="BI383" s="53"/>
      <c r="BJ383" s="53"/>
      <c r="BK383" s="238"/>
    </row>
    <row r="384" spans="3:63" ht="14.25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3"/>
        <v>0</v>
      </c>
      <c r="M384" s="26">
        <f t="shared" si="29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67">
        <f>SUMIFS([1]Up!$J:$J,[1]Up!$D:$D,D384)</f>
        <v>0</v>
      </c>
      <c r="AZ384" s="82"/>
      <c r="BA384" s="82" t="str">
        <f t="shared" si="34"/>
        <v>PL12</v>
      </c>
      <c r="BB384" s="53" t="str">
        <f t="shared" si="35"/>
        <v/>
      </c>
      <c r="BC384" s="53" t="s">
        <v>154</v>
      </c>
      <c r="BD384" s="53" t="s">
        <v>1021</v>
      </c>
      <c r="BE384" s="53" t="s">
        <v>1022</v>
      </c>
      <c r="BF384" s="53" t="s">
        <v>57</v>
      </c>
      <c r="BG384" s="53">
        <v>4</v>
      </c>
      <c r="BH384" s="83"/>
      <c r="BI384" s="53"/>
      <c r="BJ384" s="53"/>
    </row>
    <row r="385" spans="3:63" ht="14.25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3"/>
        <v>1</v>
      </c>
      <c r="M385" s="26">
        <f t="shared" si="29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67">
        <f>SUMIFS([1]Up!$J:$J,[1]Up!$D:$D,D385)</f>
        <v>0</v>
      </c>
      <c r="AZ385" s="82"/>
      <c r="BA385" s="82" t="str">
        <f t="shared" si="34"/>
        <v>PL10</v>
      </c>
      <c r="BB385" s="53" t="str">
        <f t="shared" si="35"/>
        <v/>
      </c>
      <c r="BC385" s="53" t="s">
        <v>148</v>
      </c>
      <c r="BD385" s="53" t="s">
        <v>1005</v>
      </c>
      <c r="BE385" s="53" t="s">
        <v>1006</v>
      </c>
      <c r="BF385" s="84" t="s">
        <v>2157</v>
      </c>
      <c r="BG385" s="53">
        <v>4</v>
      </c>
      <c r="BH385" s="83">
        <v>46302</v>
      </c>
      <c r="BI385" s="53"/>
      <c r="BJ385" s="53"/>
      <c r="BK385" s="238"/>
    </row>
    <row r="386" spans="3:63" ht="14.25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3"/>
        <v>2</v>
      </c>
      <c r="M386" s="26">
        <f t="shared" si="29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67">
        <f>SUMIFS([1]Up!$J:$J,[1]Up!$D:$D,D386)</f>
        <v>2</v>
      </c>
      <c r="AZ386" s="82"/>
      <c r="BA386" s="82" t="str">
        <f t="shared" si="34"/>
        <v>PL15</v>
      </c>
      <c r="BB386" s="53" t="str">
        <f t="shared" si="35"/>
        <v/>
      </c>
      <c r="BC386" s="53" t="s">
        <v>148</v>
      </c>
      <c r="BD386" s="53" t="s">
        <v>1094</v>
      </c>
      <c r="BE386" s="53" t="s">
        <v>1095</v>
      </c>
      <c r="BF386" s="84" t="s">
        <v>2156</v>
      </c>
      <c r="BG386" s="53">
        <v>8</v>
      </c>
      <c r="BH386" s="83" t="s">
        <v>2225</v>
      </c>
      <c r="BI386" s="53"/>
      <c r="BJ386" s="53"/>
      <c r="BK386" s="238"/>
    </row>
    <row r="387" spans="3:63" ht="14.25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3"/>
        <v>2</v>
      </c>
      <c r="M387" s="26">
        <f t="shared" si="29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67">
        <f>SUMIFS([1]Up!$J:$J,[1]Up!$D:$D,D387)</f>
        <v>0</v>
      </c>
      <c r="AZ387" s="82" t="s">
        <v>2229</v>
      </c>
      <c r="BA387" s="82" t="str">
        <f t="shared" si="34"/>
        <v>PL10</v>
      </c>
      <c r="BB387" s="53" t="str">
        <f t="shared" si="35"/>
        <v/>
      </c>
      <c r="BC387" s="53" t="s">
        <v>154</v>
      </c>
      <c r="BD387" s="53" t="s">
        <v>1005</v>
      </c>
      <c r="BE387" s="53" t="s">
        <v>1006</v>
      </c>
      <c r="BF387" s="53" t="s">
        <v>57</v>
      </c>
      <c r="BG387" s="53">
        <v>4</v>
      </c>
      <c r="BH387" s="83"/>
      <c r="BI387" s="53"/>
      <c r="BJ387" s="53"/>
    </row>
    <row r="388" spans="3:63" ht="14.25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3"/>
        <v>2</v>
      </c>
      <c r="M388" s="26">
        <f t="shared" si="29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67">
        <f>SUMIFS([1]Up!$J:$J,[1]Up!$D:$D,D388)</f>
        <v>0</v>
      </c>
      <c r="AZ388" s="82" t="s">
        <v>2252</v>
      </c>
      <c r="BA388" s="82" t="str">
        <f t="shared" si="34"/>
        <v>PL12</v>
      </c>
      <c r="BB388" s="53" t="str">
        <f t="shared" si="35"/>
        <v>Thừa 1</v>
      </c>
      <c r="BC388" s="53" t="s">
        <v>154</v>
      </c>
      <c r="BD388" s="53" t="s">
        <v>1021</v>
      </c>
      <c r="BE388" s="53" t="s">
        <v>1022</v>
      </c>
      <c r="BF388" s="53" t="s">
        <v>57</v>
      </c>
      <c r="BG388" s="53">
        <v>4</v>
      </c>
      <c r="BH388" s="83"/>
      <c r="BI388" s="53"/>
      <c r="BJ388" s="53"/>
    </row>
    <row r="389" spans="3:63" ht="14.25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3"/>
        <v>0</v>
      </c>
      <c r="M389" s="26">
        <f t="shared" si="29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67">
        <f>SUMIFS([1]Up!$J:$J,[1]Up!$D:$D,D389)</f>
        <v>0</v>
      </c>
      <c r="AZ389" s="82"/>
      <c r="BA389" s="82" t="str">
        <f t="shared" si="34"/>
        <v>PL12</v>
      </c>
      <c r="BB389" s="53" t="str">
        <f t="shared" si="35"/>
        <v/>
      </c>
      <c r="BC389" s="53" t="s">
        <v>148</v>
      </c>
      <c r="BD389" s="53" t="s">
        <v>1021</v>
      </c>
      <c r="BE389" s="53" t="s">
        <v>1022</v>
      </c>
      <c r="BF389" s="84" t="s">
        <v>2160</v>
      </c>
      <c r="BG389" s="53">
        <v>12</v>
      </c>
      <c r="BH389" s="83">
        <v>46302</v>
      </c>
      <c r="BI389" s="53"/>
      <c r="BJ389" s="53"/>
      <c r="BK389" s="238"/>
    </row>
    <row r="390" spans="3:63" ht="14.25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3"/>
        <v>2</v>
      </c>
      <c r="M390" s="26">
        <f t="shared" si="29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67">
        <f>SUMIFS([1]Up!$J:$J,[1]Up!$D:$D,D390)</f>
        <v>0</v>
      </c>
      <c r="AZ390" s="82"/>
      <c r="BA390" s="82" t="str">
        <f t="shared" si="34"/>
        <v>PL20</v>
      </c>
      <c r="BB390" s="53" t="str">
        <f t="shared" si="35"/>
        <v/>
      </c>
      <c r="BC390" s="53" t="s">
        <v>148</v>
      </c>
      <c r="BD390" s="53" t="s">
        <v>1100</v>
      </c>
      <c r="BE390" s="53" t="s">
        <v>1101</v>
      </c>
      <c r="BF390" s="84" t="s">
        <v>2158</v>
      </c>
      <c r="BG390" s="53">
        <v>8</v>
      </c>
      <c r="BH390" s="83">
        <v>46242</v>
      </c>
      <c r="BI390" s="53"/>
      <c r="BJ390" s="53"/>
      <c r="BK390" s="238"/>
    </row>
    <row r="391" spans="3:63" ht="14.25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3"/>
        <v>0</v>
      </c>
      <c r="M391" s="26">
        <f t="shared" si="29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67">
        <f>SUMIFS([1]Up!$J:$J,[1]Up!$D:$D,D391)</f>
        <v>0</v>
      </c>
      <c r="AZ391" s="82"/>
      <c r="BA391" s="82" t="str">
        <f t="shared" si="34"/>
        <v>PL12</v>
      </c>
      <c r="BB391" s="53" t="str">
        <f t="shared" si="35"/>
        <v/>
      </c>
      <c r="BC391" s="53" t="s">
        <v>154</v>
      </c>
      <c r="BD391" s="53" t="s">
        <v>1021</v>
      </c>
      <c r="BE391" s="53" t="s">
        <v>1022</v>
      </c>
      <c r="BF391" s="53" t="s">
        <v>57</v>
      </c>
      <c r="BG391" s="53">
        <v>4</v>
      </c>
      <c r="BH391" s="83"/>
      <c r="BI391" s="53"/>
      <c r="BJ391" s="53"/>
    </row>
    <row r="392" spans="3:63" ht="14.25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3"/>
        <v>2</v>
      </c>
      <c r="M392" s="26">
        <f t="shared" si="29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67">
        <f>SUMIFS([1]Up!$J:$J,[1]Up!$D:$D,D392)</f>
        <v>2</v>
      </c>
      <c r="AZ392" s="82"/>
      <c r="BA392" s="82" t="str">
        <f t="shared" si="34"/>
        <v>PL15</v>
      </c>
      <c r="BB392" s="53" t="str">
        <f t="shared" si="35"/>
        <v/>
      </c>
      <c r="BC392" s="53" t="s">
        <v>148</v>
      </c>
      <c r="BD392" s="53" t="s">
        <v>1094</v>
      </c>
      <c r="BE392" s="53" t="s">
        <v>1095</v>
      </c>
      <c r="BF392" s="84" t="s">
        <v>2156</v>
      </c>
      <c r="BG392" s="53">
        <v>8</v>
      </c>
      <c r="BH392" s="83" t="s">
        <v>2225</v>
      </c>
      <c r="BI392" s="53"/>
      <c r="BJ392" s="53"/>
      <c r="BK392" s="238"/>
    </row>
    <row r="393" spans="3:63" ht="14.25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3"/>
        <v>2</v>
      </c>
      <c r="M393" s="26">
        <f t="shared" si="29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67">
        <f>SUMIFS([1]Up!$J:$J,[1]Up!$D:$D,D393)</f>
        <v>0</v>
      </c>
      <c r="AZ393" s="82"/>
      <c r="BA393" s="82" t="str">
        <f t="shared" si="34"/>
        <v>PL20</v>
      </c>
      <c r="BB393" s="53" t="str">
        <f t="shared" si="35"/>
        <v/>
      </c>
      <c r="BC393" s="53" t="s">
        <v>148</v>
      </c>
      <c r="BD393" s="53" t="s">
        <v>1100</v>
      </c>
      <c r="BE393" s="53" t="s">
        <v>1101</v>
      </c>
      <c r="BF393" s="84" t="s">
        <v>2158</v>
      </c>
      <c r="BG393" s="53">
        <v>8</v>
      </c>
      <c r="BH393" s="83">
        <v>46242</v>
      </c>
      <c r="BI393" s="53"/>
      <c r="BJ393" s="53"/>
      <c r="BK393" s="238"/>
    </row>
    <row r="394" spans="3:63" ht="14.25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3"/>
        <v>1</v>
      </c>
      <c r="M394" s="26">
        <f t="shared" si="29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67">
        <f>SUMIFS([1]Up!$J:$J,[1]Up!$D:$D,D394)</f>
        <v>0</v>
      </c>
      <c r="AZ394" s="82"/>
      <c r="BA394" s="82" t="str">
        <f t="shared" si="34"/>
        <v>PL10</v>
      </c>
      <c r="BB394" s="53" t="str">
        <f t="shared" si="35"/>
        <v/>
      </c>
      <c r="BC394" s="53" t="s">
        <v>148</v>
      </c>
      <c r="BD394" s="53" t="s">
        <v>1005</v>
      </c>
      <c r="BE394" s="53" t="s">
        <v>1006</v>
      </c>
      <c r="BF394" s="84" t="s">
        <v>2157</v>
      </c>
      <c r="BG394" s="53">
        <v>4</v>
      </c>
      <c r="BH394" s="83">
        <v>46302</v>
      </c>
      <c r="BI394" s="53"/>
      <c r="BJ394" s="53"/>
      <c r="BK394" s="238"/>
    </row>
    <row r="395" spans="3:63" ht="14.25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3"/>
        <v>2</v>
      </c>
      <c r="M395" s="26">
        <f t="shared" si="29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67">
        <f>SUMIFS([1]Up!$J:$J,[1]Up!$D:$D,D395)</f>
        <v>0</v>
      </c>
      <c r="AZ395" s="82" t="s">
        <v>2240</v>
      </c>
      <c r="BA395" s="82" t="str">
        <f t="shared" si="34"/>
        <v>PL10</v>
      </c>
      <c r="BB395" s="53" t="str">
        <f t="shared" si="35"/>
        <v/>
      </c>
      <c r="BC395" s="53" t="s">
        <v>154</v>
      </c>
      <c r="BD395" s="53" t="s">
        <v>1005</v>
      </c>
      <c r="BE395" s="53" t="s">
        <v>1006</v>
      </c>
      <c r="BF395" s="53" t="s">
        <v>57</v>
      </c>
      <c r="BG395" s="53">
        <v>4</v>
      </c>
      <c r="BH395" s="83"/>
      <c r="BI395" s="53"/>
      <c r="BJ395" s="53"/>
    </row>
    <row r="396" spans="3:63" ht="14.25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3"/>
        <v>0</v>
      </c>
      <c r="M396" s="26">
        <f t="shared" si="29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67">
        <f>SUMIFS([1]Up!$J:$J,[1]Up!$D:$D,D396)</f>
        <v>0</v>
      </c>
      <c r="AZ396" s="82"/>
      <c r="BA396" s="82" t="str">
        <f t="shared" si="34"/>
        <v>PL10</v>
      </c>
      <c r="BB396" s="53" t="str">
        <f t="shared" si="35"/>
        <v/>
      </c>
      <c r="BC396" s="53" t="s">
        <v>154</v>
      </c>
      <c r="BD396" s="53" t="s">
        <v>1005</v>
      </c>
      <c r="BE396" s="53" t="s">
        <v>1006</v>
      </c>
      <c r="BF396" s="84" t="s">
        <v>2157</v>
      </c>
      <c r="BG396" s="53">
        <v>4</v>
      </c>
      <c r="BH396" s="83">
        <v>46302</v>
      </c>
      <c r="BI396" s="53"/>
      <c r="BJ396" s="53"/>
      <c r="BK396" s="238"/>
    </row>
    <row r="397" spans="3:63" ht="14.25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3"/>
        <v>2</v>
      </c>
      <c r="M397" s="26">
        <f t="shared" si="29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67">
        <f>SUMIFS([1]Up!$J:$J,[1]Up!$D:$D,D397)</f>
        <v>0</v>
      </c>
      <c r="AZ397" s="82"/>
      <c r="BA397" s="82" t="str">
        <f t="shared" si="34"/>
        <v>PL20</v>
      </c>
      <c r="BB397" s="53" t="str">
        <f t="shared" si="35"/>
        <v/>
      </c>
      <c r="BC397" s="53" t="s">
        <v>148</v>
      </c>
      <c r="BD397" s="53" t="s">
        <v>1100</v>
      </c>
      <c r="BE397" s="53" t="s">
        <v>1101</v>
      </c>
      <c r="BF397" s="84" t="s">
        <v>2158</v>
      </c>
      <c r="BG397" s="53">
        <v>8</v>
      </c>
      <c r="BH397" s="83">
        <v>46242</v>
      </c>
      <c r="BI397" s="53"/>
      <c r="BJ397" s="53"/>
      <c r="BK397" s="238"/>
    </row>
    <row r="398" spans="3:63" ht="14.25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3"/>
        <v>0</v>
      </c>
      <c r="M398" s="26">
        <f t="shared" si="29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67">
        <f>SUMIFS([1]Up!$J:$J,[1]Up!$D:$D,D398)</f>
        <v>0</v>
      </c>
      <c r="AZ398" s="82"/>
      <c r="BA398" s="82" t="str">
        <f t="shared" si="34"/>
        <v>PL12</v>
      </c>
      <c r="BB398" s="53" t="str">
        <f t="shared" si="35"/>
        <v/>
      </c>
      <c r="BC398" s="53" t="s">
        <v>154</v>
      </c>
      <c r="BD398" s="53" t="s">
        <v>1021</v>
      </c>
      <c r="BE398" s="53" t="s">
        <v>1022</v>
      </c>
      <c r="BF398" s="53" t="s">
        <v>57</v>
      </c>
      <c r="BG398" s="53">
        <v>4</v>
      </c>
      <c r="BH398" s="83"/>
      <c r="BI398" s="53"/>
      <c r="BJ398" s="53"/>
    </row>
    <row r="399" spans="3:63" ht="14.25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3"/>
        <v>2</v>
      </c>
      <c r="M399" s="26">
        <f t="shared" si="29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67">
        <f>SUMIFS([1]Up!$J:$J,[1]Up!$D:$D,D399)</f>
        <v>0</v>
      </c>
      <c r="AZ399" s="82" t="s">
        <v>2247</v>
      </c>
      <c r="BA399" s="82" t="str">
        <f t="shared" si="34"/>
        <v>PL12</v>
      </c>
      <c r="BB399" s="53" t="str">
        <f t="shared" si="35"/>
        <v>Thừa 1</v>
      </c>
      <c r="BC399" s="53" t="s">
        <v>154</v>
      </c>
      <c r="BD399" s="53" t="s">
        <v>1021</v>
      </c>
      <c r="BE399" s="53" t="s">
        <v>1022</v>
      </c>
      <c r="BF399" s="53" t="s">
        <v>57</v>
      </c>
      <c r="BG399" s="53">
        <v>4</v>
      </c>
      <c r="BH399" s="83"/>
      <c r="BI399" s="53"/>
      <c r="BJ399" s="53"/>
    </row>
    <row r="400" spans="3:63" ht="14.25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3"/>
        <v>3</v>
      </c>
      <c r="M400" s="26">
        <f t="shared" si="29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67">
        <f>SUMIFS([1]Up!$J:$J,[1]Up!$D:$D,D400)</f>
        <v>0</v>
      </c>
      <c r="AZ400" s="82"/>
      <c r="BA400" s="82" t="str">
        <f t="shared" si="34"/>
        <v>PL12</v>
      </c>
      <c r="BB400" s="53" t="str">
        <f t="shared" si="35"/>
        <v/>
      </c>
      <c r="BC400" s="53" t="s">
        <v>148</v>
      </c>
      <c r="BD400" s="53" t="s">
        <v>1021</v>
      </c>
      <c r="BE400" s="53" t="s">
        <v>1022</v>
      </c>
      <c r="BF400" s="84" t="s">
        <v>2160</v>
      </c>
      <c r="BG400" s="53">
        <v>12</v>
      </c>
      <c r="BH400" s="83">
        <v>46302</v>
      </c>
      <c r="BI400" s="53"/>
      <c r="BJ400" s="53"/>
      <c r="BK400" s="238"/>
    </row>
    <row r="401" spans="3:63" ht="14.25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3"/>
        <v>1</v>
      </c>
      <c r="M401" s="26">
        <f t="shared" si="29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67">
        <f>SUMIFS([1]Up!$J:$J,[1]Up!$D:$D,D401)</f>
        <v>0</v>
      </c>
      <c r="AZ401" s="82"/>
      <c r="BA401" s="82" t="str">
        <f t="shared" si="34"/>
        <v>PL10</v>
      </c>
      <c r="BB401" s="53" t="str">
        <f t="shared" si="35"/>
        <v/>
      </c>
      <c r="BC401" s="53" t="s">
        <v>148</v>
      </c>
      <c r="BD401" s="53" t="s">
        <v>1005</v>
      </c>
      <c r="BE401" s="53" t="s">
        <v>1006</v>
      </c>
      <c r="BF401" s="84" t="s">
        <v>2157</v>
      </c>
      <c r="BG401" s="53">
        <v>4</v>
      </c>
      <c r="BH401" s="83">
        <v>46302</v>
      </c>
      <c r="BI401" s="53"/>
      <c r="BJ401" s="53"/>
      <c r="BK401" s="238"/>
    </row>
    <row r="402" spans="3:63" ht="14.25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3"/>
        <v>2</v>
      </c>
      <c r="M402" s="26">
        <f t="shared" si="29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67">
        <f>SUMIFS([1]Up!$J:$J,[1]Up!$D:$D,D402)</f>
        <v>0</v>
      </c>
      <c r="AZ402" s="82" t="s">
        <v>2074</v>
      </c>
      <c r="BA402" s="82" t="str">
        <f t="shared" si="34"/>
        <v>PL10</v>
      </c>
      <c r="BB402" s="53" t="str">
        <f t="shared" si="35"/>
        <v/>
      </c>
      <c r="BC402" s="53" t="s">
        <v>154</v>
      </c>
      <c r="BD402" s="53" t="s">
        <v>1005</v>
      </c>
      <c r="BE402" s="53" t="s">
        <v>1006</v>
      </c>
      <c r="BF402" s="53" t="s">
        <v>57</v>
      </c>
      <c r="BG402" s="53">
        <v>4</v>
      </c>
      <c r="BH402" s="83"/>
      <c r="BI402" s="53"/>
      <c r="BJ402" s="53"/>
    </row>
    <row r="403" spans="3:63" ht="14.25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3"/>
        <v>0</v>
      </c>
      <c r="M403" s="26">
        <f t="shared" si="29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67">
        <f>SUMIFS([1]Up!$J:$J,[1]Up!$D:$D,D403)</f>
        <v>0</v>
      </c>
      <c r="AZ403" s="82"/>
      <c r="BA403" s="82" t="str">
        <f t="shared" si="34"/>
        <v>PL10</v>
      </c>
      <c r="BB403" s="53" t="str">
        <f t="shared" si="35"/>
        <v/>
      </c>
      <c r="BC403" s="53" t="s">
        <v>154</v>
      </c>
      <c r="BD403" s="53" t="s">
        <v>1005</v>
      </c>
      <c r="BE403" s="53" t="s">
        <v>1006</v>
      </c>
      <c r="BF403" s="84" t="s">
        <v>2157</v>
      </c>
      <c r="BG403" s="53">
        <v>4</v>
      </c>
      <c r="BH403" s="83">
        <v>46302</v>
      </c>
      <c r="BI403" s="53"/>
      <c r="BJ403" s="53"/>
      <c r="BK403" s="238"/>
    </row>
    <row r="404" spans="3:63" ht="14.25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3"/>
        <v>2</v>
      </c>
      <c r="M404" s="26">
        <f t="shared" si="29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67">
        <f>SUMIFS([1]Up!$J:$J,[1]Up!$D:$D,D404)</f>
        <v>0</v>
      </c>
      <c r="AZ404" s="82"/>
      <c r="BA404" s="82" t="str">
        <f t="shared" si="34"/>
        <v>PL20</v>
      </c>
      <c r="BB404" s="53" t="str">
        <f t="shared" si="35"/>
        <v/>
      </c>
      <c r="BC404" s="53" t="s">
        <v>148</v>
      </c>
      <c r="BD404" s="53" t="s">
        <v>1100</v>
      </c>
      <c r="BE404" s="53" t="s">
        <v>1101</v>
      </c>
      <c r="BF404" s="84" t="s">
        <v>2158</v>
      </c>
      <c r="BG404" s="53">
        <v>8</v>
      </c>
      <c r="BH404" s="83">
        <v>46242</v>
      </c>
      <c r="BI404" s="53"/>
      <c r="BJ404" s="53"/>
      <c r="BK404" s="238"/>
    </row>
    <row r="405" spans="3:63" ht="14.25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3"/>
        <v>0</v>
      </c>
      <c r="M405" s="26">
        <f t="shared" si="29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67">
        <f>SUMIFS([1]Up!$J:$J,[1]Up!$D:$D,D405)</f>
        <v>0</v>
      </c>
      <c r="AZ405" s="82"/>
      <c r="BA405" s="82" t="str">
        <f t="shared" si="34"/>
        <v>PL12</v>
      </c>
      <c r="BB405" s="53" t="str">
        <f t="shared" si="35"/>
        <v/>
      </c>
      <c r="BC405" s="53" t="s">
        <v>154</v>
      </c>
      <c r="BD405" s="53" t="s">
        <v>1021</v>
      </c>
      <c r="BE405" s="53" t="s">
        <v>1022</v>
      </c>
      <c r="BF405" s="53" t="s">
        <v>57</v>
      </c>
      <c r="BG405" s="53">
        <v>4</v>
      </c>
      <c r="BH405" s="83"/>
      <c r="BI405" s="53"/>
      <c r="BJ405" s="53"/>
    </row>
    <row r="406" spans="3:63" ht="14.25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3"/>
        <v>2</v>
      </c>
      <c r="M406" s="26">
        <f t="shared" si="29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67">
        <f>SUMIFS([1]Up!$J:$J,[1]Up!$D:$D,D406)</f>
        <v>0</v>
      </c>
      <c r="AZ406" s="82" t="s">
        <v>2250</v>
      </c>
      <c r="BA406" s="82" t="str">
        <f t="shared" si="34"/>
        <v>PL12</v>
      </c>
      <c r="BB406" s="53" t="str">
        <f t="shared" si="35"/>
        <v>Thừa 1</v>
      </c>
      <c r="BC406" s="53" t="s">
        <v>154</v>
      </c>
      <c r="BD406" s="53" t="s">
        <v>1021</v>
      </c>
      <c r="BE406" s="53" t="s">
        <v>1022</v>
      </c>
      <c r="BF406" s="53" t="s">
        <v>57</v>
      </c>
      <c r="BG406" s="53">
        <v>4</v>
      </c>
      <c r="BH406" s="83"/>
      <c r="BI406" s="53"/>
      <c r="BJ406" s="53"/>
    </row>
    <row r="407" spans="3:63" ht="14.25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3"/>
        <v>0</v>
      </c>
      <c r="M407" s="26">
        <f t="shared" si="29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67">
        <f>SUMIFS([1]Up!$J:$J,[1]Up!$D:$D,D407)</f>
        <v>0</v>
      </c>
      <c r="AZ407" s="82"/>
      <c r="BA407" s="82" t="str">
        <f t="shared" si="34"/>
        <v>PL12</v>
      </c>
      <c r="BB407" s="53" t="str">
        <f t="shared" si="35"/>
        <v/>
      </c>
      <c r="BC407" s="53" t="s">
        <v>148</v>
      </c>
      <c r="BD407" s="53" t="s">
        <v>1021</v>
      </c>
      <c r="BE407" s="53" t="s">
        <v>1022</v>
      </c>
      <c r="BF407" s="84" t="s">
        <v>2160</v>
      </c>
      <c r="BG407" s="53">
        <v>12</v>
      </c>
      <c r="BH407" s="83">
        <v>46302</v>
      </c>
      <c r="BI407" s="53"/>
      <c r="BJ407" s="53"/>
      <c r="BK407" s="238"/>
    </row>
    <row r="408" spans="3:63" ht="14.25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3"/>
        <v>1</v>
      </c>
      <c r="M408" s="26">
        <f t="shared" si="29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67">
        <f>SUMIFS([1]Up!$J:$J,[1]Up!$D:$D,D408)</f>
        <v>0</v>
      </c>
      <c r="AZ408" s="82"/>
      <c r="BA408" s="82" t="str">
        <f t="shared" si="34"/>
        <v>PL10</v>
      </c>
      <c r="BB408" s="53" t="str">
        <f t="shared" si="35"/>
        <v/>
      </c>
      <c r="BC408" s="53" t="s">
        <v>148</v>
      </c>
      <c r="BD408" s="53" t="s">
        <v>1005</v>
      </c>
      <c r="BE408" s="53" t="s">
        <v>1006</v>
      </c>
      <c r="BF408" s="84" t="s">
        <v>2157</v>
      </c>
      <c r="BG408" s="53">
        <v>4</v>
      </c>
      <c r="BH408" s="83">
        <v>46302</v>
      </c>
      <c r="BI408" s="53"/>
      <c r="BJ408" s="53"/>
      <c r="BK408" s="238"/>
    </row>
    <row r="409" spans="3:63" ht="14.25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3"/>
        <v>6</v>
      </c>
      <c r="M409" s="26">
        <f t="shared" si="29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67">
        <f>SUMIFS([1]Up!$J:$J,[1]Up!$D:$D,D409)</f>
        <v>0</v>
      </c>
      <c r="AZ409" s="82"/>
      <c r="BA409" s="82" t="str">
        <f t="shared" si="34"/>
        <v/>
      </c>
      <c r="BB409" s="53" t="str">
        <f t="shared" si="35"/>
        <v/>
      </c>
      <c r="BC409" s="53" t="s">
        <v>148</v>
      </c>
      <c r="BD409" s="53" t="s">
        <v>1079</v>
      </c>
      <c r="BE409" s="53" t="s">
        <v>1076</v>
      </c>
      <c r="BF409" s="53" t="s">
        <v>1290</v>
      </c>
      <c r="BG409" s="53">
        <v>6</v>
      </c>
      <c r="BH409" s="83">
        <v>46362</v>
      </c>
      <c r="BI409" s="53"/>
      <c r="BJ409" s="53"/>
    </row>
    <row r="410" spans="3:63" ht="14.25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3"/>
        <v>1</v>
      </c>
      <c r="M410" s="26">
        <f t="shared" si="29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67">
        <f>SUMIFS([1]Up!$J:$J,[1]Up!$D:$D,D410)</f>
        <v>0</v>
      </c>
      <c r="AZ410" s="82" t="s">
        <v>2084</v>
      </c>
      <c r="BA410" s="82" t="str">
        <f t="shared" si="34"/>
        <v>PL10</v>
      </c>
      <c r="BB410" s="53" t="str">
        <f t="shared" si="35"/>
        <v>Thừa 8</v>
      </c>
      <c r="BC410" s="53" t="s">
        <v>154</v>
      </c>
      <c r="BD410" s="53" t="s">
        <v>1005</v>
      </c>
      <c r="BE410" s="53" t="s">
        <v>1006</v>
      </c>
      <c r="BF410" s="53" t="s">
        <v>57</v>
      </c>
      <c r="BG410" s="53">
        <v>1</v>
      </c>
      <c r="BH410" s="83"/>
      <c r="BI410" s="53"/>
      <c r="BJ410" s="53"/>
    </row>
    <row r="411" spans="3:63" ht="14.25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3"/>
        <v>2</v>
      </c>
      <c r="M411" s="26">
        <f t="shared" si="29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67">
        <f>SUMIFS([1]Up!$J:$J,[1]Up!$D:$D,D411)</f>
        <v>0</v>
      </c>
      <c r="AZ411" s="82"/>
      <c r="BA411" s="82" t="str">
        <f t="shared" si="34"/>
        <v>PL15</v>
      </c>
      <c r="BB411" s="53" t="str">
        <f t="shared" si="35"/>
        <v/>
      </c>
      <c r="BC411" s="53" t="s">
        <v>148</v>
      </c>
      <c r="BD411" s="53" t="s">
        <v>1094</v>
      </c>
      <c r="BE411" s="53" t="s">
        <v>1095</v>
      </c>
      <c r="BF411" s="53" t="s">
        <v>1304</v>
      </c>
      <c r="BG411" s="53">
        <v>2</v>
      </c>
      <c r="BH411" s="83">
        <v>46088</v>
      </c>
      <c r="BI411" s="53"/>
      <c r="BJ411" s="53"/>
    </row>
    <row r="412" spans="3:63" ht="14.25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3"/>
        <v>1</v>
      </c>
      <c r="M412" s="26">
        <f t="shared" si="29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67">
        <f>SUMIFS([1]Up!$J:$J,[1]Up!$D:$D,D412)</f>
        <v>0</v>
      </c>
      <c r="AZ412" s="82"/>
      <c r="BA412" s="82" t="str">
        <f t="shared" si="34"/>
        <v>PL10</v>
      </c>
      <c r="BB412" s="53" t="str">
        <f t="shared" si="35"/>
        <v/>
      </c>
      <c r="BC412" s="53" t="s">
        <v>148</v>
      </c>
      <c r="BD412" s="53" t="s">
        <v>1005</v>
      </c>
      <c r="BE412" s="53" t="s">
        <v>1006</v>
      </c>
      <c r="BF412" s="53" t="s">
        <v>1064</v>
      </c>
      <c r="BG412" s="53">
        <v>1</v>
      </c>
      <c r="BH412" s="83">
        <v>46088</v>
      </c>
      <c r="BI412" s="53"/>
      <c r="BJ412" s="53"/>
    </row>
    <row r="413" spans="3:63" ht="14.25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3"/>
        <v>7</v>
      </c>
      <c r="M413" s="26">
        <f t="shared" si="29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67">
        <f>SUMIFS([1]Up!$J:$J,[1]Up!$D:$D,D413)</f>
        <v>0</v>
      </c>
      <c r="AZ413" s="82"/>
      <c r="BA413" s="82" t="str">
        <f t="shared" si="34"/>
        <v>PL10</v>
      </c>
      <c r="BB413" s="53" t="str">
        <f t="shared" si="35"/>
        <v/>
      </c>
      <c r="BC413" s="53" t="s">
        <v>148</v>
      </c>
      <c r="BD413" s="53" t="s">
        <v>1005</v>
      </c>
      <c r="BE413" s="53" t="s">
        <v>1006</v>
      </c>
      <c r="BF413" s="53" t="s">
        <v>1064</v>
      </c>
      <c r="BG413" s="53">
        <v>7</v>
      </c>
      <c r="BH413" s="83">
        <v>46088</v>
      </c>
      <c r="BI413" s="53"/>
      <c r="BJ413" s="53"/>
    </row>
    <row r="414" spans="3:63" ht="14.25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6">MIN(SUM(N414:AX414),I414)</f>
        <v>7</v>
      </c>
      <c r="M414" s="26">
        <f t="shared" si="29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67">
        <f>SUMIFS([1]Up!$J:$J,[1]Up!$D:$D,D414)</f>
        <v>0</v>
      </c>
      <c r="AZ414" s="82"/>
      <c r="BA414" s="82" t="str">
        <f t="shared" ref="BA414:BA477" si="37">IFERROR(IF(C414="Plate",LEFT(E414,FIND("*",E414,1)-1),""),IF(C414="Plate",LEFT(E414,FIND("x",E414,1)-1),""))</f>
        <v>PL10</v>
      </c>
      <c r="BB414" s="53" t="str">
        <f t="shared" ref="BB414:BB477" si="38">IF(ROUND(SUM(N414:AX414)-I414,0)&gt;0,"Thừa "&amp;SUM(N414:AX414)-I414,"")</f>
        <v/>
      </c>
      <c r="BC414" s="53" t="s">
        <v>148</v>
      </c>
      <c r="BD414" s="53" t="s">
        <v>1005</v>
      </c>
      <c r="BE414" s="53" t="s">
        <v>1006</v>
      </c>
      <c r="BF414" s="53" t="s">
        <v>1064</v>
      </c>
      <c r="BG414" s="53">
        <v>7</v>
      </c>
      <c r="BH414" s="83">
        <v>46088</v>
      </c>
      <c r="BI414" s="53"/>
      <c r="BJ414" s="53"/>
    </row>
    <row r="415" spans="3:63" ht="14.25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6"/>
        <v>14</v>
      </c>
      <c r="M415" s="26">
        <f t="shared" si="29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67">
        <f>SUMIFS([1]Up!$J:$J,[1]Up!$D:$D,D415)</f>
        <v>0</v>
      </c>
      <c r="AZ415" s="82"/>
      <c r="BA415" s="82" t="str">
        <f t="shared" si="37"/>
        <v>PL16</v>
      </c>
      <c r="BB415" s="53" t="str">
        <f t="shared" si="38"/>
        <v/>
      </c>
      <c r="BC415" s="53" t="s">
        <v>148</v>
      </c>
      <c r="BD415" s="53" t="s">
        <v>988</v>
      </c>
      <c r="BE415" s="53" t="s">
        <v>989</v>
      </c>
      <c r="BF415" s="53" t="s">
        <v>990</v>
      </c>
      <c r="BG415" s="53">
        <v>14</v>
      </c>
      <c r="BH415" s="83" t="s">
        <v>2223</v>
      </c>
      <c r="BI415" s="53"/>
      <c r="BJ415" s="53"/>
    </row>
    <row r="416" spans="3:63" ht="14.25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6"/>
        <v>4</v>
      </c>
      <c r="M416" s="26">
        <f t="shared" si="29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67">
        <f>SUMIFS([1]Up!$J:$J,[1]Up!$D:$D,D416)</f>
        <v>0</v>
      </c>
      <c r="AZ416" s="82"/>
      <c r="BA416" s="82" t="str">
        <f t="shared" si="37"/>
        <v>PL10</v>
      </c>
      <c r="BB416" s="53" t="str">
        <f t="shared" si="38"/>
        <v/>
      </c>
      <c r="BC416" s="53" t="s">
        <v>148</v>
      </c>
      <c r="BD416" s="53" t="s">
        <v>1005</v>
      </c>
      <c r="BE416" s="53" t="s">
        <v>1006</v>
      </c>
      <c r="BF416" s="53" t="s">
        <v>1064</v>
      </c>
      <c r="BG416" s="53">
        <v>4</v>
      </c>
      <c r="BH416" s="83">
        <v>46088</v>
      </c>
      <c r="BI416" s="53"/>
      <c r="BJ416" s="53"/>
    </row>
    <row r="417" spans="3:63" ht="14.25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6"/>
        <v>4</v>
      </c>
      <c r="M417" s="26">
        <f t="shared" si="29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67">
        <f>SUMIFS([1]Up!$J:$J,[1]Up!$D:$D,D417)</f>
        <v>0</v>
      </c>
      <c r="AZ417" s="82"/>
      <c r="BA417" s="82" t="str">
        <f t="shared" si="37"/>
        <v>PL10</v>
      </c>
      <c r="BB417" s="53" t="str">
        <f t="shared" si="38"/>
        <v/>
      </c>
      <c r="BC417" s="53" t="s">
        <v>148</v>
      </c>
      <c r="BD417" s="53" t="s">
        <v>1005</v>
      </c>
      <c r="BE417" s="53" t="s">
        <v>1006</v>
      </c>
      <c r="BF417" s="53" t="s">
        <v>1064</v>
      </c>
      <c r="BG417" s="53">
        <v>4</v>
      </c>
      <c r="BH417" s="83">
        <v>46088</v>
      </c>
      <c r="BI417" s="53"/>
      <c r="BJ417" s="53"/>
    </row>
    <row r="418" spans="3:63" ht="14.25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6"/>
        <v>4</v>
      </c>
      <c r="M418" s="26">
        <f t="shared" si="29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67">
        <f>SUMIFS([1]Up!$J:$J,[1]Up!$D:$D,D418)</f>
        <v>0</v>
      </c>
      <c r="AZ418" s="82"/>
      <c r="BA418" s="82" t="str">
        <f t="shared" si="37"/>
        <v>PL15</v>
      </c>
      <c r="BB418" s="53" t="str">
        <f t="shared" si="38"/>
        <v/>
      </c>
      <c r="BC418" s="53" t="s">
        <v>148</v>
      </c>
      <c r="BD418" s="53" t="s">
        <v>1094</v>
      </c>
      <c r="BE418" s="53" t="s">
        <v>1095</v>
      </c>
      <c r="BF418" s="53" t="s">
        <v>1304</v>
      </c>
      <c r="BG418" s="53">
        <v>4</v>
      </c>
      <c r="BH418" s="83">
        <v>46088</v>
      </c>
      <c r="BI418" s="53"/>
      <c r="BJ418" s="53"/>
    </row>
    <row r="419" spans="3:63" ht="14.25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6"/>
        <v>1</v>
      </c>
      <c r="M419" s="26">
        <f t="shared" si="29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67">
        <f>SUMIFS([1]Up!$J:$J,[1]Up!$D:$D,D419)</f>
        <v>0</v>
      </c>
      <c r="AZ419" s="82" t="s">
        <v>2230</v>
      </c>
      <c r="BA419" s="82" t="str">
        <f t="shared" si="37"/>
        <v>PL10</v>
      </c>
      <c r="BB419" s="53" t="str">
        <f t="shared" si="38"/>
        <v>Thừa 6</v>
      </c>
      <c r="BC419" s="53" t="s">
        <v>154</v>
      </c>
      <c r="BD419" s="53" t="s">
        <v>1005</v>
      </c>
      <c r="BE419" s="53" t="s">
        <v>1006</v>
      </c>
      <c r="BF419" s="53" t="s">
        <v>57</v>
      </c>
      <c r="BG419" s="53">
        <v>1</v>
      </c>
      <c r="BH419" s="83"/>
      <c r="BI419" s="53"/>
      <c r="BJ419" s="53"/>
    </row>
    <row r="420" spans="3:63" ht="14.25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6"/>
        <v>3</v>
      </c>
      <c r="M420" s="26">
        <f t="shared" si="29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67">
        <f>SUMIFS([1]Up!$J:$J,[1]Up!$D:$D,D420)</f>
        <v>0</v>
      </c>
      <c r="AZ420" s="82"/>
      <c r="BA420" s="82" t="str">
        <f t="shared" si="37"/>
        <v>PL10</v>
      </c>
      <c r="BB420" s="53" t="str">
        <f t="shared" si="38"/>
        <v/>
      </c>
      <c r="BC420" s="53" t="s">
        <v>148</v>
      </c>
      <c r="BD420" s="53" t="s">
        <v>1005</v>
      </c>
      <c r="BE420" s="53" t="s">
        <v>1006</v>
      </c>
      <c r="BF420" s="53" t="s">
        <v>1064</v>
      </c>
      <c r="BG420" s="53">
        <v>3</v>
      </c>
      <c r="BH420" s="83">
        <v>46088</v>
      </c>
      <c r="BI420" s="53"/>
      <c r="BJ420" s="53"/>
    </row>
    <row r="421" spans="3:63" ht="14.25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6"/>
        <v>1</v>
      </c>
      <c r="M421" s="26">
        <f t="shared" si="29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67">
        <f>SUMIFS([1]Up!$J:$J,[1]Up!$D:$D,D421)</f>
        <v>0</v>
      </c>
      <c r="AZ421" s="82"/>
      <c r="BA421" s="82" t="str">
        <f t="shared" si="37"/>
        <v>PL15</v>
      </c>
      <c r="BB421" s="53" t="str">
        <f t="shared" si="38"/>
        <v/>
      </c>
      <c r="BC421" s="53" t="s">
        <v>148</v>
      </c>
      <c r="BD421" s="53" t="s">
        <v>1094</v>
      </c>
      <c r="BE421" s="53" t="s">
        <v>1095</v>
      </c>
      <c r="BF421" s="53" t="s">
        <v>1304</v>
      </c>
      <c r="BG421" s="53">
        <v>1</v>
      </c>
      <c r="BH421" s="83">
        <v>46088</v>
      </c>
      <c r="BI421" s="53"/>
      <c r="BJ421" s="53"/>
    </row>
    <row r="422" spans="3:63" ht="14.25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6"/>
        <v>1</v>
      </c>
      <c r="M422" s="26">
        <f t="shared" si="29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67">
        <f>SUMIFS([1]Up!$J:$J,[1]Up!$D:$D,D422)</f>
        <v>0</v>
      </c>
      <c r="AZ422" s="82"/>
      <c r="BA422" s="82" t="str">
        <f t="shared" si="37"/>
        <v>PL20</v>
      </c>
      <c r="BB422" s="53" t="str">
        <f t="shared" si="38"/>
        <v/>
      </c>
      <c r="BC422" s="53" t="s">
        <v>148</v>
      </c>
      <c r="BD422" s="53" t="s">
        <v>1100</v>
      </c>
      <c r="BE422" s="53" t="s">
        <v>1101</v>
      </c>
      <c r="BF422" s="53" t="s">
        <v>1308</v>
      </c>
      <c r="BG422" s="53">
        <v>1</v>
      </c>
      <c r="BH422" s="83">
        <v>46242</v>
      </c>
      <c r="BI422" s="53"/>
      <c r="BJ422" s="53"/>
    </row>
    <row r="423" spans="3:63" ht="14.25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6"/>
        <v>1</v>
      </c>
      <c r="M423" s="26">
        <f t="shared" si="29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67">
        <f>SUMIFS([1]Up!$J:$J,[1]Up!$D:$D,D423)</f>
        <v>0</v>
      </c>
      <c r="AZ423" s="82" t="s">
        <v>2231</v>
      </c>
      <c r="BA423" s="82" t="str">
        <f t="shared" si="37"/>
        <v>PL10</v>
      </c>
      <c r="BB423" s="53" t="str">
        <f t="shared" si="38"/>
        <v>Thừa 6</v>
      </c>
      <c r="BC423" s="53" t="s">
        <v>154</v>
      </c>
      <c r="BD423" s="53" t="s">
        <v>1005</v>
      </c>
      <c r="BE423" s="53" t="s">
        <v>1006</v>
      </c>
      <c r="BF423" s="53" t="s">
        <v>57</v>
      </c>
      <c r="BG423" s="53">
        <v>1</v>
      </c>
      <c r="BH423" s="83"/>
      <c r="BI423" s="53"/>
      <c r="BJ423" s="53"/>
    </row>
    <row r="424" spans="3:63" ht="14.25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6"/>
        <v>7</v>
      </c>
      <c r="M424" s="26">
        <f t="shared" si="29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67">
        <f>SUMIFS([1]Up!$J:$J,[1]Up!$D:$D,D424)</f>
        <v>0</v>
      </c>
      <c r="AZ424" s="82"/>
      <c r="BA424" s="82" t="str">
        <f t="shared" si="37"/>
        <v>PL10</v>
      </c>
      <c r="BB424" s="53" t="str">
        <f t="shared" si="38"/>
        <v/>
      </c>
      <c r="BC424" s="53" t="s">
        <v>148</v>
      </c>
      <c r="BD424" s="53" t="s">
        <v>1005</v>
      </c>
      <c r="BE424" s="53" t="s">
        <v>1006</v>
      </c>
      <c r="BF424" s="53" t="s">
        <v>1064</v>
      </c>
      <c r="BG424" s="53">
        <v>7</v>
      </c>
      <c r="BH424" s="83">
        <v>46088</v>
      </c>
      <c r="BI424" s="53"/>
      <c r="BJ424" s="53"/>
    </row>
    <row r="425" spans="3:63" ht="14.25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6"/>
        <v>1</v>
      </c>
      <c r="M425" s="26">
        <f t="shared" si="29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67">
        <f>SUMIFS([1]Up!$J:$J,[1]Up!$D:$D,D425)</f>
        <v>0</v>
      </c>
      <c r="AZ425" s="82"/>
      <c r="BA425" s="82" t="str">
        <f t="shared" si="37"/>
        <v>PL15</v>
      </c>
      <c r="BB425" s="53" t="str">
        <f t="shared" si="38"/>
        <v/>
      </c>
      <c r="BC425" s="53" t="s">
        <v>148</v>
      </c>
      <c r="BD425" s="53" t="s">
        <v>1094</v>
      </c>
      <c r="BE425" s="53" t="s">
        <v>1095</v>
      </c>
      <c r="BF425" s="53" t="s">
        <v>1304</v>
      </c>
      <c r="BG425" s="53">
        <v>1</v>
      </c>
      <c r="BH425" s="83">
        <v>46088</v>
      </c>
      <c r="BI425" s="53"/>
      <c r="BJ425" s="53"/>
    </row>
    <row r="426" spans="3:63" ht="14.25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6"/>
        <v>1</v>
      </c>
      <c r="M426" s="26">
        <f t="shared" si="29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67">
        <f>SUMIFS([1]Up!$J:$J,[1]Up!$D:$D,D426)</f>
        <v>0</v>
      </c>
      <c r="AZ426" s="82"/>
      <c r="BA426" s="82" t="str">
        <f t="shared" si="37"/>
        <v>PL20</v>
      </c>
      <c r="BB426" s="53" t="str">
        <f t="shared" si="38"/>
        <v/>
      </c>
      <c r="BC426" s="53" t="s">
        <v>148</v>
      </c>
      <c r="BD426" s="53" t="s">
        <v>1100</v>
      </c>
      <c r="BE426" s="53" t="s">
        <v>1101</v>
      </c>
      <c r="BF426" s="53" t="s">
        <v>1308</v>
      </c>
      <c r="BG426" s="53">
        <v>1</v>
      </c>
      <c r="BH426" s="83">
        <v>46242</v>
      </c>
      <c r="BI426" s="53"/>
      <c r="BJ426" s="53"/>
    </row>
    <row r="427" spans="3:63" ht="14.25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6"/>
        <v>6</v>
      </c>
      <c r="M427" s="26">
        <f t="shared" si="29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67">
        <f>SUMIFS([1]Up!$J:$J,[1]Up!$D:$D,D427)</f>
        <v>0</v>
      </c>
      <c r="AZ427" s="82"/>
      <c r="BA427" s="82" t="str">
        <f t="shared" si="37"/>
        <v/>
      </c>
      <c r="BB427" s="53" t="str">
        <f t="shared" si="38"/>
        <v/>
      </c>
      <c r="BC427" s="53" t="s">
        <v>148</v>
      </c>
      <c r="BD427" s="53" t="s">
        <v>1079</v>
      </c>
      <c r="BE427" s="53" t="s">
        <v>1076</v>
      </c>
      <c r="BF427" s="84" t="s">
        <v>2162</v>
      </c>
      <c r="BG427" s="53">
        <v>24</v>
      </c>
      <c r="BH427" s="83" t="s">
        <v>2225</v>
      </c>
      <c r="BI427" s="53"/>
      <c r="BJ427" s="53"/>
      <c r="BK427" s="238"/>
    </row>
    <row r="428" spans="3:63" ht="14.25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6"/>
        <v>1</v>
      </c>
      <c r="M428" s="26">
        <f t="shared" si="29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67">
        <f>SUMIFS([1]Up!$J:$J,[1]Up!$D:$D,D428)</f>
        <v>0</v>
      </c>
      <c r="AZ428" s="82" t="s">
        <v>1830</v>
      </c>
      <c r="BA428" s="82" t="str">
        <f t="shared" si="37"/>
        <v>PL10</v>
      </c>
      <c r="BB428" s="53" t="str">
        <f t="shared" si="38"/>
        <v/>
      </c>
      <c r="BC428" s="53" t="s">
        <v>154</v>
      </c>
      <c r="BD428" s="53" t="s">
        <v>1005</v>
      </c>
      <c r="BE428" s="53" t="s">
        <v>1006</v>
      </c>
      <c r="BF428" s="53" t="s">
        <v>57</v>
      </c>
      <c r="BG428" s="53">
        <v>4</v>
      </c>
      <c r="BH428" s="83"/>
      <c r="BI428" s="53"/>
      <c r="BJ428" s="53"/>
    </row>
    <row r="429" spans="3:63" ht="14.25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6"/>
        <v>2</v>
      </c>
      <c r="M429" s="26">
        <f t="shared" si="29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67">
        <f>SUMIFS([1]Up!$J:$J,[1]Up!$D:$D,D429)</f>
        <v>0</v>
      </c>
      <c r="AZ429" s="82"/>
      <c r="BA429" s="82" t="str">
        <f t="shared" si="37"/>
        <v>PL15</v>
      </c>
      <c r="BB429" s="53" t="str">
        <f t="shared" si="38"/>
        <v/>
      </c>
      <c r="BC429" s="53" t="s">
        <v>148</v>
      </c>
      <c r="BD429" s="53" t="s">
        <v>1094</v>
      </c>
      <c r="BE429" s="53" t="s">
        <v>1095</v>
      </c>
      <c r="BF429" s="84" t="s">
        <v>2156</v>
      </c>
      <c r="BG429" s="53">
        <v>8</v>
      </c>
      <c r="BH429" s="83" t="s">
        <v>2225</v>
      </c>
      <c r="BI429" s="53"/>
      <c r="BJ429" s="53"/>
      <c r="BK429" s="238"/>
    </row>
    <row r="430" spans="3:63" ht="14.25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6"/>
        <v>1</v>
      </c>
      <c r="M430" s="26">
        <f t="shared" si="29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67">
        <f>SUMIFS([1]Up!$J:$J,[1]Up!$D:$D,D430)</f>
        <v>0</v>
      </c>
      <c r="AZ430" s="82"/>
      <c r="BA430" s="82" t="str">
        <f t="shared" si="37"/>
        <v>PL10</v>
      </c>
      <c r="BB430" s="53" t="str">
        <f t="shared" si="38"/>
        <v/>
      </c>
      <c r="BC430" s="53" t="s">
        <v>148</v>
      </c>
      <c r="BD430" s="53" t="s">
        <v>1005</v>
      </c>
      <c r="BE430" s="53" t="s">
        <v>1006</v>
      </c>
      <c r="BF430" s="84" t="s">
        <v>2157</v>
      </c>
      <c r="BG430" s="53">
        <v>4</v>
      </c>
      <c r="BH430" s="83">
        <v>46302</v>
      </c>
      <c r="BI430" s="53"/>
      <c r="BJ430" s="53"/>
      <c r="BK430" s="238"/>
    </row>
    <row r="431" spans="3:63" ht="14.25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6"/>
        <v>7</v>
      </c>
      <c r="M431" s="26">
        <f t="shared" si="29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67">
        <f>SUMIFS([1]Up!$J:$J,[1]Up!$D:$D,D431)</f>
        <v>0</v>
      </c>
      <c r="AZ431" s="82"/>
      <c r="BA431" s="82" t="str">
        <f t="shared" si="37"/>
        <v>PL10</v>
      </c>
      <c r="BB431" s="53" t="str">
        <f t="shared" si="38"/>
        <v/>
      </c>
      <c r="BC431" s="53" t="s">
        <v>148</v>
      </c>
      <c r="BD431" s="53" t="s">
        <v>1005</v>
      </c>
      <c r="BE431" s="53" t="s">
        <v>1006</v>
      </c>
      <c r="BF431" s="84" t="s">
        <v>2157</v>
      </c>
      <c r="BG431" s="53">
        <v>28</v>
      </c>
      <c r="BH431" s="83">
        <v>46302</v>
      </c>
      <c r="BI431" s="53"/>
      <c r="BJ431" s="53"/>
      <c r="BK431" s="238"/>
    </row>
    <row r="432" spans="3:63" ht="14.25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6"/>
        <v>6</v>
      </c>
      <c r="M432" s="26">
        <f t="shared" si="29"/>
        <v>8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67">
        <f>SUMIFS([1]Up!$J:$J,[1]Up!$D:$D,D432)</f>
        <v>0</v>
      </c>
      <c r="AZ432" s="82"/>
      <c r="BA432" s="82" t="str">
        <f t="shared" si="37"/>
        <v>PL10</v>
      </c>
      <c r="BB432" s="53" t="str">
        <f t="shared" si="38"/>
        <v/>
      </c>
      <c r="BC432" s="53" t="s">
        <v>148</v>
      </c>
      <c r="BD432" s="53" t="s">
        <v>1005</v>
      </c>
      <c r="BE432" s="53" t="s">
        <v>1006</v>
      </c>
      <c r="BF432" s="84" t="s">
        <v>2157</v>
      </c>
      <c r="BG432" s="53">
        <v>28</v>
      </c>
      <c r="BH432" s="83">
        <v>46302</v>
      </c>
      <c r="BI432" s="53"/>
      <c r="BJ432" s="53"/>
      <c r="BK432" s="238"/>
    </row>
    <row r="433" spans="3:63" ht="14.25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6"/>
        <v>14</v>
      </c>
      <c r="M433" s="26">
        <f t="shared" si="29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67">
        <f>SUMIFS([1]Up!$J:$J,[1]Up!$D:$D,D433)</f>
        <v>14</v>
      </c>
      <c r="AZ433" s="82"/>
      <c r="BA433" s="82" t="str">
        <f t="shared" si="37"/>
        <v>PL16</v>
      </c>
      <c r="BB433" s="53" t="str">
        <f t="shared" si="38"/>
        <v/>
      </c>
      <c r="BC433" s="53" t="s">
        <v>148</v>
      </c>
      <c r="BD433" s="53" t="s">
        <v>988</v>
      </c>
      <c r="BE433" s="53" t="s">
        <v>989</v>
      </c>
      <c r="BF433" s="84" t="s">
        <v>2161</v>
      </c>
      <c r="BG433" s="53">
        <v>56</v>
      </c>
      <c r="BH433" s="83" t="s">
        <v>2226</v>
      </c>
      <c r="BI433" s="53"/>
      <c r="BJ433" s="53"/>
      <c r="BK433" s="238"/>
    </row>
    <row r="434" spans="3:63" ht="14.25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6"/>
        <v>2</v>
      </c>
      <c r="M434" s="26">
        <f t="shared" si="29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67">
        <f>SUMIFS([1]Up!$J:$J,[1]Up!$D:$D,D434)</f>
        <v>0</v>
      </c>
      <c r="AZ434" s="82" t="s">
        <v>2242</v>
      </c>
      <c r="BA434" s="82" t="str">
        <f>IFERROR(IF(C434="Plate",LEFT(E434,FIND("*",E434,1)-1),""),IF(C434="Plate",LEFT(E434,FIND("x",E434,1)-1),""))</f>
        <v>PL10</v>
      </c>
      <c r="BB434" s="53" t="str">
        <f t="shared" si="38"/>
        <v>Thừa 5</v>
      </c>
      <c r="BC434" s="53" t="s">
        <v>154</v>
      </c>
      <c r="BD434" s="53" t="s">
        <v>1005</v>
      </c>
      <c r="BE434" s="53" t="s">
        <v>1006</v>
      </c>
      <c r="BF434" s="53" t="s">
        <v>57</v>
      </c>
      <c r="BG434" s="53">
        <v>4</v>
      </c>
      <c r="BH434" s="83"/>
      <c r="BI434" s="53"/>
      <c r="BJ434" s="53"/>
    </row>
    <row r="435" spans="3:63" ht="14.25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6"/>
        <v>6</v>
      </c>
      <c r="M435" s="26">
        <f t="shared" si="29"/>
        <v>8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67">
        <f>SUMIFS([1]Up!$J:$J,[1]Up!$D:$D,D435)</f>
        <v>0</v>
      </c>
      <c r="AZ435" s="82"/>
      <c r="BA435" s="82" t="str">
        <f t="shared" si="37"/>
        <v>PL10</v>
      </c>
      <c r="BB435" s="53" t="str">
        <f t="shared" si="38"/>
        <v/>
      </c>
      <c r="BC435" s="53" t="s">
        <v>148</v>
      </c>
      <c r="BD435" s="53" t="s">
        <v>1005</v>
      </c>
      <c r="BE435" s="53" t="s">
        <v>1006</v>
      </c>
      <c r="BF435" s="84" t="s">
        <v>2157</v>
      </c>
      <c r="BG435" s="53">
        <v>28</v>
      </c>
      <c r="BH435" s="83">
        <v>46302</v>
      </c>
      <c r="BI435" s="53"/>
      <c r="BJ435" s="53"/>
      <c r="BK435" s="238"/>
    </row>
    <row r="436" spans="3:63" ht="14.25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6"/>
        <v>2</v>
      </c>
      <c r="M436" s="26">
        <f t="shared" si="29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67">
        <f>SUMIFS([1]Up!$J:$J,[1]Up!$D:$D,D436)</f>
        <v>1</v>
      </c>
      <c r="AZ436" s="82"/>
      <c r="BA436" s="82" t="str">
        <f t="shared" si="37"/>
        <v>PL15</v>
      </c>
      <c r="BB436" s="53" t="str">
        <f t="shared" si="38"/>
        <v/>
      </c>
      <c r="BC436" s="53" t="s">
        <v>148</v>
      </c>
      <c r="BD436" s="53" t="s">
        <v>1094</v>
      </c>
      <c r="BE436" s="53" t="s">
        <v>1095</v>
      </c>
      <c r="BF436" s="84" t="s">
        <v>2156</v>
      </c>
      <c r="BG436" s="53">
        <v>4</v>
      </c>
      <c r="BH436" s="83" t="s">
        <v>2225</v>
      </c>
      <c r="BI436" s="53"/>
      <c r="BJ436" s="53"/>
      <c r="BK436" s="238"/>
    </row>
    <row r="437" spans="3:63" ht="14.25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6"/>
        <v>1</v>
      </c>
      <c r="M437" s="26">
        <f t="shared" si="29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67">
        <f>SUMIFS([1]Up!$J:$J,[1]Up!$D:$D,D437)</f>
        <v>0</v>
      </c>
      <c r="AZ437" s="82"/>
      <c r="BA437" s="82" t="str">
        <f t="shared" si="37"/>
        <v>PL20</v>
      </c>
      <c r="BB437" s="53" t="str">
        <f t="shared" si="38"/>
        <v/>
      </c>
      <c r="BC437" s="53" t="s">
        <v>148</v>
      </c>
      <c r="BD437" s="53" t="s">
        <v>1100</v>
      </c>
      <c r="BE437" s="53" t="s">
        <v>1101</v>
      </c>
      <c r="BF437" s="84" t="s">
        <v>2158</v>
      </c>
      <c r="BG437" s="53">
        <v>4</v>
      </c>
      <c r="BH437" s="83">
        <v>46242</v>
      </c>
      <c r="BI437" s="53"/>
      <c r="BJ437" s="53"/>
      <c r="BK437" s="238"/>
    </row>
    <row r="438" spans="3:63" ht="14.25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6"/>
        <v>2</v>
      </c>
      <c r="M438" s="26">
        <f t="shared" si="29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67">
        <f>SUMIFS([1]Up!$J:$J,[1]Up!$D:$D,D438)</f>
        <v>0</v>
      </c>
      <c r="AZ438" s="82" t="s">
        <v>2241</v>
      </c>
      <c r="BA438" s="82" t="str">
        <f t="shared" si="37"/>
        <v>PL10</v>
      </c>
      <c r="BB438" s="53" t="str">
        <f t="shared" si="38"/>
        <v>Thừa 4</v>
      </c>
      <c r="BC438" s="53" t="s">
        <v>154</v>
      </c>
      <c r="BD438" s="53" t="s">
        <v>1005</v>
      </c>
      <c r="BE438" s="53" t="s">
        <v>1006</v>
      </c>
      <c r="BF438" s="53" t="s">
        <v>57</v>
      </c>
      <c r="BG438" s="53">
        <v>4</v>
      </c>
      <c r="BH438" s="83"/>
      <c r="BI438" s="53"/>
      <c r="BJ438" s="53"/>
    </row>
    <row r="439" spans="3:63" ht="14.25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6"/>
        <v>1</v>
      </c>
      <c r="M439" s="26">
        <f t="shared" si="29"/>
        <v>13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67">
        <f>SUMIFS([1]Up!$J:$J,[1]Up!$D:$D,D439)</f>
        <v>0</v>
      </c>
      <c r="AZ439" s="82"/>
      <c r="BA439" s="82" t="str">
        <f t="shared" si="37"/>
        <v>PL10</v>
      </c>
      <c r="BB439" s="53" t="str">
        <f t="shared" si="38"/>
        <v/>
      </c>
      <c r="BC439" s="53" t="s">
        <v>148</v>
      </c>
      <c r="BD439" s="53" t="s">
        <v>1005</v>
      </c>
      <c r="BE439" s="53" t="s">
        <v>1006</v>
      </c>
      <c r="BF439" s="84" t="s">
        <v>2157</v>
      </c>
      <c r="BG439" s="53">
        <v>28</v>
      </c>
      <c r="BH439" s="83">
        <v>46302</v>
      </c>
      <c r="BI439" s="53"/>
      <c r="BJ439" s="53"/>
      <c r="BK439" s="238"/>
    </row>
    <row r="440" spans="3:63" ht="14.25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6"/>
        <v>2</v>
      </c>
      <c r="M440" s="26">
        <f t="shared" si="29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67">
        <f>SUMIFS([1]Up!$J:$J,[1]Up!$D:$D,D440)</f>
        <v>1</v>
      </c>
      <c r="AZ440" s="82"/>
      <c r="BA440" s="82" t="str">
        <f t="shared" si="37"/>
        <v>PL15</v>
      </c>
      <c r="BB440" s="53" t="str">
        <f t="shared" si="38"/>
        <v/>
      </c>
      <c r="BC440" s="53" t="s">
        <v>148</v>
      </c>
      <c r="BD440" s="53" t="s">
        <v>1094</v>
      </c>
      <c r="BE440" s="53" t="s">
        <v>1095</v>
      </c>
      <c r="BF440" s="84" t="s">
        <v>2156</v>
      </c>
      <c r="BG440" s="53">
        <v>4</v>
      </c>
      <c r="BH440" s="83" t="s">
        <v>2225</v>
      </c>
      <c r="BI440" s="53"/>
      <c r="BJ440" s="53"/>
      <c r="BK440" s="238"/>
    </row>
    <row r="441" spans="3:63" ht="14.25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6"/>
        <v>1</v>
      </c>
      <c r="M441" s="26">
        <f t="shared" si="29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67">
        <f>SUMIFS([1]Up!$J:$J,[1]Up!$D:$D,D441)</f>
        <v>0</v>
      </c>
      <c r="AZ441" s="82"/>
      <c r="BA441" s="82" t="str">
        <f t="shared" si="37"/>
        <v>PL20</v>
      </c>
      <c r="BB441" s="53" t="str">
        <f t="shared" si="38"/>
        <v/>
      </c>
      <c r="BC441" s="53" t="s">
        <v>148</v>
      </c>
      <c r="BD441" s="53" t="s">
        <v>1100</v>
      </c>
      <c r="BE441" s="53" t="s">
        <v>1101</v>
      </c>
      <c r="BF441" s="84" t="s">
        <v>2158</v>
      </c>
      <c r="BG441" s="53">
        <v>4</v>
      </c>
      <c r="BH441" s="83">
        <v>46242</v>
      </c>
      <c r="BI441" s="53"/>
      <c r="BJ441" s="53"/>
      <c r="BK441" s="238"/>
    </row>
    <row r="442" spans="3:63" ht="14.25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6"/>
        <v>2</v>
      </c>
      <c r="M442" s="26">
        <f t="shared" si="29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67">
        <f>SUMIFS([1]Up!$J:$J,[1]Up!$D:$D,D442)</f>
        <v>0</v>
      </c>
      <c r="AZ442" s="82"/>
      <c r="BA442" s="82" t="str">
        <f t="shared" si="37"/>
        <v/>
      </c>
      <c r="BB442" s="53" t="str">
        <f t="shared" si="38"/>
        <v/>
      </c>
      <c r="BC442" s="53" t="s">
        <v>148</v>
      </c>
      <c r="BD442" s="53" t="s">
        <v>1079</v>
      </c>
      <c r="BE442" s="53" t="s">
        <v>1076</v>
      </c>
      <c r="BF442" s="53" t="s">
        <v>1290</v>
      </c>
      <c r="BG442" s="53">
        <v>2</v>
      </c>
      <c r="BH442" s="83">
        <v>46362</v>
      </c>
      <c r="BI442" s="53"/>
      <c r="BJ442" s="53"/>
    </row>
    <row r="443" spans="3:63" ht="14.25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6"/>
        <v>1</v>
      </c>
      <c r="M443" s="26">
        <f t="shared" si="29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67">
        <f>SUMIFS([1]Up!$J:$J,[1]Up!$D:$D,D443)</f>
        <v>0</v>
      </c>
      <c r="AZ443" s="82" t="s">
        <v>2071</v>
      </c>
      <c r="BA443" s="82" t="str">
        <f t="shared" si="37"/>
        <v>PL10</v>
      </c>
      <c r="BB443" s="53" t="str">
        <f t="shared" si="38"/>
        <v>Thừa 4</v>
      </c>
      <c r="BC443" s="53" t="s">
        <v>154</v>
      </c>
      <c r="BD443" s="53" t="s">
        <v>1005</v>
      </c>
      <c r="BE443" s="53" t="s">
        <v>1006</v>
      </c>
      <c r="BF443" s="53" t="s">
        <v>57</v>
      </c>
      <c r="BG443" s="53">
        <v>1</v>
      </c>
      <c r="BH443" s="83"/>
      <c r="BI443" s="53"/>
      <c r="BJ443" s="53"/>
    </row>
    <row r="444" spans="3:63" ht="14.25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6"/>
        <v>2</v>
      </c>
      <c r="M444" s="26">
        <f t="shared" si="29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67">
        <f>SUMIFS([1]Up!$J:$J,[1]Up!$D:$D,D444)</f>
        <v>0</v>
      </c>
      <c r="AZ444" s="82"/>
      <c r="BA444" s="82" t="str">
        <f t="shared" si="37"/>
        <v>PL20</v>
      </c>
      <c r="BB444" s="53" t="str">
        <f t="shared" si="38"/>
        <v/>
      </c>
      <c r="BC444" s="53" t="s">
        <v>148</v>
      </c>
      <c r="BD444" s="53" t="s">
        <v>1100</v>
      </c>
      <c r="BE444" s="53" t="s">
        <v>1101</v>
      </c>
      <c r="BF444" s="53" t="s">
        <v>1308</v>
      </c>
      <c r="BG444" s="53">
        <v>2</v>
      </c>
      <c r="BH444" s="83">
        <v>46242</v>
      </c>
      <c r="BI444" s="53"/>
      <c r="BJ444" s="53"/>
    </row>
    <row r="445" spans="3:63" ht="14.25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6"/>
        <v>2</v>
      </c>
      <c r="M445" s="26">
        <f t="shared" si="29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67">
        <f>SUMIFS([1]Up!$J:$J,[1]Up!$D:$D,D445)</f>
        <v>0</v>
      </c>
      <c r="AZ445" s="82"/>
      <c r="BA445" s="82" t="str">
        <f t="shared" si="37"/>
        <v>PL15</v>
      </c>
      <c r="BB445" s="53" t="str">
        <f t="shared" si="38"/>
        <v/>
      </c>
      <c r="BC445" s="53" t="s">
        <v>148</v>
      </c>
      <c r="BD445" s="53" t="s">
        <v>1094</v>
      </c>
      <c r="BE445" s="53" t="s">
        <v>1095</v>
      </c>
      <c r="BF445" s="53" t="s">
        <v>1304</v>
      </c>
      <c r="BG445" s="53">
        <v>2</v>
      </c>
      <c r="BH445" s="83">
        <v>46088</v>
      </c>
      <c r="BI445" s="53"/>
      <c r="BJ445" s="53"/>
    </row>
    <row r="446" spans="3:63" ht="14.25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6"/>
        <v>2</v>
      </c>
      <c r="M446" s="26">
        <f t="shared" si="29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67">
        <f>SUMIFS([1]Up!$J:$J,[1]Up!$D:$D,D446)</f>
        <v>0</v>
      </c>
      <c r="AZ446" s="82"/>
      <c r="BA446" s="82" t="str">
        <f t="shared" si="37"/>
        <v>PL15</v>
      </c>
      <c r="BB446" s="53" t="str">
        <f t="shared" si="38"/>
        <v/>
      </c>
      <c r="BC446" s="53" t="s">
        <v>148</v>
      </c>
      <c r="BD446" s="53" t="s">
        <v>1094</v>
      </c>
      <c r="BE446" s="53" t="s">
        <v>1095</v>
      </c>
      <c r="BF446" s="53" t="s">
        <v>1304</v>
      </c>
      <c r="BG446" s="53">
        <v>2</v>
      </c>
      <c r="BH446" s="83">
        <v>46088</v>
      </c>
      <c r="BI446" s="53"/>
      <c r="BJ446" s="53"/>
    </row>
    <row r="447" spans="3:63" ht="14.25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6"/>
        <v>1</v>
      </c>
      <c r="M447" s="26">
        <f t="shared" si="29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67">
        <f>SUMIFS([1]Up!$J:$J,[1]Up!$D:$D,D447)</f>
        <v>0</v>
      </c>
      <c r="AZ447" s="82" t="s">
        <v>2072</v>
      </c>
      <c r="BA447" s="82" t="str">
        <f t="shared" si="37"/>
        <v>PL10</v>
      </c>
      <c r="BB447" s="53" t="str">
        <f t="shared" si="38"/>
        <v>Thừa 2</v>
      </c>
      <c r="BC447" s="53" t="s">
        <v>148</v>
      </c>
      <c r="BD447" s="53" t="s">
        <v>1005</v>
      </c>
      <c r="BE447" s="53" t="s">
        <v>1006</v>
      </c>
      <c r="BF447" s="53" t="s">
        <v>57</v>
      </c>
      <c r="BG447" s="53">
        <v>1</v>
      </c>
      <c r="BH447" s="83"/>
      <c r="BI447" s="53"/>
      <c r="BJ447" s="53"/>
    </row>
    <row r="448" spans="3:63" ht="14.25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6"/>
        <v>1</v>
      </c>
      <c r="M448" s="26">
        <f t="shared" si="29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67">
        <f>SUMIFS([1]Up!$J:$J,[1]Up!$D:$D,D448)</f>
        <v>0</v>
      </c>
      <c r="AZ448" s="82" t="s">
        <v>2077</v>
      </c>
      <c r="BA448" s="82" t="str">
        <f t="shared" si="37"/>
        <v>PL20</v>
      </c>
      <c r="BB448" s="53" t="str">
        <f t="shared" si="38"/>
        <v>Thừa 7</v>
      </c>
      <c r="BC448" s="53" t="s">
        <v>148</v>
      </c>
      <c r="BD448" s="53" t="s">
        <v>1100</v>
      </c>
      <c r="BE448" s="53" t="s">
        <v>1101</v>
      </c>
      <c r="BF448" s="53" t="s">
        <v>57</v>
      </c>
      <c r="BG448" s="53">
        <v>1</v>
      </c>
      <c r="BH448" s="83"/>
      <c r="BI448" s="53"/>
      <c r="BJ448" s="53"/>
    </row>
    <row r="449" spans="3:62" ht="14.25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6"/>
        <v>1</v>
      </c>
      <c r="M449" s="26">
        <f t="shared" si="29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>
        <v>1</v>
      </c>
      <c r="AY449" s="67">
        <f>SUMIFS([1]Up!$J:$J,[1]Up!$D:$D,D449)</f>
        <v>0</v>
      </c>
      <c r="AZ449" s="82"/>
      <c r="BA449" s="82" t="str">
        <f t="shared" si="37"/>
        <v>PL10</v>
      </c>
      <c r="BB449" s="53" t="str">
        <f t="shared" si="38"/>
        <v/>
      </c>
      <c r="BC449" s="53" t="s">
        <v>154</v>
      </c>
      <c r="BD449" s="53" t="s">
        <v>1005</v>
      </c>
      <c r="BE449" s="53" t="s">
        <v>1006</v>
      </c>
      <c r="BF449" s="53" t="s">
        <v>1064</v>
      </c>
      <c r="BG449" s="53">
        <v>1</v>
      </c>
      <c r="BH449" s="83">
        <v>46088</v>
      </c>
      <c r="BI449" s="53"/>
      <c r="BJ449" s="53"/>
    </row>
    <row r="450" spans="3:62" ht="14.25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6"/>
        <v>2</v>
      </c>
      <c r="M450" s="26">
        <f t="shared" si="29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67">
        <f>SUMIFS([1]Up!$J:$J,[1]Up!$D:$D,D450)</f>
        <v>0</v>
      </c>
      <c r="AZ450" s="82"/>
      <c r="BA450" s="82" t="str">
        <f t="shared" si="37"/>
        <v>PL20</v>
      </c>
      <c r="BB450" s="53" t="str">
        <f t="shared" si="38"/>
        <v/>
      </c>
      <c r="BC450" s="53" t="s">
        <v>148</v>
      </c>
      <c r="BD450" s="53" t="s">
        <v>1100</v>
      </c>
      <c r="BE450" s="53" t="s">
        <v>1101</v>
      </c>
      <c r="BF450" s="53" t="s">
        <v>1308</v>
      </c>
      <c r="BG450" s="53">
        <v>2</v>
      </c>
      <c r="BH450" s="83">
        <v>46242</v>
      </c>
      <c r="BI450" s="53"/>
      <c r="BJ450" s="53"/>
    </row>
    <row r="451" spans="3:62" ht="14.25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6"/>
        <v>1</v>
      </c>
      <c r="M451" s="26">
        <f t="shared" si="29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67">
        <f>SUMIFS([1]Up!$J:$J,[1]Up!$D:$D,D451)</f>
        <v>0</v>
      </c>
      <c r="AZ451" s="82"/>
      <c r="BA451" s="82" t="str">
        <f t="shared" si="37"/>
        <v>PL10</v>
      </c>
      <c r="BB451" s="53" t="str">
        <f t="shared" si="38"/>
        <v/>
      </c>
      <c r="BC451" s="53" t="s">
        <v>148</v>
      </c>
      <c r="BD451" s="53" t="s">
        <v>1005</v>
      </c>
      <c r="BE451" s="53" t="s">
        <v>1006</v>
      </c>
      <c r="BF451" s="53" t="s">
        <v>1064</v>
      </c>
      <c r="BG451" s="53">
        <v>1</v>
      </c>
      <c r="BH451" s="83">
        <v>46088</v>
      </c>
      <c r="BI451" s="53"/>
      <c r="BJ451" s="53"/>
    </row>
    <row r="452" spans="3:62" ht="14.25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6"/>
        <v>1</v>
      </c>
      <c r="M452" s="26">
        <f t="shared" si="29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>
        <v>-1</v>
      </c>
      <c r="AY452" s="67">
        <f>SUMIFS([1]Up!$J:$J,[1]Up!$D:$D,D452)</f>
        <v>0</v>
      </c>
      <c r="AZ452" s="82" t="s">
        <v>2238</v>
      </c>
      <c r="BA452" s="82" t="str">
        <f t="shared" si="37"/>
        <v>PL3</v>
      </c>
      <c r="BB452" s="53" t="str">
        <f t="shared" si="38"/>
        <v/>
      </c>
      <c r="BC452" s="53" t="s">
        <v>148</v>
      </c>
      <c r="BD452" s="53" t="s">
        <v>1632</v>
      </c>
      <c r="BE452" s="53" t="s">
        <v>962</v>
      </c>
      <c r="BF452" s="53" t="s">
        <v>1633</v>
      </c>
      <c r="BG452" s="53">
        <v>1</v>
      </c>
      <c r="BH452" s="83" t="s">
        <v>2223</v>
      </c>
      <c r="BI452" s="53"/>
      <c r="BJ452" s="53"/>
    </row>
    <row r="453" spans="3:62" ht="14.25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6"/>
        <v>2</v>
      </c>
      <c r="M453" s="26">
        <f t="shared" si="29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67">
        <f>SUMIFS([1]Up!$J:$J,[1]Up!$D:$D,D453)</f>
        <v>0</v>
      </c>
      <c r="AZ453" s="82"/>
      <c r="BA453" s="82" t="str">
        <f t="shared" si="37"/>
        <v>PL15</v>
      </c>
      <c r="BB453" s="53" t="str">
        <f t="shared" si="38"/>
        <v/>
      </c>
      <c r="BC453" s="53" t="s">
        <v>148</v>
      </c>
      <c r="BD453" s="53" t="s">
        <v>1094</v>
      </c>
      <c r="BE453" s="53" t="s">
        <v>1095</v>
      </c>
      <c r="BF453" s="53" t="s">
        <v>1304</v>
      </c>
      <c r="BG453" s="53">
        <v>2</v>
      </c>
      <c r="BH453" s="83">
        <v>46088</v>
      </c>
      <c r="BI453" s="53"/>
      <c r="BJ453" s="53"/>
    </row>
    <row r="454" spans="3:62" ht="14.25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6"/>
        <v>1</v>
      </c>
      <c r="M454" s="26">
        <f t="shared" si="29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67">
        <f>SUMIFS([1]Up!$J:$J,[1]Up!$D:$D,D454)</f>
        <v>0</v>
      </c>
      <c r="AZ454" s="82" t="s">
        <v>2074</v>
      </c>
      <c r="BA454" s="82" t="str">
        <f t="shared" si="37"/>
        <v>PL10</v>
      </c>
      <c r="BB454" s="53" t="str">
        <f t="shared" si="38"/>
        <v>Thừa 1</v>
      </c>
      <c r="BC454" s="53" t="s">
        <v>154</v>
      </c>
      <c r="BD454" s="53" t="s">
        <v>1005</v>
      </c>
      <c r="BE454" s="53" t="s">
        <v>1006</v>
      </c>
      <c r="BF454" s="53" t="s">
        <v>57</v>
      </c>
      <c r="BG454" s="53">
        <v>1</v>
      </c>
      <c r="BH454" s="83"/>
      <c r="BI454" s="53"/>
      <c r="BJ454" s="53"/>
    </row>
    <row r="455" spans="3:62" ht="14.25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6"/>
        <v>1</v>
      </c>
      <c r="M455" s="26">
        <f t="shared" si="29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67">
        <f>SUMIFS([1]Up!$J:$J,[1]Up!$D:$D,D455)</f>
        <v>0</v>
      </c>
      <c r="AZ455" s="82" t="s">
        <v>2074</v>
      </c>
      <c r="BA455" s="82" t="str">
        <f t="shared" si="37"/>
        <v>PL10</v>
      </c>
      <c r="BB455" s="53" t="str">
        <f t="shared" si="38"/>
        <v>Thừa 1</v>
      </c>
      <c r="BC455" s="53" t="s">
        <v>148</v>
      </c>
      <c r="BD455" s="53" t="s">
        <v>1005</v>
      </c>
      <c r="BE455" s="53" t="s">
        <v>1006</v>
      </c>
      <c r="BF455" s="53" t="s">
        <v>57</v>
      </c>
      <c r="BG455" s="53">
        <v>1</v>
      </c>
      <c r="BH455" s="83"/>
      <c r="BI455" s="53"/>
      <c r="BJ455" s="53"/>
    </row>
    <row r="456" spans="3:62" ht="14.25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6"/>
        <v>1</v>
      </c>
      <c r="M456" s="26">
        <f t="shared" si="29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67">
        <f>SUMIFS([1]Up!$J:$J,[1]Up!$D:$D,D456)</f>
        <v>0</v>
      </c>
      <c r="AZ456" s="82"/>
      <c r="BA456" s="82" t="str">
        <f t="shared" si="37"/>
        <v>PL10</v>
      </c>
      <c r="BB456" s="53" t="str">
        <f t="shared" si="38"/>
        <v/>
      </c>
      <c r="BC456" s="53" t="s">
        <v>148</v>
      </c>
      <c r="BD456" s="53" t="s">
        <v>1005</v>
      </c>
      <c r="BE456" s="53" t="s">
        <v>1006</v>
      </c>
      <c r="BF456" s="53" t="s">
        <v>1064</v>
      </c>
      <c r="BG456" s="53">
        <v>1</v>
      </c>
      <c r="BH456" s="83">
        <v>46088</v>
      </c>
      <c r="BI456" s="53"/>
      <c r="BJ456" s="53"/>
    </row>
    <row r="457" spans="3:62" ht="14.25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6"/>
        <v>2</v>
      </c>
      <c r="M457" s="26">
        <f t="shared" si="29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67">
        <f>SUMIFS([1]Up!$J:$J,[1]Up!$D:$D,D457)</f>
        <v>0</v>
      </c>
      <c r="AZ457" s="82"/>
      <c r="BA457" s="82" t="str">
        <f t="shared" si="37"/>
        <v>PL16</v>
      </c>
      <c r="BB457" s="53" t="str">
        <f t="shared" si="38"/>
        <v/>
      </c>
      <c r="BC457" s="53" t="s">
        <v>148</v>
      </c>
      <c r="BD457" s="53" t="s">
        <v>988</v>
      </c>
      <c r="BE457" s="53" t="s">
        <v>989</v>
      </c>
      <c r="BF457" s="53" t="s">
        <v>990</v>
      </c>
      <c r="BG457" s="53">
        <v>2</v>
      </c>
      <c r="BH457" s="83" t="s">
        <v>2223</v>
      </c>
      <c r="BI457" s="53"/>
      <c r="BJ457" s="53"/>
    </row>
    <row r="458" spans="3:62" ht="14.25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6"/>
        <v>1</v>
      </c>
      <c r="M458" s="26">
        <f t="shared" ref="M458" si="39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>
        <v>1</v>
      </c>
      <c r="AY458" s="67">
        <f>SUMIFS([1]Up!$J:$J,[1]Up!$D:$D,D458)</f>
        <v>0</v>
      </c>
      <c r="AZ458" s="82"/>
      <c r="BA458" s="82" t="str">
        <f t="shared" si="37"/>
        <v>PL10</v>
      </c>
      <c r="BB458" s="53" t="str">
        <f t="shared" si="38"/>
        <v/>
      </c>
      <c r="BC458" s="53"/>
      <c r="BD458" s="53"/>
      <c r="BE458" s="53"/>
      <c r="BF458" s="53"/>
      <c r="BG458" s="53"/>
      <c r="BH458" s="83"/>
      <c r="BI458" s="53"/>
      <c r="BJ458" s="53"/>
    </row>
    <row r="459" spans="3:62" ht="14.25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6"/>
        <v>1</v>
      </c>
      <c r="M459" s="26">
        <f t="shared" si="29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67">
        <f>SUMIFS([1]Up!$J:$J,[1]Up!$D:$D,D459)</f>
        <v>0</v>
      </c>
      <c r="AZ459" s="82" t="s">
        <v>2074</v>
      </c>
      <c r="BA459" s="82" t="str">
        <f t="shared" si="37"/>
        <v>PL10</v>
      </c>
      <c r="BB459" s="53" t="str">
        <f t="shared" si="38"/>
        <v>Thừa 1</v>
      </c>
      <c r="BC459" s="53" t="s">
        <v>148</v>
      </c>
      <c r="BD459" s="53" t="s">
        <v>1005</v>
      </c>
      <c r="BE459" s="53" t="s">
        <v>1006</v>
      </c>
      <c r="BF459" s="53" t="s">
        <v>57</v>
      </c>
      <c r="BG459" s="53">
        <v>1</v>
      </c>
      <c r="BH459" s="83"/>
      <c r="BI459" s="53"/>
      <c r="BJ459" s="53"/>
    </row>
    <row r="460" spans="3:62" ht="14.25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6"/>
        <v>1</v>
      </c>
      <c r="M460" s="26">
        <f t="shared" si="29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67">
        <f>SUMIFS([1]Up!$J:$J,[1]Up!$D:$D,D460)</f>
        <v>0</v>
      </c>
      <c r="AZ460" s="82"/>
      <c r="BA460" s="82" t="str">
        <f t="shared" si="37"/>
        <v>PL10</v>
      </c>
      <c r="BB460" s="53" t="str">
        <f t="shared" si="38"/>
        <v/>
      </c>
      <c r="BC460" s="53" t="s">
        <v>148</v>
      </c>
      <c r="BD460" s="53" t="s">
        <v>1005</v>
      </c>
      <c r="BE460" s="53" t="s">
        <v>1006</v>
      </c>
      <c r="BF460" s="53" t="s">
        <v>1064</v>
      </c>
      <c r="BG460" s="53">
        <v>1</v>
      </c>
      <c r="BH460" s="83">
        <v>46088</v>
      </c>
      <c r="BI460" s="53"/>
      <c r="BJ460" s="53"/>
    </row>
    <row r="461" spans="3:62" ht="14.25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6"/>
        <v>1</v>
      </c>
      <c r="M461" s="26">
        <f t="shared" si="29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67">
        <f>SUMIFS([1]Up!$J:$J,[1]Up!$D:$D,D461)</f>
        <v>0</v>
      </c>
      <c r="AZ461" s="82"/>
      <c r="BA461" s="82" t="str">
        <f t="shared" si="37"/>
        <v>PL15</v>
      </c>
      <c r="BB461" s="53" t="str">
        <f t="shared" si="38"/>
        <v/>
      </c>
      <c r="BC461" s="53" t="s">
        <v>148</v>
      </c>
      <c r="BD461" s="53" t="s">
        <v>1094</v>
      </c>
      <c r="BE461" s="53" t="s">
        <v>1095</v>
      </c>
      <c r="BF461" s="53" t="s">
        <v>1304</v>
      </c>
      <c r="BG461" s="53">
        <v>1</v>
      </c>
      <c r="BH461" s="83">
        <v>46088</v>
      </c>
      <c r="BI461" s="53"/>
      <c r="BJ461" s="53"/>
    </row>
    <row r="462" spans="3:62" ht="14.25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6"/>
        <v>2</v>
      </c>
      <c r="M462" s="26">
        <f t="shared" si="29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67">
        <f>SUMIFS([1]Up!$J:$J,[1]Up!$D:$D,D462)</f>
        <v>0</v>
      </c>
      <c r="AZ462" s="82"/>
      <c r="BA462" s="82" t="str">
        <f t="shared" si="37"/>
        <v>PL15</v>
      </c>
      <c r="BB462" s="53" t="str">
        <f t="shared" si="38"/>
        <v/>
      </c>
      <c r="BC462" s="53" t="s">
        <v>148</v>
      </c>
      <c r="BD462" s="53" t="s">
        <v>1094</v>
      </c>
      <c r="BE462" s="53" t="s">
        <v>1095</v>
      </c>
      <c r="BF462" s="53" t="s">
        <v>1304</v>
      </c>
      <c r="BG462" s="53">
        <v>2</v>
      </c>
      <c r="BH462" s="83">
        <v>46088</v>
      </c>
      <c r="BI462" s="53"/>
      <c r="BJ462" s="53"/>
    </row>
    <row r="463" spans="3:62" ht="14.25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6"/>
        <v>1</v>
      </c>
      <c r="M463" s="26">
        <f t="shared" si="29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67">
        <f>SUMIFS([1]Up!$J:$J,[1]Up!$D:$D,D463)</f>
        <v>0</v>
      </c>
      <c r="AZ463" s="82" t="s">
        <v>2072</v>
      </c>
      <c r="BA463" s="82" t="str">
        <f t="shared" si="37"/>
        <v>PL10</v>
      </c>
      <c r="BB463" s="53" t="str">
        <f t="shared" si="38"/>
        <v>Thừa 2</v>
      </c>
      <c r="BC463" s="53" t="s">
        <v>148</v>
      </c>
      <c r="BD463" s="53" t="s">
        <v>1005</v>
      </c>
      <c r="BE463" s="53" t="s">
        <v>1006</v>
      </c>
      <c r="BF463" s="53" t="s">
        <v>57</v>
      </c>
      <c r="BG463" s="53">
        <v>1</v>
      </c>
      <c r="BH463" s="83"/>
      <c r="BI463" s="53"/>
      <c r="BJ463" s="53"/>
    </row>
    <row r="464" spans="3:62" ht="14.25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6"/>
        <v>2</v>
      </c>
      <c r="M464" s="26">
        <f t="shared" si="29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67">
        <f>SUMIFS([1]Up!$J:$J,[1]Up!$D:$D,D464)</f>
        <v>0</v>
      </c>
      <c r="AZ464" s="82"/>
      <c r="BA464" s="82" t="str">
        <f t="shared" si="37"/>
        <v>PL10</v>
      </c>
      <c r="BB464" s="53" t="str">
        <f t="shared" si="38"/>
        <v/>
      </c>
      <c r="BC464" s="53" t="s">
        <v>148</v>
      </c>
      <c r="BD464" s="53" t="s">
        <v>1005</v>
      </c>
      <c r="BE464" s="53" t="s">
        <v>1006</v>
      </c>
      <c r="BF464" s="53" t="s">
        <v>1064</v>
      </c>
      <c r="BG464" s="53">
        <v>2</v>
      </c>
      <c r="BH464" s="83">
        <v>46088</v>
      </c>
      <c r="BI464" s="53"/>
      <c r="BJ464" s="53"/>
    </row>
    <row r="465" spans="3:63" ht="14.25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6"/>
        <v>4</v>
      </c>
      <c r="M465" s="26">
        <f t="shared" si="29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67">
        <f>SUMIFS([1]Up!$J:$J,[1]Up!$D:$D,D465)</f>
        <v>0</v>
      </c>
      <c r="AZ465" s="82"/>
      <c r="BA465" s="82" t="str">
        <f t="shared" si="37"/>
        <v>PL16</v>
      </c>
      <c r="BB465" s="53" t="str">
        <f t="shared" si="38"/>
        <v/>
      </c>
      <c r="BC465" s="53" t="s">
        <v>148</v>
      </c>
      <c r="BD465" s="53" t="s">
        <v>988</v>
      </c>
      <c r="BE465" s="53" t="s">
        <v>989</v>
      </c>
      <c r="BF465" s="53" t="s">
        <v>990</v>
      </c>
      <c r="BG465" s="53">
        <v>4</v>
      </c>
      <c r="BH465" s="83" t="s">
        <v>2223</v>
      </c>
      <c r="BI465" s="53"/>
      <c r="BJ465" s="53"/>
    </row>
    <row r="466" spans="3:63" ht="14.25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6"/>
        <v>2</v>
      </c>
      <c r="M466" s="26">
        <f t="shared" si="29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67">
        <f>SUMIFS([1]Up!$J:$J,[1]Up!$D:$D,D466)</f>
        <v>0</v>
      </c>
      <c r="AZ466" s="82"/>
      <c r="BA466" s="82" t="str">
        <f t="shared" si="37"/>
        <v/>
      </c>
      <c r="BB466" s="53" t="str">
        <f t="shared" si="38"/>
        <v/>
      </c>
      <c r="BC466" s="53" t="s">
        <v>148</v>
      </c>
      <c r="BD466" s="53" t="s">
        <v>1079</v>
      </c>
      <c r="BE466" s="53" t="s">
        <v>1076</v>
      </c>
      <c r="BF466" s="84" t="s">
        <v>2162</v>
      </c>
      <c r="BG466" s="53">
        <v>8</v>
      </c>
      <c r="BH466" s="83" t="s">
        <v>2225</v>
      </c>
      <c r="BI466" s="53"/>
      <c r="BJ466" s="53"/>
      <c r="BK466" s="238"/>
    </row>
    <row r="467" spans="3:63" ht="14.25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6"/>
        <v>2</v>
      </c>
      <c r="M467" s="26">
        <f t="shared" si="29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67">
        <f>SUMIFS([1]Up!$J:$J,[1]Up!$D:$D,D467)</f>
        <v>0</v>
      </c>
      <c r="AZ467" s="82" t="s">
        <v>2248</v>
      </c>
      <c r="BA467" s="82" t="str">
        <f t="shared" si="37"/>
        <v>PL10</v>
      </c>
      <c r="BB467" s="53" t="str">
        <f t="shared" si="38"/>
        <v>Thừa 3</v>
      </c>
      <c r="BC467" s="53" t="s">
        <v>154</v>
      </c>
      <c r="BD467" s="53" t="s">
        <v>1005</v>
      </c>
      <c r="BE467" s="53" t="s">
        <v>1006</v>
      </c>
      <c r="BF467" s="53" t="s">
        <v>57</v>
      </c>
      <c r="BG467" s="53">
        <v>4</v>
      </c>
      <c r="BH467" s="83"/>
      <c r="BI467" s="53"/>
      <c r="BJ467" s="53"/>
    </row>
    <row r="468" spans="3:63" ht="14.25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6"/>
        <v>1</v>
      </c>
      <c r="M468" s="26">
        <f t="shared" si="29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67">
        <f>SUMIFS([1]Up!$J:$J,[1]Up!$D:$D,D468)</f>
        <v>0</v>
      </c>
      <c r="AZ468" s="82"/>
      <c r="BA468" s="82" t="str">
        <f t="shared" si="37"/>
        <v>PL10</v>
      </c>
      <c r="BB468" s="53" t="str">
        <f t="shared" si="38"/>
        <v/>
      </c>
      <c r="BC468" s="53" t="s">
        <v>148</v>
      </c>
      <c r="BD468" s="53" t="s">
        <v>1005</v>
      </c>
      <c r="BE468" s="53" t="s">
        <v>1006</v>
      </c>
      <c r="BF468" s="84" t="s">
        <v>2157</v>
      </c>
      <c r="BG468" s="53">
        <v>4</v>
      </c>
      <c r="BH468" s="83">
        <v>46302</v>
      </c>
      <c r="BI468" s="53"/>
      <c r="BJ468" s="53"/>
      <c r="BK468" s="238"/>
    </row>
    <row r="469" spans="3:63" ht="14.25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6"/>
        <v>0</v>
      </c>
      <c r="M469" s="26">
        <f t="shared" si="29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67">
        <f>SUMIFS([1]Up!$J:$J,[1]Up!$D:$D,D469)</f>
        <v>0</v>
      </c>
      <c r="AZ469" s="82"/>
      <c r="BA469" s="82" t="str">
        <f t="shared" si="37"/>
        <v>PL3</v>
      </c>
      <c r="BB469" s="53" t="str">
        <f t="shared" si="38"/>
        <v/>
      </c>
      <c r="BC469" s="53" t="s">
        <v>148</v>
      </c>
      <c r="BD469" s="53" t="s">
        <v>1632</v>
      </c>
      <c r="BE469" s="53" t="s">
        <v>962</v>
      </c>
      <c r="BF469" s="84" t="s">
        <v>2190</v>
      </c>
      <c r="BG469" s="53">
        <v>4</v>
      </c>
      <c r="BH469" s="83" t="s">
        <v>2225</v>
      </c>
      <c r="BI469" s="53"/>
      <c r="BJ469" s="53"/>
      <c r="BK469" s="238"/>
    </row>
    <row r="470" spans="3:63" ht="14.25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6"/>
        <v>2</v>
      </c>
      <c r="M470" s="26">
        <f t="shared" si="29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67">
        <f>SUMIFS([1]Up!$J:$J,[1]Up!$D:$D,D470)</f>
        <v>0</v>
      </c>
      <c r="AZ470" s="82"/>
      <c r="BA470" s="82" t="str">
        <f t="shared" si="37"/>
        <v>PL10</v>
      </c>
      <c r="BB470" s="53" t="str">
        <f t="shared" si="38"/>
        <v/>
      </c>
      <c r="BC470" s="53" t="s">
        <v>148</v>
      </c>
      <c r="BD470" s="53" t="s">
        <v>1005</v>
      </c>
      <c r="BE470" s="53" t="s">
        <v>1006</v>
      </c>
      <c r="BF470" s="84" t="s">
        <v>2157</v>
      </c>
      <c r="BG470" s="53">
        <v>8</v>
      </c>
      <c r="BH470" s="83">
        <v>46302</v>
      </c>
      <c r="BI470" s="53"/>
      <c r="BJ470" s="53"/>
      <c r="BK470" s="238"/>
    </row>
    <row r="471" spans="3:63" ht="14.25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6"/>
        <v>2</v>
      </c>
      <c r="M471" s="26">
        <f t="shared" si="29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67">
        <f>SUMIFS([1]Up!$J:$J,[1]Up!$D:$D,D471)</f>
        <v>2</v>
      </c>
      <c r="AZ471" s="82"/>
      <c r="BA471" s="82" t="str">
        <f t="shared" si="37"/>
        <v>PL16</v>
      </c>
      <c r="BB471" s="53" t="str">
        <f t="shared" si="38"/>
        <v/>
      </c>
      <c r="BC471" s="53" t="s">
        <v>148</v>
      </c>
      <c r="BD471" s="53" t="s">
        <v>988</v>
      </c>
      <c r="BE471" s="53" t="s">
        <v>989</v>
      </c>
      <c r="BF471" s="84" t="s">
        <v>2161</v>
      </c>
      <c r="BG471" s="53">
        <v>8</v>
      </c>
      <c r="BH471" s="83" t="s">
        <v>2226</v>
      </c>
      <c r="BI471" s="53"/>
      <c r="BJ471" s="53"/>
      <c r="BK471" s="238"/>
    </row>
    <row r="472" spans="3:63" ht="14.25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6"/>
        <v>2</v>
      </c>
      <c r="M472" s="26">
        <f t="shared" si="29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67">
        <f>SUMIFS([1]Up!$J:$J,[1]Up!$D:$D,D472)</f>
        <v>0</v>
      </c>
      <c r="AZ472" s="82"/>
      <c r="BA472" s="82" t="str">
        <f t="shared" si="37"/>
        <v>PL15</v>
      </c>
      <c r="BB472" s="53" t="str">
        <f t="shared" si="38"/>
        <v/>
      </c>
      <c r="BC472" s="53" t="s">
        <v>148</v>
      </c>
      <c r="BD472" s="53" t="s">
        <v>1094</v>
      </c>
      <c r="BE472" s="53" t="s">
        <v>1095</v>
      </c>
      <c r="BF472" s="84" t="s">
        <v>2156</v>
      </c>
      <c r="BG472" s="53">
        <v>8</v>
      </c>
      <c r="BH472" s="83" t="s">
        <v>2225</v>
      </c>
      <c r="BI472" s="53"/>
      <c r="BJ472" s="53"/>
      <c r="BK472" s="238"/>
    </row>
    <row r="473" spans="3:63" ht="14.25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6"/>
        <v>2</v>
      </c>
      <c r="M473" s="26">
        <f t="shared" si="29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67">
        <f>SUMIFS([1]Up!$J:$J,[1]Up!$D:$D,D473)</f>
        <v>2</v>
      </c>
      <c r="AZ473" s="82"/>
      <c r="BA473" s="82" t="str">
        <f t="shared" si="37"/>
        <v>PL16</v>
      </c>
      <c r="BB473" s="53" t="str">
        <f t="shared" si="38"/>
        <v/>
      </c>
      <c r="BC473" s="53" t="s">
        <v>148</v>
      </c>
      <c r="BD473" s="53" t="s">
        <v>988</v>
      </c>
      <c r="BE473" s="53" t="s">
        <v>989</v>
      </c>
      <c r="BF473" s="84" t="s">
        <v>2161</v>
      </c>
      <c r="BG473" s="53">
        <v>8</v>
      </c>
      <c r="BH473" s="83" t="s">
        <v>2226</v>
      </c>
      <c r="BI473" s="53"/>
      <c r="BJ473" s="53"/>
      <c r="BK473" s="238"/>
    </row>
    <row r="474" spans="3:63" ht="14.25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6"/>
        <v>1</v>
      </c>
      <c r="M474" s="26">
        <f t="shared" si="29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67">
        <f>SUMIFS([1]Up!$J:$J,[1]Up!$D:$D,D474)</f>
        <v>0</v>
      </c>
      <c r="AZ474" s="82"/>
      <c r="BA474" s="82" t="str">
        <f t="shared" si="37"/>
        <v>PL20</v>
      </c>
      <c r="BB474" s="53" t="str">
        <f t="shared" si="38"/>
        <v/>
      </c>
      <c r="BC474" s="53" t="s">
        <v>148</v>
      </c>
      <c r="BD474" s="53" t="s">
        <v>1100</v>
      </c>
      <c r="BE474" s="53" t="s">
        <v>1101</v>
      </c>
      <c r="BF474" s="84" t="s">
        <v>2158</v>
      </c>
      <c r="BG474" s="53">
        <v>4</v>
      </c>
      <c r="BH474" s="83">
        <v>46242</v>
      </c>
      <c r="BI474" s="53"/>
      <c r="BJ474" s="53"/>
      <c r="BK474" s="238"/>
    </row>
    <row r="475" spans="3:63" ht="14.25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6"/>
        <v>2</v>
      </c>
      <c r="M475" s="26">
        <f t="shared" si="29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67">
        <f>SUMIFS([1]Up!$J:$J,[1]Up!$D:$D,D475)</f>
        <v>1</v>
      </c>
      <c r="AZ475" s="82"/>
      <c r="BA475" s="82" t="str">
        <f t="shared" si="37"/>
        <v>PL15</v>
      </c>
      <c r="BB475" s="53" t="str">
        <f t="shared" si="38"/>
        <v/>
      </c>
      <c r="BC475" s="53" t="s">
        <v>148</v>
      </c>
      <c r="BD475" s="53" t="s">
        <v>1094</v>
      </c>
      <c r="BE475" s="53" t="s">
        <v>1095</v>
      </c>
      <c r="BF475" s="84" t="s">
        <v>2156</v>
      </c>
      <c r="BG475" s="53">
        <v>4</v>
      </c>
      <c r="BH475" s="83" t="s">
        <v>2225</v>
      </c>
      <c r="BI475" s="53"/>
      <c r="BJ475" s="53"/>
      <c r="BK475" s="238"/>
    </row>
    <row r="476" spans="3:63" ht="14.25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6"/>
        <v>2</v>
      </c>
      <c r="M476" s="26">
        <f t="shared" si="29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67">
        <f>SUMIFS([1]Up!$J:$J,[1]Up!$D:$D,D476)</f>
        <v>0</v>
      </c>
      <c r="AZ476" s="82" t="s">
        <v>2074</v>
      </c>
      <c r="BA476" s="82" t="str">
        <f t="shared" si="37"/>
        <v>PL10</v>
      </c>
      <c r="BB476" s="53" t="str">
        <f t="shared" si="38"/>
        <v/>
      </c>
      <c r="BC476" s="53" t="s">
        <v>154</v>
      </c>
      <c r="BD476" s="53" t="s">
        <v>1005</v>
      </c>
      <c r="BE476" s="53" t="s">
        <v>1006</v>
      </c>
      <c r="BF476" s="53" t="s">
        <v>57</v>
      </c>
      <c r="BG476" s="53">
        <v>4</v>
      </c>
      <c r="BH476" s="83"/>
      <c r="BI476" s="53"/>
      <c r="BJ476" s="53"/>
    </row>
    <row r="477" spans="3:63" ht="14.25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6"/>
        <v>2</v>
      </c>
      <c r="M477" s="26">
        <f t="shared" si="29"/>
        <v>2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67">
        <f>SUMIFS([1]Up!$J:$J,[1]Up!$D:$D,D477)</f>
        <v>0</v>
      </c>
      <c r="AZ477" s="82" t="s">
        <v>2255</v>
      </c>
      <c r="BA477" s="82" t="str">
        <f t="shared" si="37"/>
        <v>PL10</v>
      </c>
      <c r="BB477" s="53" t="str">
        <f t="shared" si="38"/>
        <v/>
      </c>
      <c r="BC477" s="53" t="s">
        <v>148</v>
      </c>
      <c r="BD477" s="53" t="s">
        <v>1005</v>
      </c>
      <c r="BE477" s="53" t="s">
        <v>1006</v>
      </c>
      <c r="BF477" s="53" t="s">
        <v>57</v>
      </c>
      <c r="BG477" s="53">
        <v>8</v>
      </c>
      <c r="BH477" s="83"/>
      <c r="BI477" s="53"/>
      <c r="BJ477" s="53"/>
    </row>
    <row r="478" spans="3:63" ht="14.25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0">MIN(SUM(N478:AX478),I478)</f>
        <v>1</v>
      </c>
      <c r="M478" s="26">
        <f t="shared" si="29"/>
        <v>3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67">
        <f>SUMIFS([1]Up!$J:$J,[1]Up!$D:$D,D478)</f>
        <v>0</v>
      </c>
      <c r="AZ478" s="82" t="s">
        <v>2253</v>
      </c>
      <c r="BA478" s="82" t="str">
        <f t="shared" ref="BA478:BA541" si="41">IFERROR(IF(C478="Plate",LEFT(E478,FIND("*",E478,1)-1),""),IF(C478="Plate",LEFT(E478,FIND("x",E478,1)-1),""))</f>
        <v>PL10</v>
      </c>
      <c r="BB478" s="53" t="str">
        <f t="shared" ref="BB478:BB541" si="42">IF(ROUND(SUM(N478:AX478)-I478,0)&gt;0,"Thừa "&amp;SUM(N478:AX478)-I478,"")</f>
        <v/>
      </c>
      <c r="BC478" s="53" t="s">
        <v>148</v>
      </c>
      <c r="BD478" s="53" t="s">
        <v>1005</v>
      </c>
      <c r="BE478" s="53" t="s">
        <v>1006</v>
      </c>
      <c r="BF478" s="53" t="s">
        <v>57</v>
      </c>
      <c r="BG478" s="53">
        <v>8</v>
      </c>
      <c r="BH478" s="83"/>
      <c r="BI478" s="53"/>
      <c r="BJ478" s="53"/>
    </row>
    <row r="479" spans="3:63" ht="14.25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0"/>
        <v>4</v>
      </c>
      <c r="M479" s="26">
        <f t="shared" si="29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67">
        <f>SUMIFS([1]Up!$J:$J,[1]Up!$D:$D,D479)</f>
        <v>2</v>
      </c>
      <c r="AZ479" s="82"/>
      <c r="BA479" s="82" t="str">
        <f t="shared" si="41"/>
        <v>PL15</v>
      </c>
      <c r="BB479" s="53" t="str">
        <f t="shared" si="42"/>
        <v/>
      </c>
      <c r="BC479" s="53" t="s">
        <v>148</v>
      </c>
      <c r="BD479" s="53" t="s">
        <v>1094</v>
      </c>
      <c r="BE479" s="53" t="s">
        <v>1095</v>
      </c>
      <c r="BF479" s="84" t="s">
        <v>2156</v>
      </c>
      <c r="BG479" s="53">
        <v>8</v>
      </c>
      <c r="BH479" s="83" t="s">
        <v>2225</v>
      </c>
      <c r="BI479" s="53"/>
      <c r="BJ479" s="53"/>
      <c r="BK479" s="238"/>
    </row>
    <row r="480" spans="3:63" ht="14.25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0"/>
        <v>0</v>
      </c>
      <c r="M480" s="26">
        <f t="shared" si="29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67">
        <f>SUMIFS([1]Up!$J:$J,[1]Up!$D:$D,D480)</f>
        <v>0</v>
      </c>
      <c r="AZ480" s="82"/>
      <c r="BA480" s="82" t="str">
        <f t="shared" si="41"/>
        <v>PL10</v>
      </c>
      <c r="BB480" s="53" t="str">
        <f t="shared" si="42"/>
        <v/>
      </c>
      <c r="BC480" s="53" t="s">
        <v>148</v>
      </c>
      <c r="BD480" s="53" t="s">
        <v>1005</v>
      </c>
      <c r="BE480" s="53" t="s">
        <v>1006</v>
      </c>
      <c r="BF480" s="53" t="s">
        <v>57</v>
      </c>
      <c r="BG480" s="53">
        <v>4</v>
      </c>
      <c r="BH480" s="83"/>
      <c r="BI480" s="53"/>
      <c r="BJ480" s="53"/>
    </row>
    <row r="481" spans="3:63" ht="14.25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0"/>
        <v>2</v>
      </c>
      <c r="M481" s="26">
        <f t="shared" si="29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67">
        <f>SUMIFS([1]Up!$J:$J,[1]Up!$D:$D,D481)</f>
        <v>0</v>
      </c>
      <c r="AZ481" s="82" t="s">
        <v>2073</v>
      </c>
      <c r="BA481" s="82" t="str">
        <f t="shared" si="41"/>
        <v>PL20</v>
      </c>
      <c r="BB481" s="53" t="str">
        <f t="shared" si="42"/>
        <v>Thừa 2</v>
      </c>
      <c r="BC481" s="53" t="s">
        <v>148</v>
      </c>
      <c r="BD481" s="53" t="s">
        <v>1100</v>
      </c>
      <c r="BE481" s="53" t="s">
        <v>1101</v>
      </c>
      <c r="BF481" s="53" t="s">
        <v>57</v>
      </c>
      <c r="BG481" s="53">
        <v>4</v>
      </c>
      <c r="BH481" s="83"/>
      <c r="BI481" s="53"/>
      <c r="BJ481" s="53"/>
    </row>
    <row r="482" spans="3:63" ht="14.25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0"/>
        <v>0</v>
      </c>
      <c r="M482" s="26">
        <f t="shared" si="29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67">
        <f>SUMIFS([1]Up!$J:$J,[1]Up!$D:$D,D482)</f>
        <v>0</v>
      </c>
      <c r="AZ482" s="82"/>
      <c r="BA482" s="82" t="str">
        <f t="shared" si="41"/>
        <v>PL10</v>
      </c>
      <c r="BB482" s="53" t="str">
        <f t="shared" si="42"/>
        <v/>
      </c>
      <c r="BC482" s="53" t="s">
        <v>154</v>
      </c>
      <c r="BD482" s="53" t="s">
        <v>1005</v>
      </c>
      <c r="BE482" s="53" t="s">
        <v>1006</v>
      </c>
      <c r="BF482" s="84" t="s">
        <v>2157</v>
      </c>
      <c r="BG482" s="53">
        <v>4</v>
      </c>
      <c r="BH482" s="83">
        <v>46302</v>
      </c>
      <c r="BI482" s="53"/>
      <c r="BJ482" s="53"/>
      <c r="BK482" s="238"/>
    </row>
    <row r="483" spans="3:63" ht="14.25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0"/>
        <v>2</v>
      </c>
      <c r="M483" s="26">
        <f t="shared" si="29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67">
        <f>SUMIFS([1]Up!$J:$J,[1]Up!$D:$D,D483)</f>
        <v>0</v>
      </c>
      <c r="AZ483" s="82"/>
      <c r="BA483" s="82" t="str">
        <f t="shared" si="41"/>
        <v>PL20</v>
      </c>
      <c r="BB483" s="53" t="str">
        <f t="shared" si="42"/>
        <v/>
      </c>
      <c r="BC483" s="53" t="s">
        <v>148</v>
      </c>
      <c r="BD483" s="53" t="s">
        <v>1100</v>
      </c>
      <c r="BE483" s="53" t="s">
        <v>1101</v>
      </c>
      <c r="BF483" s="84" t="s">
        <v>2158</v>
      </c>
      <c r="BG483" s="53">
        <v>8</v>
      </c>
      <c r="BH483" s="83">
        <v>46242</v>
      </c>
      <c r="BI483" s="53"/>
      <c r="BJ483" s="53"/>
      <c r="BK483" s="238"/>
    </row>
    <row r="484" spans="3:63" ht="14.25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40"/>
        <v>5</v>
      </c>
      <c r="M484" s="26">
        <f t="shared" si="29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67">
        <f>SUMIFS([1]Up!$J:$J,[1]Up!$D:$D,D484)</f>
        <v>0</v>
      </c>
      <c r="AZ484" s="82"/>
      <c r="BA484" s="82" t="str">
        <f t="shared" si="41"/>
        <v/>
      </c>
      <c r="BB484" s="53" t="str">
        <f t="shared" si="42"/>
        <v/>
      </c>
      <c r="BC484" s="53" t="s">
        <v>148</v>
      </c>
      <c r="BD484" s="53" t="s">
        <v>1079</v>
      </c>
      <c r="BE484" s="53" t="s">
        <v>1076</v>
      </c>
      <c r="BF484" s="53" t="s">
        <v>1290</v>
      </c>
      <c r="BG484" s="53">
        <v>5</v>
      </c>
      <c r="BH484" s="83">
        <v>46362</v>
      </c>
      <c r="BI484" s="53"/>
      <c r="BJ484" s="53"/>
    </row>
    <row r="485" spans="3:63" ht="14.25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0"/>
        <v>1</v>
      </c>
      <c r="M485" s="26">
        <f t="shared" si="29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67">
        <f>SUMIFS([1]Up!$J:$J,[1]Up!$D:$D,D485)</f>
        <v>0</v>
      </c>
      <c r="AZ485" s="82" t="s">
        <v>2074</v>
      </c>
      <c r="BA485" s="82" t="str">
        <f t="shared" si="41"/>
        <v>PL8</v>
      </c>
      <c r="BB485" s="53" t="str">
        <f t="shared" si="42"/>
        <v>Thừa 1</v>
      </c>
      <c r="BC485" s="53" t="s">
        <v>154</v>
      </c>
      <c r="BD485" s="53" t="s">
        <v>1012</v>
      </c>
      <c r="BE485" s="53" t="s">
        <v>1013</v>
      </c>
      <c r="BF485" s="53" t="s">
        <v>57</v>
      </c>
      <c r="BG485" s="53">
        <v>1</v>
      </c>
      <c r="BH485" s="83"/>
      <c r="BI485" s="53"/>
      <c r="BJ485" s="53"/>
    </row>
    <row r="486" spans="3:63" ht="14.25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0"/>
        <v>2</v>
      </c>
      <c r="M486" s="26">
        <f t="shared" si="29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67">
        <f>SUMIFS([1]Up!$J:$J,[1]Up!$D:$D,D486)</f>
        <v>0</v>
      </c>
      <c r="AZ486" s="82"/>
      <c r="BA486" s="82" t="str">
        <f t="shared" si="41"/>
        <v>PL15</v>
      </c>
      <c r="BB486" s="53" t="str">
        <f t="shared" si="42"/>
        <v/>
      </c>
      <c r="BC486" s="53" t="s">
        <v>148</v>
      </c>
      <c r="BD486" s="53" t="s">
        <v>1094</v>
      </c>
      <c r="BE486" s="53" t="s">
        <v>1095</v>
      </c>
      <c r="BF486" s="53" t="s">
        <v>1304</v>
      </c>
      <c r="BG486" s="53">
        <v>2</v>
      </c>
      <c r="BH486" s="83">
        <v>46088</v>
      </c>
      <c r="BI486" s="53"/>
      <c r="BJ486" s="53"/>
    </row>
    <row r="487" spans="3:63" ht="14.25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0"/>
        <v>2</v>
      </c>
      <c r="M487" s="26">
        <f t="shared" si="29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67">
        <f>SUMIFS([1]Up!$J:$J,[1]Up!$D:$D,D487)</f>
        <v>0</v>
      </c>
      <c r="AZ487" s="82"/>
      <c r="BA487" s="82" t="str">
        <f t="shared" si="41"/>
        <v>PL15</v>
      </c>
      <c r="BB487" s="53" t="str">
        <f t="shared" si="42"/>
        <v/>
      </c>
      <c r="BC487" s="53" t="s">
        <v>148</v>
      </c>
      <c r="BD487" s="53" t="s">
        <v>1094</v>
      </c>
      <c r="BE487" s="53" t="s">
        <v>1095</v>
      </c>
      <c r="BF487" s="53" t="s">
        <v>1304</v>
      </c>
      <c r="BG487" s="53">
        <v>2</v>
      </c>
      <c r="BH487" s="83">
        <v>46088</v>
      </c>
      <c r="BI487" s="53"/>
      <c r="BJ487" s="53"/>
    </row>
    <row r="488" spans="3:63" ht="14.25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0"/>
        <v>4</v>
      </c>
      <c r="M488" s="26">
        <f t="shared" si="29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67">
        <f>SUMIFS([1]Up!$J:$J,[1]Up!$D:$D,D488)</f>
        <v>0</v>
      </c>
      <c r="AZ488" s="82"/>
      <c r="BA488" s="82" t="str">
        <f t="shared" si="41"/>
        <v>PL16</v>
      </c>
      <c r="BB488" s="53" t="str">
        <f t="shared" si="42"/>
        <v/>
      </c>
      <c r="BC488" s="53" t="s">
        <v>148</v>
      </c>
      <c r="BD488" s="53" t="s">
        <v>988</v>
      </c>
      <c r="BE488" s="53" t="s">
        <v>989</v>
      </c>
      <c r="BF488" s="53" t="s">
        <v>990</v>
      </c>
      <c r="BG488" s="53">
        <v>4</v>
      </c>
      <c r="BH488" s="83" t="s">
        <v>2223</v>
      </c>
      <c r="BI488" s="53"/>
      <c r="BJ488" s="53"/>
    </row>
    <row r="489" spans="3:63" ht="14.25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0"/>
        <v>2</v>
      </c>
      <c r="M489" s="26">
        <f t="shared" si="29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67">
        <f>SUMIFS([1]Up!$J:$J,[1]Up!$D:$D,D489)</f>
        <v>0</v>
      </c>
      <c r="AZ489" s="82"/>
      <c r="BA489" s="82" t="str">
        <f t="shared" si="41"/>
        <v>PL16</v>
      </c>
      <c r="BB489" s="53" t="str">
        <f t="shared" si="42"/>
        <v/>
      </c>
      <c r="BC489" s="53" t="s">
        <v>148</v>
      </c>
      <c r="BD489" s="53" t="s">
        <v>988</v>
      </c>
      <c r="BE489" s="53" t="s">
        <v>989</v>
      </c>
      <c r="BF489" s="53" t="s">
        <v>990</v>
      </c>
      <c r="BG489" s="53">
        <v>2</v>
      </c>
      <c r="BH489" s="83" t="s">
        <v>2223</v>
      </c>
      <c r="BI489" s="53"/>
      <c r="BJ489" s="53"/>
    </row>
    <row r="490" spans="3:63" ht="14.25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0"/>
        <v>4</v>
      </c>
      <c r="M490" s="26">
        <f t="shared" si="29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67">
        <f>SUMIFS([1]Up!$J:$J,[1]Up!$D:$D,D490)</f>
        <v>0</v>
      </c>
      <c r="AZ490" s="82"/>
      <c r="BA490" s="82" t="str">
        <f t="shared" si="41"/>
        <v>PL16</v>
      </c>
      <c r="BB490" s="53" t="str">
        <f t="shared" si="42"/>
        <v/>
      </c>
      <c r="BC490" s="53" t="s">
        <v>148</v>
      </c>
      <c r="BD490" s="53" t="s">
        <v>988</v>
      </c>
      <c r="BE490" s="53" t="s">
        <v>989</v>
      </c>
      <c r="BF490" s="53" t="s">
        <v>990</v>
      </c>
      <c r="BG490" s="53">
        <v>4</v>
      </c>
      <c r="BH490" s="83" t="s">
        <v>2223</v>
      </c>
      <c r="BI490" s="53"/>
      <c r="BJ490" s="53"/>
    </row>
    <row r="491" spans="3:63" ht="14.25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0"/>
        <v>1</v>
      </c>
      <c r="M491" s="26">
        <f t="shared" si="29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67">
        <f>SUMIFS([1]Up!$J:$J,[1]Up!$D:$D,D491)</f>
        <v>0</v>
      </c>
      <c r="AZ491" s="82"/>
      <c r="BA491" s="82" t="str">
        <f t="shared" si="41"/>
        <v>PL15</v>
      </c>
      <c r="BB491" s="53" t="str">
        <f t="shared" si="42"/>
        <v/>
      </c>
      <c r="BC491" s="53" t="s">
        <v>148</v>
      </c>
      <c r="BD491" s="53" t="s">
        <v>1094</v>
      </c>
      <c r="BE491" s="53" t="s">
        <v>1095</v>
      </c>
      <c r="BF491" s="53" t="s">
        <v>1304</v>
      </c>
      <c r="BG491" s="53">
        <v>1</v>
      </c>
      <c r="BH491" s="83">
        <v>46088</v>
      </c>
      <c r="BI491" s="53"/>
      <c r="BJ491" s="53"/>
    </row>
    <row r="492" spans="3:63" ht="14.25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0"/>
        <v>2</v>
      </c>
      <c r="M492" s="26">
        <f t="shared" si="29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67">
        <f>SUMIFS([1]Up!$J:$J,[1]Up!$D:$D,D492)</f>
        <v>0</v>
      </c>
      <c r="AZ492" s="82"/>
      <c r="BA492" s="82" t="str">
        <f t="shared" si="41"/>
        <v>PL20</v>
      </c>
      <c r="BB492" s="53" t="str">
        <f t="shared" si="42"/>
        <v/>
      </c>
      <c r="BC492" s="53" t="s">
        <v>148</v>
      </c>
      <c r="BD492" s="53" t="s">
        <v>1100</v>
      </c>
      <c r="BE492" s="53" t="s">
        <v>1101</v>
      </c>
      <c r="BF492" s="53" t="s">
        <v>1308</v>
      </c>
      <c r="BG492" s="53">
        <v>2</v>
      </c>
      <c r="BH492" s="83">
        <v>46242</v>
      </c>
      <c r="BI492" s="53"/>
      <c r="BJ492" s="53"/>
    </row>
    <row r="493" spans="3:63" ht="14.25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0"/>
        <v>2</v>
      </c>
      <c r="M493" s="26">
        <f t="shared" si="29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67">
        <f>SUMIFS([1]Up!$J:$J,[1]Up!$D:$D,D493)</f>
        <v>0</v>
      </c>
      <c r="AZ493" s="82"/>
      <c r="BA493" s="82" t="str">
        <f t="shared" si="41"/>
        <v>PL15</v>
      </c>
      <c r="BB493" s="53" t="str">
        <f t="shared" si="42"/>
        <v/>
      </c>
      <c r="BC493" s="53" t="s">
        <v>148</v>
      </c>
      <c r="BD493" s="53" t="s">
        <v>1094</v>
      </c>
      <c r="BE493" s="53" t="s">
        <v>1095</v>
      </c>
      <c r="BF493" s="53" t="s">
        <v>1304</v>
      </c>
      <c r="BG493" s="53">
        <v>2</v>
      </c>
      <c r="BH493" s="83">
        <v>46088</v>
      </c>
      <c r="BI493" s="53"/>
      <c r="BJ493" s="53"/>
    </row>
    <row r="494" spans="3:63" ht="14.25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0"/>
        <v>1</v>
      </c>
      <c r="M494" s="26">
        <f t="shared" si="29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67">
        <f>SUMIFS([1]Up!$J:$J,[1]Up!$D:$D,D494)</f>
        <v>0</v>
      </c>
      <c r="AZ494" s="82" t="s">
        <v>2086</v>
      </c>
      <c r="BA494" s="82" t="str">
        <f t="shared" si="41"/>
        <v>PL10</v>
      </c>
      <c r="BB494" s="53" t="str">
        <f t="shared" si="42"/>
        <v>Thừa 2</v>
      </c>
      <c r="BC494" s="53" t="s">
        <v>154</v>
      </c>
      <c r="BD494" s="53" t="s">
        <v>1005</v>
      </c>
      <c r="BE494" s="53" t="s">
        <v>1006</v>
      </c>
      <c r="BF494" s="53" t="s">
        <v>57</v>
      </c>
      <c r="BG494" s="53">
        <v>1</v>
      </c>
      <c r="BH494" s="83"/>
      <c r="BI494" s="53"/>
      <c r="BJ494" s="53"/>
    </row>
    <row r="495" spans="3:63" ht="14.25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0"/>
        <v>1</v>
      </c>
      <c r="M495" s="26">
        <f t="shared" si="29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67">
        <f>SUMIFS([1]Up!$J:$J,[1]Up!$D:$D,D495)</f>
        <v>0</v>
      </c>
      <c r="AZ495" s="82" t="s">
        <v>2072</v>
      </c>
      <c r="BA495" s="82" t="str">
        <f t="shared" si="41"/>
        <v>PL10</v>
      </c>
      <c r="BB495" s="53" t="str">
        <f t="shared" si="42"/>
        <v>Thừa 2</v>
      </c>
      <c r="BC495" s="53" t="s">
        <v>154</v>
      </c>
      <c r="BD495" s="53" t="s">
        <v>1005</v>
      </c>
      <c r="BE495" s="53" t="s">
        <v>1006</v>
      </c>
      <c r="BF495" s="53" t="s">
        <v>57</v>
      </c>
      <c r="BG495" s="53">
        <v>1</v>
      </c>
      <c r="BH495" s="83"/>
      <c r="BI495" s="53"/>
      <c r="BJ495" s="53"/>
    </row>
    <row r="496" spans="3:63" ht="14.25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0"/>
        <v>2</v>
      </c>
      <c r="M496" s="26">
        <f t="shared" si="29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67">
        <f>SUMIFS([1]Up!$J:$J,[1]Up!$D:$D,D496)</f>
        <v>0</v>
      </c>
      <c r="AZ496" s="82" t="s">
        <v>2082</v>
      </c>
      <c r="BA496" s="82" t="str">
        <f t="shared" si="41"/>
        <v>PL8</v>
      </c>
      <c r="BB496" s="53" t="str">
        <f t="shared" si="42"/>
        <v>Thừa 2</v>
      </c>
      <c r="BC496" s="53" t="s">
        <v>148</v>
      </c>
      <c r="BD496" s="53" t="s">
        <v>1012</v>
      </c>
      <c r="BE496" s="53" t="s">
        <v>1013</v>
      </c>
      <c r="BF496" s="53" t="s">
        <v>57</v>
      </c>
      <c r="BG496" s="53">
        <v>2</v>
      </c>
      <c r="BH496" s="83"/>
      <c r="BI496" s="53"/>
      <c r="BJ496" s="53"/>
    </row>
    <row r="497" spans="3:63" ht="14.25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0"/>
        <v>1</v>
      </c>
      <c r="M497" s="26">
        <f t="shared" si="29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67">
        <f>SUMIFS([1]Up!$J:$J,[1]Up!$D:$D,D497)</f>
        <v>0</v>
      </c>
      <c r="AZ497" s="82" t="s">
        <v>2074</v>
      </c>
      <c r="BA497" s="82" t="str">
        <f t="shared" si="41"/>
        <v>PL8</v>
      </c>
      <c r="BB497" s="53" t="str">
        <f t="shared" si="42"/>
        <v>Thừa 1</v>
      </c>
      <c r="BC497" s="53" t="s">
        <v>148</v>
      </c>
      <c r="BD497" s="53" t="s">
        <v>1012</v>
      </c>
      <c r="BE497" s="53" t="s">
        <v>1013</v>
      </c>
      <c r="BF497" s="53" t="s">
        <v>57</v>
      </c>
      <c r="BG497" s="53">
        <v>1</v>
      </c>
      <c r="BH497" s="83"/>
      <c r="BI497" s="53"/>
      <c r="BJ497" s="53"/>
    </row>
    <row r="498" spans="3:63" ht="14.25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0"/>
        <v>1</v>
      </c>
      <c r="M498" s="26">
        <f t="shared" si="29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67">
        <f>SUMIFS([1]Up!$J:$J,[1]Up!$D:$D,D498)</f>
        <v>0</v>
      </c>
      <c r="AZ498" s="82" t="s">
        <v>2072</v>
      </c>
      <c r="BA498" s="82" t="str">
        <f t="shared" si="41"/>
        <v>PL10</v>
      </c>
      <c r="BB498" s="53" t="str">
        <f t="shared" si="42"/>
        <v>Thừa 2</v>
      </c>
      <c r="BC498" s="53" t="s">
        <v>148</v>
      </c>
      <c r="BD498" s="53" t="s">
        <v>1005</v>
      </c>
      <c r="BE498" s="53" t="s">
        <v>1006</v>
      </c>
      <c r="BF498" s="53" t="s">
        <v>57</v>
      </c>
      <c r="BG498" s="53">
        <v>1</v>
      </c>
      <c r="BH498" s="83"/>
      <c r="BI498" s="53"/>
      <c r="BJ498" s="53"/>
    </row>
    <row r="499" spans="3:63" ht="14.25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0"/>
        <v>1</v>
      </c>
      <c r="M499" s="26">
        <f t="shared" si="29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67">
        <f>SUMIFS([1]Up!$J:$J,[1]Up!$D:$D,D499)</f>
        <v>0</v>
      </c>
      <c r="AZ499" s="82" t="s">
        <v>2072</v>
      </c>
      <c r="BA499" s="82" t="str">
        <f t="shared" si="41"/>
        <v>PL10</v>
      </c>
      <c r="BB499" s="53" t="str">
        <f t="shared" si="42"/>
        <v>Thừa 2</v>
      </c>
      <c r="BC499" s="53" t="s">
        <v>148</v>
      </c>
      <c r="BD499" s="53" t="s">
        <v>1005</v>
      </c>
      <c r="BE499" s="53" t="s">
        <v>1006</v>
      </c>
      <c r="BF499" s="53" t="s">
        <v>57</v>
      </c>
      <c r="BG499" s="53">
        <v>1</v>
      </c>
      <c r="BH499" s="83"/>
      <c r="BI499" s="53"/>
      <c r="BJ499" s="53"/>
    </row>
    <row r="500" spans="3:63" ht="14.25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0"/>
        <v>1</v>
      </c>
      <c r="M500" s="26">
        <f t="shared" si="29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67">
        <f>SUMIFS([1]Up!$J:$J,[1]Up!$D:$D,D500)</f>
        <v>0</v>
      </c>
      <c r="AZ500" s="82" t="s">
        <v>2074</v>
      </c>
      <c r="BA500" s="82" t="str">
        <f t="shared" si="41"/>
        <v>PL10</v>
      </c>
      <c r="BB500" s="53" t="str">
        <f t="shared" si="42"/>
        <v>Thừa 1</v>
      </c>
      <c r="BC500" s="53" t="s">
        <v>148</v>
      </c>
      <c r="BD500" s="53" t="s">
        <v>1005</v>
      </c>
      <c r="BE500" s="53" t="s">
        <v>1006</v>
      </c>
      <c r="BF500" s="53" t="s">
        <v>57</v>
      </c>
      <c r="BG500" s="53">
        <v>1</v>
      </c>
      <c r="BH500" s="83"/>
      <c r="BI500" s="53"/>
      <c r="BJ500" s="53"/>
    </row>
    <row r="501" spans="3:63" ht="14.25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0"/>
        <v>1</v>
      </c>
      <c r="M501" s="26">
        <f t="shared" si="29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67">
        <f>SUMIFS([1]Up!$J:$J,[1]Up!$D:$D,D501)</f>
        <v>0</v>
      </c>
      <c r="AZ501" s="82"/>
      <c r="BA501" s="82" t="str">
        <f t="shared" si="41"/>
        <v>PL10</v>
      </c>
      <c r="BB501" s="53" t="str">
        <f t="shared" si="42"/>
        <v/>
      </c>
      <c r="BC501" s="53" t="s">
        <v>148</v>
      </c>
      <c r="BD501" s="53" t="s">
        <v>1005</v>
      </c>
      <c r="BE501" s="53" t="s">
        <v>1006</v>
      </c>
      <c r="BF501" s="53" t="s">
        <v>1064</v>
      </c>
      <c r="BG501" s="53">
        <v>1</v>
      </c>
      <c r="BH501" s="83">
        <v>46088</v>
      </c>
      <c r="BI501" s="53"/>
      <c r="BJ501" s="53"/>
    </row>
    <row r="502" spans="3:63" ht="14.25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40"/>
        <v>5</v>
      </c>
      <c r="M502" s="26">
        <f t="shared" si="29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67">
        <f>SUMIFS([1]Up!$J:$J,[1]Up!$D:$D,D502)</f>
        <v>0</v>
      </c>
      <c r="AZ502" s="82"/>
      <c r="BA502" s="82" t="str">
        <f t="shared" si="41"/>
        <v/>
      </c>
      <c r="BB502" s="53" t="str">
        <f t="shared" si="42"/>
        <v/>
      </c>
      <c r="BC502" s="53" t="s">
        <v>148</v>
      </c>
      <c r="BD502" s="53" t="s">
        <v>1079</v>
      </c>
      <c r="BE502" s="53" t="s">
        <v>1076</v>
      </c>
      <c r="BF502" s="84" t="s">
        <v>2162</v>
      </c>
      <c r="BG502" s="53">
        <v>20</v>
      </c>
      <c r="BH502" s="83" t="s">
        <v>2225</v>
      </c>
      <c r="BI502" s="53"/>
      <c r="BJ502" s="53"/>
      <c r="BK502" s="238"/>
    </row>
    <row r="503" spans="3:63" ht="14.25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0"/>
        <v>0</v>
      </c>
      <c r="M503" s="26">
        <f t="shared" si="29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67">
        <f>SUMIFS([1]Up!$J:$J,[1]Up!$D:$D,D503)</f>
        <v>0</v>
      </c>
      <c r="AZ503" s="82"/>
      <c r="BA503" s="82" t="str">
        <f t="shared" si="41"/>
        <v>PL8</v>
      </c>
      <c r="BB503" s="53" t="str">
        <f t="shared" si="42"/>
        <v/>
      </c>
      <c r="BC503" s="53" t="s">
        <v>154</v>
      </c>
      <c r="BD503" s="53" t="s">
        <v>1012</v>
      </c>
      <c r="BE503" s="53" t="s">
        <v>1013</v>
      </c>
      <c r="BF503" s="53" t="s">
        <v>57</v>
      </c>
      <c r="BG503" s="53">
        <v>4</v>
      </c>
      <c r="BH503" s="83"/>
      <c r="BI503" s="53"/>
      <c r="BJ503" s="53"/>
    </row>
    <row r="504" spans="3:63" ht="14.25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0"/>
        <v>6</v>
      </c>
      <c r="M504" s="26">
        <f t="shared" si="29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67">
        <f>SUMIFS([1]Up!$J:$J,[1]Up!$D:$D,D504)</f>
        <v>6</v>
      </c>
      <c r="AZ504" s="82"/>
      <c r="BA504" s="82" t="str">
        <f t="shared" si="41"/>
        <v>PL16</v>
      </c>
      <c r="BB504" s="53" t="str">
        <f t="shared" si="42"/>
        <v/>
      </c>
      <c r="BC504" s="53" t="s">
        <v>148</v>
      </c>
      <c r="BD504" s="53" t="s">
        <v>988</v>
      </c>
      <c r="BE504" s="53" t="s">
        <v>989</v>
      </c>
      <c r="BF504" s="84" t="s">
        <v>2161</v>
      </c>
      <c r="BG504" s="53">
        <v>24</v>
      </c>
      <c r="BH504" s="83" t="s">
        <v>2226</v>
      </c>
      <c r="BI504" s="53"/>
      <c r="BJ504" s="53"/>
      <c r="BK504" s="238"/>
    </row>
    <row r="505" spans="3:63" ht="14.25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0"/>
        <v>2</v>
      </c>
      <c r="M505" s="26">
        <f t="shared" si="29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67">
        <f>SUMIFS([1]Up!$J:$J,[1]Up!$D:$D,D505)</f>
        <v>2</v>
      </c>
      <c r="AZ505" s="82"/>
      <c r="BA505" s="82" t="str">
        <f t="shared" si="41"/>
        <v>PL15</v>
      </c>
      <c r="BB505" s="53" t="str">
        <f t="shared" si="42"/>
        <v/>
      </c>
      <c r="BC505" s="53" t="s">
        <v>148</v>
      </c>
      <c r="BD505" s="53" t="s">
        <v>1094</v>
      </c>
      <c r="BE505" s="53" t="s">
        <v>1095</v>
      </c>
      <c r="BF505" s="84" t="s">
        <v>2156</v>
      </c>
      <c r="BG505" s="53">
        <v>8</v>
      </c>
      <c r="BH505" s="83" t="s">
        <v>2225</v>
      </c>
      <c r="BI505" s="53"/>
      <c r="BJ505" s="53"/>
      <c r="BK505" s="238"/>
    </row>
    <row r="506" spans="3:63" ht="14.25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0"/>
        <v>2</v>
      </c>
      <c r="M506" s="26">
        <f t="shared" si="29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67">
        <f>SUMIFS([1]Up!$J:$J,[1]Up!$D:$D,D506)</f>
        <v>0</v>
      </c>
      <c r="AZ506" s="82"/>
      <c r="BA506" s="82" t="str">
        <f t="shared" si="41"/>
        <v>PL20</v>
      </c>
      <c r="BB506" s="53" t="str">
        <f t="shared" si="42"/>
        <v/>
      </c>
      <c r="BC506" s="53" t="s">
        <v>148</v>
      </c>
      <c r="BD506" s="53" t="s">
        <v>1100</v>
      </c>
      <c r="BE506" s="53" t="s">
        <v>1101</v>
      </c>
      <c r="BF506" s="84" t="s">
        <v>2158</v>
      </c>
      <c r="BG506" s="53">
        <v>8</v>
      </c>
      <c r="BH506" s="83">
        <v>46242</v>
      </c>
      <c r="BI506" s="53"/>
      <c r="BJ506" s="53"/>
      <c r="BK506" s="238"/>
    </row>
    <row r="507" spans="3:63" ht="14.25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0"/>
        <v>5</v>
      </c>
      <c r="M507" s="26">
        <f t="shared" si="29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67">
        <f>SUMIFS([1]Up!$J:$J,[1]Up!$D:$D,D507)</f>
        <v>5</v>
      </c>
      <c r="AZ507" s="82"/>
      <c r="BA507" s="82" t="str">
        <f t="shared" si="41"/>
        <v>PL16</v>
      </c>
      <c r="BB507" s="53" t="str">
        <f t="shared" si="42"/>
        <v/>
      </c>
      <c r="BC507" s="53" t="s">
        <v>148</v>
      </c>
      <c r="BD507" s="53" t="s">
        <v>988</v>
      </c>
      <c r="BE507" s="53" t="s">
        <v>989</v>
      </c>
      <c r="BF507" s="84" t="s">
        <v>2161</v>
      </c>
      <c r="BG507" s="53">
        <v>20</v>
      </c>
      <c r="BH507" s="83" t="s">
        <v>2226</v>
      </c>
      <c r="BI507" s="53"/>
      <c r="BJ507" s="53"/>
      <c r="BK507" s="238"/>
    </row>
    <row r="508" spans="3:63" ht="14.25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0"/>
        <v>1</v>
      </c>
      <c r="M508" s="26">
        <f t="shared" si="29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67">
        <f>SUMIFS([1]Up!$J:$J,[1]Up!$D:$D,D508)</f>
        <v>0</v>
      </c>
      <c r="AZ508" s="82" t="s">
        <v>2253</v>
      </c>
      <c r="BA508" s="82" t="str">
        <f t="shared" si="41"/>
        <v>PL10</v>
      </c>
      <c r="BB508" s="53" t="str">
        <f t="shared" si="42"/>
        <v/>
      </c>
      <c r="BC508" s="53" t="s">
        <v>154</v>
      </c>
      <c r="BD508" s="53" t="s">
        <v>1005</v>
      </c>
      <c r="BE508" s="53" t="s">
        <v>1006</v>
      </c>
      <c r="BF508" s="53" t="s">
        <v>57</v>
      </c>
      <c r="BG508" s="53">
        <v>4</v>
      </c>
      <c r="BH508" s="83"/>
      <c r="BI508" s="53"/>
      <c r="BJ508" s="53"/>
    </row>
    <row r="509" spans="3:63" ht="14.25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0"/>
        <v>2</v>
      </c>
      <c r="M509" s="26">
        <f t="shared" si="29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67">
        <f>SUMIFS([1]Up!$J:$J,[1]Up!$D:$D,D509)</f>
        <v>0</v>
      </c>
      <c r="AZ509" s="82" t="s">
        <v>2072</v>
      </c>
      <c r="BA509" s="82" t="str">
        <f t="shared" si="41"/>
        <v>PL10</v>
      </c>
      <c r="BB509" s="53" t="str">
        <f t="shared" si="42"/>
        <v>Thừa 1</v>
      </c>
      <c r="BC509" s="53" t="s">
        <v>154</v>
      </c>
      <c r="BD509" s="53" t="s">
        <v>1005</v>
      </c>
      <c r="BE509" s="53" t="s">
        <v>1006</v>
      </c>
      <c r="BF509" s="53" t="s">
        <v>57</v>
      </c>
      <c r="BG509" s="53">
        <v>4</v>
      </c>
      <c r="BH509" s="83"/>
      <c r="BI509" s="53"/>
      <c r="BJ509" s="53"/>
    </row>
    <row r="510" spans="3:63" ht="14.25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0"/>
        <v>2</v>
      </c>
      <c r="M510" s="26">
        <f t="shared" si="29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67">
        <f>SUMIFS([1]Up!$J:$J,[1]Up!$D:$D,D510)</f>
        <v>0</v>
      </c>
      <c r="AZ510" s="82"/>
      <c r="BA510" s="82" t="str">
        <f t="shared" si="41"/>
        <v>PL15</v>
      </c>
      <c r="BB510" s="53" t="str">
        <f t="shared" si="42"/>
        <v/>
      </c>
      <c r="BC510" s="53" t="s">
        <v>148</v>
      </c>
      <c r="BD510" s="53" t="s">
        <v>1094</v>
      </c>
      <c r="BE510" s="53" t="s">
        <v>1095</v>
      </c>
      <c r="BF510" s="84" t="s">
        <v>2156</v>
      </c>
      <c r="BG510" s="53">
        <v>8</v>
      </c>
      <c r="BH510" s="83" t="s">
        <v>2225</v>
      </c>
      <c r="BI510" s="53"/>
      <c r="BJ510" s="53"/>
      <c r="BK510" s="238"/>
    </row>
    <row r="511" spans="3:63" ht="14.25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0"/>
        <v>0</v>
      </c>
      <c r="M511" s="26">
        <f t="shared" si="29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67">
        <f>SUMIFS([1]Up!$J:$J,[1]Up!$D:$D,D511)</f>
        <v>0</v>
      </c>
      <c r="AZ511" s="82"/>
      <c r="BA511" s="82" t="str">
        <f t="shared" si="41"/>
        <v>PL8</v>
      </c>
      <c r="BB511" s="53" t="str">
        <f t="shared" si="42"/>
        <v/>
      </c>
      <c r="BC511" s="53" t="s">
        <v>148</v>
      </c>
      <c r="BD511" s="53" t="s">
        <v>1012</v>
      </c>
      <c r="BE511" s="53" t="s">
        <v>1013</v>
      </c>
      <c r="BF511" s="53" t="s">
        <v>57</v>
      </c>
      <c r="BG511" s="53">
        <v>8</v>
      </c>
      <c r="BH511" s="83"/>
      <c r="BI511" s="53"/>
      <c r="BJ511" s="53"/>
    </row>
    <row r="512" spans="3:63" ht="14.25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0"/>
        <v>0</v>
      </c>
      <c r="M512" s="26">
        <f t="shared" si="29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67">
        <f>SUMIFS([1]Up!$J:$J,[1]Up!$D:$D,D512)</f>
        <v>0</v>
      </c>
      <c r="AZ512" s="82"/>
      <c r="BA512" s="82" t="str">
        <f t="shared" si="41"/>
        <v>PL8</v>
      </c>
      <c r="BB512" s="53" t="str">
        <f t="shared" si="42"/>
        <v/>
      </c>
      <c r="BC512" s="53" t="s">
        <v>148</v>
      </c>
      <c r="BD512" s="53" t="s">
        <v>1012</v>
      </c>
      <c r="BE512" s="53" t="s">
        <v>1013</v>
      </c>
      <c r="BF512" s="53" t="s">
        <v>57</v>
      </c>
      <c r="BG512" s="53">
        <v>4</v>
      </c>
      <c r="BH512" s="83"/>
      <c r="BI512" s="53"/>
      <c r="BJ512" s="53"/>
    </row>
    <row r="513" spans="3:63" ht="14.25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0"/>
        <v>1</v>
      </c>
      <c r="M513" s="26">
        <f t="shared" si="29"/>
        <v>1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67">
        <f>SUMIFS([1]Up!$J:$J,[1]Up!$D:$D,D513)</f>
        <v>0</v>
      </c>
      <c r="AZ513" s="82" t="s">
        <v>2253</v>
      </c>
      <c r="BA513" s="82" t="str">
        <f t="shared" si="41"/>
        <v>PL10</v>
      </c>
      <c r="BB513" s="53" t="str">
        <f t="shared" si="42"/>
        <v/>
      </c>
      <c r="BC513" s="53" t="s">
        <v>148</v>
      </c>
      <c r="BD513" s="53" t="s">
        <v>1005</v>
      </c>
      <c r="BE513" s="53" t="s">
        <v>1006</v>
      </c>
      <c r="BF513" s="53" t="s">
        <v>57</v>
      </c>
      <c r="BG513" s="53">
        <v>4</v>
      </c>
      <c r="BH513" s="83"/>
      <c r="BI513" s="53"/>
      <c r="BJ513" s="53"/>
    </row>
    <row r="514" spans="3:63" ht="14.25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0"/>
        <v>3</v>
      </c>
      <c r="M514" s="26">
        <f t="shared" si="29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67">
        <f>SUMIFS([1]Up!$J:$J,[1]Up!$D:$D,D514)</f>
        <v>0</v>
      </c>
      <c r="AZ514" s="82" t="s">
        <v>2256</v>
      </c>
      <c r="BA514" s="82" t="str">
        <f t="shared" si="41"/>
        <v>PL10</v>
      </c>
      <c r="BB514" s="53" t="str">
        <f t="shared" si="42"/>
        <v/>
      </c>
      <c r="BC514" s="53" t="s">
        <v>148</v>
      </c>
      <c r="BD514" s="53" t="s">
        <v>1005</v>
      </c>
      <c r="BE514" s="53" t="s">
        <v>1006</v>
      </c>
      <c r="BF514" s="53" t="s">
        <v>57</v>
      </c>
      <c r="BG514" s="53">
        <v>8</v>
      </c>
      <c r="BH514" s="83"/>
      <c r="BI514" s="53"/>
      <c r="BJ514" s="53"/>
    </row>
    <row r="515" spans="3:63" ht="14.25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0"/>
        <v>4</v>
      </c>
      <c r="M515" s="26">
        <f t="shared" si="29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67">
        <f>SUMIFS([1]Up!$J:$J,[1]Up!$D:$D,D515)</f>
        <v>4</v>
      </c>
      <c r="AZ515" s="82"/>
      <c r="BA515" s="82" t="str">
        <f t="shared" si="41"/>
        <v>PL16</v>
      </c>
      <c r="BB515" s="53" t="str">
        <f t="shared" si="42"/>
        <v/>
      </c>
      <c r="BC515" s="53" t="s">
        <v>148</v>
      </c>
      <c r="BD515" s="53" t="s">
        <v>988</v>
      </c>
      <c r="BE515" s="53" t="s">
        <v>989</v>
      </c>
      <c r="BF515" s="84" t="s">
        <v>2161</v>
      </c>
      <c r="BG515" s="53">
        <v>16</v>
      </c>
      <c r="BH515" s="83" t="s">
        <v>2226</v>
      </c>
      <c r="BI515" s="53"/>
      <c r="BJ515" s="53"/>
      <c r="BK515" s="238"/>
    </row>
    <row r="516" spans="3:63" ht="14.25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40"/>
        <v>5</v>
      </c>
      <c r="M516" s="26">
        <f t="shared" si="29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67">
        <f>SUMIFS([1]Up!$J:$J,[1]Up!$D:$D,D516)</f>
        <v>0</v>
      </c>
      <c r="AZ516" s="82"/>
      <c r="BA516" s="82" t="str">
        <f t="shared" si="41"/>
        <v/>
      </c>
      <c r="BB516" s="53" t="str">
        <f t="shared" si="42"/>
        <v/>
      </c>
      <c r="BC516" s="53" t="s">
        <v>148</v>
      </c>
      <c r="BD516" s="53" t="s">
        <v>1079</v>
      </c>
      <c r="BE516" s="53" t="s">
        <v>1076</v>
      </c>
      <c r="BF516" s="53" t="s">
        <v>1290</v>
      </c>
      <c r="BG516" s="53">
        <v>5</v>
      </c>
      <c r="BH516" s="83">
        <v>46362</v>
      </c>
      <c r="BI516" s="53"/>
      <c r="BJ516" s="53"/>
    </row>
    <row r="517" spans="3:63" ht="14.25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0"/>
        <v>1</v>
      </c>
      <c r="M517" s="26">
        <f t="shared" si="29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67">
        <f>SUMIFS([1]Up!$J:$J,[1]Up!$D:$D,D517)</f>
        <v>0</v>
      </c>
      <c r="AZ517" s="82" t="s">
        <v>2075</v>
      </c>
      <c r="BA517" s="82" t="str">
        <f t="shared" si="41"/>
        <v>PL8</v>
      </c>
      <c r="BB517" s="53" t="str">
        <f t="shared" si="42"/>
        <v>Thừa 6</v>
      </c>
      <c r="BC517" s="53" t="s">
        <v>154</v>
      </c>
      <c r="BD517" s="53" t="s">
        <v>1012</v>
      </c>
      <c r="BE517" s="53" t="s">
        <v>1013</v>
      </c>
      <c r="BF517" s="53" t="s">
        <v>57</v>
      </c>
      <c r="BG517" s="53">
        <v>1</v>
      </c>
      <c r="BH517" s="83"/>
      <c r="BI517" s="53"/>
      <c r="BJ517" s="53"/>
    </row>
    <row r="518" spans="3:63" ht="14.25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0"/>
        <v>2</v>
      </c>
      <c r="M518" s="26">
        <f t="shared" si="29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67">
        <f>SUMIFS([1]Up!$J:$J,[1]Up!$D:$D,D518)</f>
        <v>0</v>
      </c>
      <c r="AZ518" s="82"/>
      <c r="BA518" s="82" t="str">
        <f t="shared" si="41"/>
        <v>PL15</v>
      </c>
      <c r="BB518" s="53" t="str">
        <f t="shared" si="42"/>
        <v/>
      </c>
      <c r="BC518" s="53" t="s">
        <v>148</v>
      </c>
      <c r="BD518" s="53" t="s">
        <v>1094</v>
      </c>
      <c r="BE518" s="53" t="s">
        <v>1095</v>
      </c>
      <c r="BF518" s="53" t="s">
        <v>1304</v>
      </c>
      <c r="BG518" s="53">
        <v>2</v>
      </c>
      <c r="BH518" s="83">
        <v>46088</v>
      </c>
      <c r="BI518" s="53"/>
      <c r="BJ518" s="53"/>
    </row>
    <row r="519" spans="3:63" ht="14.25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0"/>
        <v>10</v>
      </c>
      <c r="M519" s="26">
        <f t="shared" si="29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67">
        <f>SUMIFS([1]Up!$J:$J,[1]Up!$D:$D,D519)</f>
        <v>0</v>
      </c>
      <c r="AZ519" s="82"/>
      <c r="BA519" s="82" t="str">
        <f t="shared" si="41"/>
        <v>PL16</v>
      </c>
      <c r="BB519" s="53" t="str">
        <f t="shared" si="42"/>
        <v/>
      </c>
      <c r="BC519" s="53" t="s">
        <v>148</v>
      </c>
      <c r="BD519" s="53" t="s">
        <v>988</v>
      </c>
      <c r="BE519" s="53" t="s">
        <v>989</v>
      </c>
      <c r="BF519" s="53" t="s">
        <v>990</v>
      </c>
      <c r="BG519" s="53">
        <v>10</v>
      </c>
      <c r="BH519" s="83" t="s">
        <v>2223</v>
      </c>
      <c r="BI519" s="53"/>
      <c r="BJ519" s="53"/>
    </row>
    <row r="520" spans="3:63" ht="14.25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0"/>
        <v>1</v>
      </c>
      <c r="M520" s="26">
        <f t="shared" si="29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67">
        <f>SUMIFS([1]Up!$J:$J,[1]Up!$D:$D,D520)</f>
        <v>0</v>
      </c>
      <c r="AZ520" s="82"/>
      <c r="BA520" s="82" t="str">
        <f t="shared" si="41"/>
        <v>PL15</v>
      </c>
      <c r="BB520" s="53" t="str">
        <f t="shared" si="42"/>
        <v/>
      </c>
      <c r="BC520" s="53" t="s">
        <v>148</v>
      </c>
      <c r="BD520" s="53" t="s">
        <v>1094</v>
      </c>
      <c r="BE520" s="53" t="s">
        <v>1095</v>
      </c>
      <c r="BF520" s="53" t="s">
        <v>1304</v>
      </c>
      <c r="BG520" s="53">
        <v>1</v>
      </c>
      <c r="BH520" s="83">
        <v>46088</v>
      </c>
      <c r="BI520" s="53"/>
      <c r="BJ520" s="53"/>
    </row>
    <row r="521" spans="3:63" ht="14.25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0"/>
        <v>1</v>
      </c>
      <c r="M521" s="26">
        <f t="shared" si="29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67">
        <f>SUMIFS([1]Up!$J:$J,[1]Up!$D:$D,D521)</f>
        <v>0</v>
      </c>
      <c r="AZ521" s="82"/>
      <c r="BA521" s="82" t="str">
        <f t="shared" si="41"/>
        <v>PL15</v>
      </c>
      <c r="BB521" s="53" t="str">
        <f t="shared" si="42"/>
        <v/>
      </c>
      <c r="BC521" s="53" t="s">
        <v>148</v>
      </c>
      <c r="BD521" s="53" t="s">
        <v>1094</v>
      </c>
      <c r="BE521" s="53" t="s">
        <v>1095</v>
      </c>
      <c r="BF521" s="53" t="s">
        <v>1304</v>
      </c>
      <c r="BG521" s="53">
        <v>1</v>
      </c>
      <c r="BH521" s="83">
        <v>46088</v>
      </c>
      <c r="BI521" s="53"/>
      <c r="BJ521" s="53"/>
    </row>
    <row r="522" spans="3:63" ht="14.25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0"/>
        <v>2</v>
      </c>
      <c r="M522" s="26">
        <f t="shared" si="29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67">
        <f>SUMIFS([1]Up!$J:$J,[1]Up!$D:$D,D522)</f>
        <v>0</v>
      </c>
      <c r="AZ522" s="82" t="s">
        <v>2082</v>
      </c>
      <c r="BA522" s="82" t="str">
        <f t="shared" si="41"/>
        <v>PL8</v>
      </c>
      <c r="BB522" s="53" t="str">
        <f t="shared" si="42"/>
        <v>Thừa 2</v>
      </c>
      <c r="BC522" s="53" t="s">
        <v>148</v>
      </c>
      <c r="BD522" s="53" t="s">
        <v>1012</v>
      </c>
      <c r="BE522" s="53" t="s">
        <v>1013</v>
      </c>
      <c r="BF522" s="53" t="s">
        <v>57</v>
      </c>
      <c r="BG522" s="53">
        <v>2</v>
      </c>
      <c r="BH522" s="83"/>
      <c r="BI522" s="53"/>
      <c r="BJ522" s="53"/>
    </row>
    <row r="523" spans="3:63" ht="14.25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0"/>
        <v>2</v>
      </c>
      <c r="M523" s="26">
        <f t="shared" si="29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67">
        <f>SUMIFS([1]Up!$J:$J,[1]Up!$D:$D,D523)</f>
        <v>0</v>
      </c>
      <c r="AZ523" s="82"/>
      <c r="BA523" s="82" t="str">
        <f t="shared" si="41"/>
        <v>PL8</v>
      </c>
      <c r="BB523" s="53" t="str">
        <f t="shared" si="42"/>
        <v/>
      </c>
      <c r="BC523" s="53" t="s">
        <v>148</v>
      </c>
      <c r="BD523" s="53" t="s">
        <v>1012</v>
      </c>
      <c r="BE523" s="53" t="s">
        <v>1013</v>
      </c>
      <c r="BF523" s="53" t="s">
        <v>1014</v>
      </c>
      <c r="BG523" s="53">
        <v>2</v>
      </c>
      <c r="BH523" s="83">
        <v>46088</v>
      </c>
      <c r="BI523" s="53"/>
      <c r="BJ523" s="53"/>
    </row>
    <row r="524" spans="3:63" ht="14.25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0"/>
        <v>2</v>
      </c>
      <c r="M524" s="26">
        <f t="shared" si="29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67">
        <f>SUMIFS([1]Up!$J:$J,[1]Up!$D:$D,D524)</f>
        <v>0</v>
      </c>
      <c r="AZ524" s="82"/>
      <c r="BA524" s="82" t="str">
        <f t="shared" si="41"/>
        <v>PL20</v>
      </c>
      <c r="BB524" s="53" t="str">
        <f t="shared" si="42"/>
        <v/>
      </c>
      <c r="BC524" s="53" t="s">
        <v>148</v>
      </c>
      <c r="BD524" s="53" t="s">
        <v>1100</v>
      </c>
      <c r="BE524" s="53" t="s">
        <v>1101</v>
      </c>
      <c r="BF524" s="53" t="s">
        <v>1308</v>
      </c>
      <c r="BG524" s="53">
        <v>2</v>
      </c>
      <c r="BH524" s="83">
        <v>46242</v>
      </c>
      <c r="BI524" s="53"/>
      <c r="BJ524" s="53"/>
    </row>
    <row r="525" spans="3:63" ht="14.25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0"/>
        <v>2</v>
      </c>
      <c r="M525" s="26">
        <f t="shared" si="29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67">
        <f>SUMIFS([1]Up!$J:$J,[1]Up!$D:$D,D525)</f>
        <v>0</v>
      </c>
      <c r="AZ525" s="82"/>
      <c r="BA525" s="82" t="str">
        <f t="shared" si="41"/>
        <v>PL15</v>
      </c>
      <c r="BB525" s="53" t="str">
        <f t="shared" si="42"/>
        <v/>
      </c>
      <c r="BC525" s="53" t="s">
        <v>148</v>
      </c>
      <c r="BD525" s="53" t="s">
        <v>1094</v>
      </c>
      <c r="BE525" s="53" t="s">
        <v>1095</v>
      </c>
      <c r="BF525" s="53" t="s">
        <v>1304</v>
      </c>
      <c r="BG525" s="53">
        <v>2</v>
      </c>
      <c r="BH525" s="83">
        <v>46088</v>
      </c>
      <c r="BI525" s="53"/>
      <c r="BJ525" s="53"/>
    </row>
    <row r="526" spans="3:63" ht="14.25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0"/>
        <v>2</v>
      </c>
      <c r="M526" s="26">
        <f t="shared" si="29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67">
        <f>SUMIFS([1]Up!$J:$J,[1]Up!$D:$D,D526)</f>
        <v>0</v>
      </c>
      <c r="AZ526" s="82"/>
      <c r="BA526" s="82" t="str">
        <f t="shared" si="41"/>
        <v>PL15</v>
      </c>
      <c r="BB526" s="53" t="str">
        <f t="shared" si="42"/>
        <v/>
      </c>
      <c r="BC526" s="53" t="s">
        <v>148</v>
      </c>
      <c r="BD526" s="53" t="s">
        <v>1094</v>
      </c>
      <c r="BE526" s="53" t="s">
        <v>1095</v>
      </c>
      <c r="BF526" s="53" t="s">
        <v>1304</v>
      </c>
      <c r="BG526" s="53">
        <v>2</v>
      </c>
      <c r="BH526" s="83">
        <v>46088</v>
      </c>
      <c r="BI526" s="53"/>
      <c r="BJ526" s="53"/>
    </row>
    <row r="527" spans="3:63" ht="14.25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0"/>
        <v>1</v>
      </c>
      <c r="M527" s="26">
        <f t="shared" si="29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67">
        <f>SUMIFS([1]Up!$J:$J,[1]Up!$D:$D,D527)</f>
        <v>0</v>
      </c>
      <c r="AZ527" s="82"/>
      <c r="BA527" s="82" t="str">
        <f t="shared" si="41"/>
        <v>PL20</v>
      </c>
      <c r="BB527" s="53" t="str">
        <f t="shared" si="42"/>
        <v/>
      </c>
      <c r="BC527" s="53" t="s">
        <v>148</v>
      </c>
      <c r="BD527" s="53" t="s">
        <v>1100</v>
      </c>
      <c r="BE527" s="53" t="s">
        <v>1101</v>
      </c>
      <c r="BF527" s="53" t="s">
        <v>1308</v>
      </c>
      <c r="BG527" s="53">
        <v>1</v>
      </c>
      <c r="BH527" s="83">
        <v>46242</v>
      </c>
      <c r="BI527" s="53"/>
      <c r="BJ527" s="53"/>
    </row>
    <row r="528" spans="3:63" ht="14.25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0"/>
        <v>3</v>
      </c>
      <c r="M528" s="26">
        <f t="shared" si="29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67">
        <f>SUMIFS([1]Up!$J:$J,[1]Up!$D:$D,D528)</f>
        <v>0</v>
      </c>
      <c r="AZ528" s="82"/>
      <c r="BA528" s="82" t="str">
        <f t="shared" si="41"/>
        <v>PL16</v>
      </c>
      <c r="BB528" s="53" t="str">
        <f t="shared" si="42"/>
        <v/>
      </c>
      <c r="BC528" s="53" t="s">
        <v>148</v>
      </c>
      <c r="BD528" s="53" t="s">
        <v>988</v>
      </c>
      <c r="BE528" s="53" t="s">
        <v>989</v>
      </c>
      <c r="BF528" s="53" t="s">
        <v>990</v>
      </c>
      <c r="BG528" s="53">
        <v>3</v>
      </c>
      <c r="BH528" s="83" t="s">
        <v>2223</v>
      </c>
      <c r="BI528" s="53"/>
      <c r="BJ528" s="53"/>
    </row>
    <row r="529" spans="3:63" ht="14.25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0"/>
        <v>1</v>
      </c>
      <c r="M529" s="26">
        <f t="shared" si="29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67">
        <f>SUMIFS([1]Up!$J:$J,[1]Up!$D:$D,D529)</f>
        <v>0</v>
      </c>
      <c r="AZ529" s="82"/>
      <c r="BA529" s="82" t="str">
        <f t="shared" si="41"/>
        <v>PL20</v>
      </c>
      <c r="BB529" s="53" t="str">
        <f t="shared" si="42"/>
        <v/>
      </c>
      <c r="BC529" s="53" t="s">
        <v>148</v>
      </c>
      <c r="BD529" s="53" t="s">
        <v>1100</v>
      </c>
      <c r="BE529" s="53" t="s">
        <v>1101</v>
      </c>
      <c r="BF529" s="53" t="s">
        <v>1308</v>
      </c>
      <c r="BG529" s="53">
        <v>1</v>
      </c>
      <c r="BH529" s="83">
        <v>46242</v>
      </c>
      <c r="BI529" s="53"/>
      <c r="BJ529" s="53"/>
    </row>
    <row r="530" spans="3:63" ht="14.25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0"/>
        <v>2</v>
      </c>
      <c r="M530" s="26">
        <f t="shared" si="29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67">
        <f>SUMIFS([1]Up!$J:$J,[1]Up!$D:$D,D530)</f>
        <v>0</v>
      </c>
      <c r="AZ530" s="82"/>
      <c r="BA530" s="82" t="str">
        <f t="shared" si="41"/>
        <v>PL5</v>
      </c>
      <c r="BB530" s="53" t="str">
        <f t="shared" si="42"/>
        <v/>
      </c>
      <c r="BC530" s="53" t="s">
        <v>148</v>
      </c>
      <c r="BD530" s="53" t="s">
        <v>1108</v>
      </c>
      <c r="BE530" s="53" t="s">
        <v>957</v>
      </c>
      <c r="BF530" s="53" t="s">
        <v>1313</v>
      </c>
      <c r="BG530" s="53">
        <v>2</v>
      </c>
      <c r="BH530" s="83" t="s">
        <v>2223</v>
      </c>
      <c r="BI530" s="53"/>
      <c r="BJ530" s="53"/>
    </row>
    <row r="531" spans="3:63" ht="14.25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0"/>
        <v>1</v>
      </c>
      <c r="M531" s="26">
        <f t="shared" si="29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67">
        <f>SUMIFS([1]Up!$J:$J,[1]Up!$D:$D,D531)</f>
        <v>0</v>
      </c>
      <c r="AZ531" s="82"/>
      <c r="BA531" s="82" t="str">
        <f t="shared" si="41"/>
        <v>PL16</v>
      </c>
      <c r="BB531" s="53" t="str">
        <f t="shared" si="42"/>
        <v/>
      </c>
      <c r="BC531" s="53" t="s">
        <v>148</v>
      </c>
      <c r="BD531" s="53" t="s">
        <v>988</v>
      </c>
      <c r="BE531" s="53" t="s">
        <v>989</v>
      </c>
      <c r="BF531" s="53" t="s">
        <v>990</v>
      </c>
      <c r="BG531" s="53">
        <v>1</v>
      </c>
      <c r="BH531" s="83" t="s">
        <v>2223</v>
      </c>
      <c r="BI531" s="53"/>
      <c r="BJ531" s="53"/>
    </row>
    <row r="532" spans="3:63" ht="14.25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0"/>
        <v>1</v>
      </c>
      <c r="M532" s="26">
        <f t="shared" si="29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67">
        <f>SUMIFS([1]Up!$J:$J,[1]Up!$D:$D,D532)</f>
        <v>0</v>
      </c>
      <c r="AZ532" s="82"/>
      <c r="BA532" s="82" t="str">
        <f t="shared" si="41"/>
        <v>PL16</v>
      </c>
      <c r="BB532" s="53" t="str">
        <f t="shared" si="42"/>
        <v/>
      </c>
      <c r="BC532" s="53" t="s">
        <v>148</v>
      </c>
      <c r="BD532" s="53" t="s">
        <v>988</v>
      </c>
      <c r="BE532" s="53" t="s">
        <v>989</v>
      </c>
      <c r="BF532" s="53" t="s">
        <v>990</v>
      </c>
      <c r="BG532" s="53">
        <v>1</v>
      </c>
      <c r="BH532" s="83" t="s">
        <v>2223</v>
      </c>
      <c r="BI532" s="53"/>
      <c r="BJ532" s="53"/>
    </row>
    <row r="533" spans="3:63" ht="14.25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0"/>
        <v>1</v>
      </c>
      <c r="M533" s="26">
        <f t="shared" si="29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67">
        <f>SUMIFS([1]Up!$J:$J,[1]Up!$D:$D,D533)</f>
        <v>0</v>
      </c>
      <c r="AZ533" s="82"/>
      <c r="BA533" s="82" t="str">
        <f t="shared" si="41"/>
        <v>PL16</v>
      </c>
      <c r="BB533" s="53" t="str">
        <f t="shared" si="42"/>
        <v/>
      </c>
      <c r="BC533" s="53" t="s">
        <v>148</v>
      </c>
      <c r="BD533" s="53" t="s">
        <v>988</v>
      </c>
      <c r="BE533" s="53" t="s">
        <v>989</v>
      </c>
      <c r="BF533" s="53" t="s">
        <v>990</v>
      </c>
      <c r="BG533" s="53">
        <v>1</v>
      </c>
      <c r="BH533" s="83" t="s">
        <v>2223</v>
      </c>
      <c r="BI533" s="53"/>
      <c r="BJ533" s="53"/>
    </row>
    <row r="534" spans="3:63" ht="14.25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0"/>
        <v>3</v>
      </c>
      <c r="M534" s="26">
        <f t="shared" si="29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67">
        <f>SUMIFS([1]Up!$J:$J,[1]Up!$D:$D,D534)</f>
        <v>0</v>
      </c>
      <c r="AZ534" s="82" t="s">
        <v>2081</v>
      </c>
      <c r="BA534" s="82" t="str">
        <f t="shared" si="41"/>
        <v>PL8</v>
      </c>
      <c r="BB534" s="53" t="str">
        <f t="shared" si="42"/>
        <v>Thừa 3</v>
      </c>
      <c r="BC534" s="53" t="s">
        <v>148</v>
      </c>
      <c r="BD534" s="53" t="s">
        <v>1012</v>
      </c>
      <c r="BE534" s="53" t="s">
        <v>1013</v>
      </c>
      <c r="BF534" s="53" t="s">
        <v>57</v>
      </c>
      <c r="BG534" s="53">
        <v>3</v>
      </c>
      <c r="BH534" s="83"/>
      <c r="BI534" s="53"/>
      <c r="BJ534" s="53"/>
    </row>
    <row r="535" spans="3:63" ht="14.25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40"/>
        <v>5</v>
      </c>
      <c r="M535" s="26">
        <f t="shared" si="29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67">
        <f>SUMIFS([1]Up!$J:$J,[1]Up!$D:$D,D535)</f>
        <v>0</v>
      </c>
      <c r="AZ535" s="82"/>
      <c r="BA535" s="82" t="str">
        <f t="shared" si="41"/>
        <v/>
      </c>
      <c r="BB535" s="53" t="str">
        <f t="shared" si="42"/>
        <v/>
      </c>
      <c r="BC535" s="53" t="s">
        <v>148</v>
      </c>
      <c r="BD535" s="53" t="s">
        <v>1079</v>
      </c>
      <c r="BE535" s="53" t="s">
        <v>1076</v>
      </c>
      <c r="BF535" s="84" t="s">
        <v>2162</v>
      </c>
      <c r="BG535" s="53">
        <v>20</v>
      </c>
      <c r="BH535" s="83" t="s">
        <v>2225</v>
      </c>
      <c r="BI535" s="53"/>
      <c r="BJ535" s="53"/>
      <c r="BK535" s="238"/>
    </row>
    <row r="536" spans="3:63" ht="14.25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0"/>
        <v>0</v>
      </c>
      <c r="M536" s="26">
        <f t="shared" si="29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67">
        <f>SUMIFS([1]Up!$J:$J,[1]Up!$D:$D,D536)</f>
        <v>0</v>
      </c>
      <c r="AZ536" s="82"/>
      <c r="BA536" s="82" t="str">
        <f t="shared" si="41"/>
        <v>PL8</v>
      </c>
      <c r="BB536" s="53" t="str">
        <f t="shared" si="42"/>
        <v/>
      </c>
      <c r="BC536" s="53" t="s">
        <v>154</v>
      </c>
      <c r="BD536" s="53" t="s">
        <v>1012</v>
      </c>
      <c r="BE536" s="53" t="s">
        <v>1013</v>
      </c>
      <c r="BF536" s="53" t="s">
        <v>57</v>
      </c>
      <c r="BG536" s="53">
        <v>4</v>
      </c>
      <c r="BH536" s="83"/>
      <c r="BI536" s="53"/>
      <c r="BJ536" s="53"/>
    </row>
    <row r="537" spans="3:63" ht="14.25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0"/>
        <v>2</v>
      </c>
      <c r="M537" s="26">
        <f t="shared" si="29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67">
        <f>SUMIFS([1]Up!$J:$J,[1]Up!$D:$D,D537)</f>
        <v>2</v>
      </c>
      <c r="AZ537" s="82"/>
      <c r="BA537" s="82" t="str">
        <f t="shared" si="41"/>
        <v>PL15</v>
      </c>
      <c r="BB537" s="53" t="str">
        <f t="shared" si="42"/>
        <v/>
      </c>
      <c r="BC537" s="53" t="s">
        <v>148</v>
      </c>
      <c r="BD537" s="53" t="s">
        <v>1094</v>
      </c>
      <c r="BE537" s="53" t="s">
        <v>1095</v>
      </c>
      <c r="BF537" s="84" t="s">
        <v>2156</v>
      </c>
      <c r="BG537" s="53">
        <v>8</v>
      </c>
      <c r="BH537" s="83" t="s">
        <v>2225</v>
      </c>
      <c r="BI537" s="53"/>
      <c r="BJ537" s="53"/>
      <c r="BK537" s="238"/>
    </row>
    <row r="538" spans="3:63" ht="14.25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0"/>
        <v>10</v>
      </c>
      <c r="M538" s="26">
        <f t="shared" si="29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67">
        <f>SUMIFS([1]Up!$J:$J,[1]Up!$D:$D,D538)</f>
        <v>10</v>
      </c>
      <c r="AZ538" s="82"/>
      <c r="BA538" s="82" t="str">
        <f t="shared" si="41"/>
        <v>PL16</v>
      </c>
      <c r="BB538" s="53" t="str">
        <f t="shared" si="42"/>
        <v/>
      </c>
      <c r="BC538" s="53" t="s">
        <v>148</v>
      </c>
      <c r="BD538" s="53" t="s">
        <v>988</v>
      </c>
      <c r="BE538" s="53" t="s">
        <v>989</v>
      </c>
      <c r="BF538" s="84" t="s">
        <v>2161</v>
      </c>
      <c r="BG538" s="53">
        <v>40</v>
      </c>
      <c r="BH538" s="83" t="s">
        <v>2226</v>
      </c>
      <c r="BI538" s="53"/>
      <c r="BJ538" s="53"/>
      <c r="BK538" s="238"/>
    </row>
    <row r="539" spans="3:63" ht="14.25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0"/>
        <v>2</v>
      </c>
      <c r="M539" s="26">
        <f t="shared" si="29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67">
        <f>SUMIFS([1]Up!$J:$J,[1]Up!$D:$D,D539)</f>
        <v>2</v>
      </c>
      <c r="AZ539" s="82"/>
      <c r="BA539" s="82" t="str">
        <f t="shared" si="41"/>
        <v>PL15</v>
      </c>
      <c r="BB539" s="53" t="str">
        <f t="shared" si="42"/>
        <v/>
      </c>
      <c r="BC539" s="53" t="s">
        <v>148</v>
      </c>
      <c r="BD539" s="53" t="s">
        <v>1094</v>
      </c>
      <c r="BE539" s="53" t="s">
        <v>1095</v>
      </c>
      <c r="BF539" s="84" t="s">
        <v>2156</v>
      </c>
      <c r="BG539" s="53">
        <v>8</v>
      </c>
      <c r="BH539" s="83" t="s">
        <v>2225</v>
      </c>
      <c r="BI539" s="53"/>
      <c r="BJ539" s="53"/>
      <c r="BK539" s="238"/>
    </row>
    <row r="540" spans="3:63" ht="14.25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0"/>
        <v>2</v>
      </c>
      <c r="M540" s="26">
        <f t="shared" si="29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67">
        <f>SUMIFS([1]Up!$J:$J,[1]Up!$D:$D,D540)</f>
        <v>0</v>
      </c>
      <c r="AZ540" s="82"/>
      <c r="BA540" s="82" t="str">
        <f t="shared" si="41"/>
        <v>PL20</v>
      </c>
      <c r="BB540" s="53" t="str">
        <f t="shared" si="42"/>
        <v/>
      </c>
      <c r="BC540" s="53" t="s">
        <v>148</v>
      </c>
      <c r="BD540" s="53" t="s">
        <v>1100</v>
      </c>
      <c r="BE540" s="53" t="s">
        <v>1101</v>
      </c>
      <c r="BF540" s="84" t="s">
        <v>2158</v>
      </c>
      <c r="BG540" s="53">
        <v>8</v>
      </c>
      <c r="BH540" s="83">
        <v>46242</v>
      </c>
      <c r="BI540" s="53"/>
      <c r="BJ540" s="53"/>
      <c r="BK540" s="238"/>
    </row>
    <row r="541" spans="3:63" ht="14.25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0"/>
        <v>2</v>
      </c>
      <c r="M541" s="26">
        <f t="shared" ref="M541:M549" si="43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67">
        <f>SUMIFS([1]Up!$J:$J,[1]Up!$D:$D,D541)</f>
        <v>0</v>
      </c>
      <c r="AZ541" s="82"/>
      <c r="BA541" s="82" t="str">
        <f t="shared" si="41"/>
        <v>PL15</v>
      </c>
      <c r="BB541" s="53" t="str">
        <f t="shared" si="42"/>
        <v/>
      </c>
      <c r="BC541" s="53" t="s">
        <v>148</v>
      </c>
      <c r="BD541" s="53" t="s">
        <v>1094</v>
      </c>
      <c r="BE541" s="53" t="s">
        <v>1095</v>
      </c>
      <c r="BF541" s="84" t="s">
        <v>2156</v>
      </c>
      <c r="BG541" s="53">
        <v>8</v>
      </c>
      <c r="BH541" s="83" t="s">
        <v>2225</v>
      </c>
      <c r="BI541" s="53"/>
      <c r="BJ541" s="53"/>
      <c r="BK541" s="238"/>
    </row>
    <row r="542" spans="3:63" ht="14.25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4">MIN(SUM(N542:AX542),I542)</f>
        <v>1</v>
      </c>
      <c r="M542" s="26">
        <f t="shared" si="43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67">
        <f>SUMIFS([1]Up!$J:$J,[1]Up!$D:$D,D542)</f>
        <v>0</v>
      </c>
      <c r="AZ542" s="82"/>
      <c r="BA542" s="82" t="str">
        <f t="shared" ref="BA542:BA549" si="45">IFERROR(IF(C542="Plate",LEFT(E542,FIND("*",E542,1)-1),""),IF(C542="Plate",LEFT(E542,FIND("x",E542,1)-1),""))</f>
        <v>PL20</v>
      </c>
      <c r="BB542" s="53" t="str">
        <f t="shared" ref="BB542:BB549" si="46">IF(ROUND(SUM(N542:AX542)-I542,0)&gt;0,"Thừa "&amp;SUM(N542:AX542)-I542,"")</f>
        <v/>
      </c>
      <c r="BC542" s="53" t="s">
        <v>148</v>
      </c>
      <c r="BD542" s="53" t="s">
        <v>1100</v>
      </c>
      <c r="BE542" s="53" t="s">
        <v>1101</v>
      </c>
      <c r="BF542" s="84" t="s">
        <v>2158</v>
      </c>
      <c r="BG542" s="53">
        <v>4</v>
      </c>
      <c r="BH542" s="83">
        <v>46242</v>
      </c>
      <c r="BI542" s="53"/>
      <c r="BJ542" s="53"/>
      <c r="BK542" s="238"/>
    </row>
    <row r="543" spans="3:63" ht="14.25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4"/>
        <v>3</v>
      </c>
      <c r="M543" s="26">
        <f t="shared" si="43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67">
        <f>SUMIFS([1]Up!$J:$J,[1]Up!$D:$D,D543)</f>
        <v>3</v>
      </c>
      <c r="AZ543" s="82"/>
      <c r="BA543" s="82" t="str">
        <f t="shared" si="45"/>
        <v>PL16</v>
      </c>
      <c r="BB543" s="53" t="str">
        <f t="shared" si="46"/>
        <v/>
      </c>
      <c r="BC543" s="53" t="s">
        <v>148</v>
      </c>
      <c r="BD543" s="53" t="s">
        <v>988</v>
      </c>
      <c r="BE543" s="53" t="s">
        <v>989</v>
      </c>
      <c r="BF543" s="84" t="s">
        <v>2161</v>
      </c>
      <c r="BG543" s="53">
        <v>12</v>
      </c>
      <c r="BH543" s="83" t="s">
        <v>2226</v>
      </c>
      <c r="BI543" s="53"/>
      <c r="BJ543" s="53"/>
      <c r="BK543" s="238"/>
    </row>
    <row r="544" spans="3:63" ht="14.25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4"/>
        <v>1</v>
      </c>
      <c r="M544" s="26">
        <f t="shared" si="43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67">
        <f>SUMIFS([1]Up!$J:$J,[1]Up!$D:$D,D544)</f>
        <v>0</v>
      </c>
      <c r="AZ544" s="82"/>
      <c r="BA544" s="82" t="str">
        <f t="shared" si="45"/>
        <v>PL20</v>
      </c>
      <c r="BB544" s="53" t="str">
        <f t="shared" si="46"/>
        <v/>
      </c>
      <c r="BC544" s="53" t="s">
        <v>148</v>
      </c>
      <c r="BD544" s="53" t="s">
        <v>1100</v>
      </c>
      <c r="BE544" s="53" t="s">
        <v>1101</v>
      </c>
      <c r="BF544" s="84" t="s">
        <v>2158</v>
      </c>
      <c r="BG544" s="53">
        <v>4</v>
      </c>
      <c r="BH544" s="83">
        <v>46242</v>
      </c>
      <c r="BI544" s="53"/>
      <c r="BJ544" s="53"/>
      <c r="BK544" s="238"/>
    </row>
    <row r="545" spans="3:63" ht="14.25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4"/>
        <v>0</v>
      </c>
      <c r="M545" s="26">
        <f t="shared" si="43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67">
        <f>SUMIFS([1]Up!$J:$J,[1]Up!$D:$D,D545)</f>
        <v>0</v>
      </c>
      <c r="AZ545" s="82"/>
      <c r="BA545" s="82" t="str">
        <f t="shared" si="45"/>
        <v>PL5</v>
      </c>
      <c r="BB545" s="53" t="str">
        <f t="shared" si="46"/>
        <v/>
      </c>
      <c r="BC545" s="53" t="s">
        <v>148</v>
      </c>
      <c r="BD545" s="53" t="s">
        <v>1108</v>
      </c>
      <c r="BE545" s="53" t="s">
        <v>957</v>
      </c>
      <c r="BF545" s="84" t="s">
        <v>2159</v>
      </c>
      <c r="BG545" s="53">
        <v>8</v>
      </c>
      <c r="BH545" s="83">
        <v>46302</v>
      </c>
      <c r="BI545" s="53"/>
      <c r="BJ545" s="53"/>
      <c r="BK545" s="238"/>
    </row>
    <row r="546" spans="3:63" ht="14.25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4"/>
        <v>1</v>
      </c>
      <c r="M546" s="26">
        <f t="shared" si="43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67">
        <f>SUMIFS([1]Up!$J:$J,[1]Up!$D:$D,D546)</f>
        <v>0</v>
      </c>
      <c r="AZ546" s="82"/>
      <c r="BA546" s="82" t="str">
        <f t="shared" si="45"/>
        <v>PL16</v>
      </c>
      <c r="BB546" s="53" t="str">
        <f t="shared" si="46"/>
        <v/>
      </c>
      <c r="BC546" s="53" t="s">
        <v>148</v>
      </c>
      <c r="BD546" s="53" t="s">
        <v>988</v>
      </c>
      <c r="BE546" s="53" t="s">
        <v>989</v>
      </c>
      <c r="BF546" s="84" t="s">
        <v>2161</v>
      </c>
      <c r="BG546" s="53">
        <v>4</v>
      </c>
      <c r="BH546" s="83" t="s">
        <v>2226</v>
      </c>
      <c r="BI546" s="53"/>
      <c r="BJ546" s="53"/>
      <c r="BK546" s="238"/>
    </row>
    <row r="547" spans="3:63" ht="14.25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4"/>
        <v>1</v>
      </c>
      <c r="M547" s="26">
        <f t="shared" si="43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67">
        <f>SUMIFS([1]Up!$J:$J,[1]Up!$D:$D,D547)</f>
        <v>0</v>
      </c>
      <c r="AZ547" s="82"/>
      <c r="BA547" s="82" t="str">
        <f t="shared" si="45"/>
        <v>PL16</v>
      </c>
      <c r="BB547" s="53" t="str">
        <f t="shared" si="46"/>
        <v/>
      </c>
      <c r="BC547" s="53" t="s">
        <v>148</v>
      </c>
      <c r="BD547" s="53" t="s">
        <v>988</v>
      </c>
      <c r="BE547" s="53" t="s">
        <v>989</v>
      </c>
      <c r="BF547" s="84" t="s">
        <v>2161</v>
      </c>
      <c r="BG547" s="53">
        <v>4</v>
      </c>
      <c r="BH547" s="83" t="s">
        <v>2226</v>
      </c>
      <c r="BI547" s="53"/>
      <c r="BJ547" s="53"/>
      <c r="BK547" s="238"/>
    </row>
    <row r="548" spans="3:63" ht="14.25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4"/>
        <v>1</v>
      </c>
      <c r="M548" s="26">
        <f t="shared" si="43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67">
        <f>SUMIFS([1]Up!$J:$J,[1]Up!$D:$D,D548)</f>
        <v>1</v>
      </c>
      <c r="AZ548" s="82"/>
      <c r="BA548" s="82" t="str">
        <f t="shared" si="45"/>
        <v>PL16</v>
      </c>
      <c r="BB548" s="53" t="str">
        <f t="shared" si="46"/>
        <v/>
      </c>
      <c r="BC548" s="53" t="s">
        <v>148</v>
      </c>
      <c r="BD548" s="53" t="s">
        <v>988</v>
      </c>
      <c r="BE548" s="53" t="s">
        <v>989</v>
      </c>
      <c r="BF548" s="84" t="s">
        <v>2161</v>
      </c>
      <c r="BG548" s="53">
        <v>4</v>
      </c>
      <c r="BH548" s="83" t="s">
        <v>2226</v>
      </c>
      <c r="BI548" s="53"/>
      <c r="BJ548" s="53"/>
      <c r="BK548" s="238"/>
    </row>
    <row r="549" spans="3:63" ht="14.25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4"/>
        <v>0</v>
      </c>
      <c r="M549" s="26">
        <f t="shared" si="43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67">
        <f>SUMIFS([1]Up!$J:$J,[1]Up!$D:$D,D549)</f>
        <v>0</v>
      </c>
      <c r="AZ549" s="82"/>
      <c r="BA549" s="82" t="str">
        <f t="shared" si="45"/>
        <v>PL8</v>
      </c>
      <c r="BB549" s="53" t="str">
        <f t="shared" si="46"/>
        <v/>
      </c>
      <c r="BC549" s="53" t="s">
        <v>148</v>
      </c>
      <c r="BD549" s="53" t="s">
        <v>1012</v>
      </c>
      <c r="BE549" s="53" t="s">
        <v>1013</v>
      </c>
      <c r="BF549" s="53" t="s">
        <v>57</v>
      </c>
      <c r="BG549" s="53">
        <v>20</v>
      </c>
      <c r="BH549" s="83"/>
      <c r="BI549" s="53"/>
      <c r="BJ549" s="53"/>
    </row>
    <row r="550" spans="3:63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67"/>
      <c r="AZ550" s="82"/>
      <c r="BA550" s="82"/>
      <c r="BB550" s="53"/>
      <c r="BC550" s="53"/>
      <c r="BD550" s="53"/>
      <c r="BE550" s="53"/>
      <c r="BF550" s="53"/>
      <c r="BG550" s="85"/>
      <c r="BH550" s="53"/>
      <c r="BI550" s="53"/>
      <c r="BJ550" s="53"/>
    </row>
    <row r="551" spans="3:63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67"/>
      <c r="AZ551" s="82"/>
      <c r="BA551" s="82"/>
      <c r="BB551" s="53"/>
      <c r="BC551" s="53"/>
      <c r="BD551" s="53"/>
      <c r="BE551" s="53"/>
      <c r="BF551" s="53"/>
      <c r="BG551" s="85"/>
      <c r="BH551" s="53"/>
      <c r="BI551" s="53"/>
      <c r="BJ551" s="53"/>
    </row>
    <row r="552" spans="3:63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67"/>
      <c r="AZ552" s="82"/>
      <c r="BA552" s="82"/>
      <c r="BB552" s="53"/>
      <c r="BC552" s="53"/>
      <c r="BD552" s="53"/>
      <c r="BE552" s="53"/>
      <c r="BF552" s="53"/>
      <c r="BG552" s="85"/>
      <c r="BH552" s="53"/>
      <c r="BI552" s="53"/>
      <c r="BJ552" s="53"/>
    </row>
    <row r="553" spans="3:63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67"/>
      <c r="AZ553" s="82"/>
      <c r="BA553" s="82"/>
      <c r="BB553" s="53"/>
      <c r="BC553" s="53"/>
      <c r="BD553" s="53"/>
      <c r="BE553" s="53"/>
      <c r="BF553" s="53"/>
      <c r="BG553" s="85"/>
      <c r="BH553" s="53"/>
      <c r="BI553" s="53"/>
      <c r="BJ553" s="53"/>
    </row>
    <row r="554" spans="3:63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67"/>
      <c r="AZ554" s="82"/>
      <c r="BA554" s="82"/>
      <c r="BB554" s="53"/>
      <c r="BC554" s="53"/>
      <c r="BD554" s="53"/>
      <c r="BE554" s="53"/>
      <c r="BF554" s="53"/>
      <c r="BG554" s="85"/>
      <c r="BH554" s="53"/>
      <c r="BI554" s="53"/>
      <c r="BJ554" s="53"/>
    </row>
    <row r="555" spans="3:63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67"/>
      <c r="AZ555" s="82"/>
      <c r="BA555" s="82"/>
      <c r="BB555" s="53"/>
      <c r="BC555" s="53"/>
      <c r="BD555" s="53"/>
      <c r="BE555" s="53"/>
      <c r="BF555" s="53"/>
      <c r="BG555" s="85"/>
      <c r="BH555" s="53"/>
      <c r="BI555" s="53"/>
      <c r="BJ555" s="53"/>
    </row>
    <row r="556" spans="3:63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67"/>
      <c r="AZ556" s="82"/>
      <c r="BA556" s="82"/>
      <c r="BB556" s="53"/>
      <c r="BC556" s="53"/>
      <c r="BD556" s="53"/>
      <c r="BE556" s="53"/>
      <c r="BF556" s="53"/>
      <c r="BG556" s="85"/>
      <c r="BH556" s="53"/>
      <c r="BI556" s="53"/>
      <c r="BJ556" s="53"/>
    </row>
    <row r="559" spans="3:63">
      <c r="AZ559" s="3" t="s">
        <v>1039</v>
      </c>
    </row>
  </sheetData>
  <autoFilter ref="C29:BJ556" xr:uid="{B5DE6D30-F474-449D-82A7-1262A8A8C8BB}"/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E243" activePane="bottomRight" state="frozen"/>
      <selection pane="topRight" activeCell="P1" sqref="P1"/>
      <selection pane="bottomLeft" activeCell="A10" sqref="A10"/>
      <selection pane="bottomRight" activeCell="AI237" sqref="AI237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15641.5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177</v>
      </c>
      <c r="B10" s="177" t="s">
        <v>2037</v>
      </c>
      <c r="C10" s="177" t="s">
        <v>2212</v>
      </c>
      <c r="D10" s="177" t="s">
        <v>2038</v>
      </c>
      <c r="E10" s="177"/>
      <c r="F10" s="177"/>
      <c r="G10" s="177" t="s">
        <v>2039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2040</v>
      </c>
      <c r="AE10" s="162" t="s">
        <v>143</v>
      </c>
      <c r="AF10" s="181" t="s">
        <v>1784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2037</v>
      </c>
      <c r="C11" s="187" t="s">
        <v>2154</v>
      </c>
      <c r="D11" s="187"/>
      <c r="E11" s="187"/>
      <c r="F11" s="187"/>
      <c r="G11" s="187" t="s">
        <v>1929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0.60683760683760679</v>
      </c>
      <c r="Y11" s="192"/>
      <c r="Z11" s="192"/>
      <c r="AA11" s="192"/>
      <c r="AB11" s="192"/>
      <c r="AC11" s="194" t="s">
        <v>196</v>
      </c>
      <c r="AD11" s="195" t="s">
        <v>2040</v>
      </c>
      <c r="AE11" s="196" t="s">
        <v>1788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17"/>
      <c r="B12" s="209" t="s">
        <v>2037</v>
      </c>
      <c r="C12" s="209" t="s">
        <v>2154</v>
      </c>
      <c r="D12" s="209" t="s">
        <v>1085</v>
      </c>
      <c r="E12" s="209" t="s">
        <v>1789</v>
      </c>
      <c r="F12" s="209" t="s">
        <v>1293</v>
      </c>
      <c r="G12" s="209" t="s">
        <v>1294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2040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1790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1791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customHeight="1">
      <c r="A13" s="117"/>
      <c r="B13" s="209" t="s">
        <v>2037</v>
      </c>
      <c r="C13" s="209" t="s">
        <v>2154</v>
      </c>
      <c r="D13" s="209" t="s">
        <v>1297</v>
      </c>
      <c r="E13" s="209" t="s">
        <v>1792</v>
      </c>
      <c r="F13" s="209" t="s">
        <v>1302</v>
      </c>
      <c r="G13" s="209" t="s">
        <v>1303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2040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1790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1791</v>
      </c>
      <c r="BZ13" s="117" t="s">
        <v>1304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customHeight="1">
      <c r="A14" s="117"/>
      <c r="B14" s="209" t="s">
        <v>2037</v>
      </c>
      <c r="C14" s="209" t="s">
        <v>2154</v>
      </c>
      <c r="D14" s="209" t="s">
        <v>1297</v>
      </c>
      <c r="E14" s="209" t="s">
        <v>1793</v>
      </c>
      <c r="F14" s="209" t="s">
        <v>1305</v>
      </c>
      <c r="G14" s="209" t="s">
        <v>1097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2040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1790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1791</v>
      </c>
      <c r="BZ14" s="117" t="s">
        <v>1064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customHeight="1">
      <c r="A15" s="117"/>
      <c r="B15" s="209" t="s">
        <v>2037</v>
      </c>
      <c r="C15" s="209" t="s">
        <v>2154</v>
      </c>
      <c r="D15" s="209" t="s">
        <v>1297</v>
      </c>
      <c r="E15" s="209" t="s">
        <v>1794</v>
      </c>
      <c r="F15" s="209" t="s">
        <v>1306</v>
      </c>
      <c r="G15" s="209" t="s">
        <v>1307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2040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1790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1791</v>
      </c>
      <c r="BZ15" s="117" t="s">
        <v>1308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customHeight="1">
      <c r="A16" s="117"/>
      <c r="B16" s="209" t="s">
        <v>2037</v>
      </c>
      <c r="C16" s="209" t="s">
        <v>2154</v>
      </c>
      <c r="D16" s="209" t="s">
        <v>1297</v>
      </c>
      <c r="E16" s="209" t="s">
        <v>1795</v>
      </c>
      <c r="F16" s="209" t="s">
        <v>1309</v>
      </c>
      <c r="G16" s="209" t="s">
        <v>1105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2040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1790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1791</v>
      </c>
      <c r="BZ16" s="117" t="s">
        <v>1308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customHeight="1">
      <c r="A17" s="117"/>
      <c r="B17" s="209" t="s">
        <v>2037</v>
      </c>
      <c r="C17" s="209" t="s">
        <v>2154</v>
      </c>
      <c r="D17" s="209" t="s">
        <v>1297</v>
      </c>
      <c r="E17" s="209" t="s">
        <v>1796</v>
      </c>
      <c r="F17" s="209" t="s">
        <v>1310</v>
      </c>
      <c r="G17" s="209" t="s">
        <v>1311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2040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1790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1791</v>
      </c>
      <c r="BZ17" s="117" t="s">
        <v>1064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customHeight="1">
      <c r="A18" s="117"/>
      <c r="B18" s="209" t="s">
        <v>2037</v>
      </c>
      <c r="C18" s="209" t="s">
        <v>2154</v>
      </c>
      <c r="D18" s="209" t="s">
        <v>1297</v>
      </c>
      <c r="E18" s="209" t="s">
        <v>1797</v>
      </c>
      <c r="F18" s="209" t="s">
        <v>1312</v>
      </c>
      <c r="G18" s="209" t="s">
        <v>1107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2040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1791</v>
      </c>
      <c r="BZ18" s="117" t="s">
        <v>1313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customHeight="1">
      <c r="A19" s="117"/>
      <c r="B19" s="209" t="s">
        <v>2037</v>
      </c>
      <c r="C19" s="209" t="s">
        <v>2154</v>
      </c>
      <c r="D19" s="209" t="s">
        <v>1297</v>
      </c>
      <c r="E19" s="209" t="s">
        <v>1798</v>
      </c>
      <c r="F19" s="209" t="s">
        <v>1314</v>
      </c>
      <c r="G19" s="209" t="s">
        <v>1031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2040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1790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1791</v>
      </c>
      <c r="BZ19" s="117" t="s">
        <v>1023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customHeight="1">
      <c r="A20" s="117"/>
      <c r="B20" s="209" t="s">
        <v>2037</v>
      </c>
      <c r="C20" s="209" t="s">
        <v>2154</v>
      </c>
      <c r="D20" s="209" t="s">
        <v>1077</v>
      </c>
      <c r="E20" s="209" t="s">
        <v>1799</v>
      </c>
      <c r="F20" s="209" t="s">
        <v>1315</v>
      </c>
      <c r="G20" s="209" t="s">
        <v>1031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2040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1790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1791</v>
      </c>
      <c r="BZ20" s="117" t="s">
        <v>1023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customHeight="1">
      <c r="A21" s="117"/>
      <c r="B21" s="209" t="s">
        <v>2037</v>
      </c>
      <c r="C21" s="209" t="s">
        <v>2154</v>
      </c>
      <c r="D21" s="209" t="s">
        <v>1297</v>
      </c>
      <c r="E21" s="209" t="s">
        <v>1800</v>
      </c>
      <c r="F21" s="209" t="s">
        <v>1295</v>
      </c>
      <c r="G21" s="209" t="s">
        <v>1296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2040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1790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1791</v>
      </c>
      <c r="BZ21" s="117" t="s">
        <v>1064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customHeight="1">
      <c r="A22" s="117"/>
      <c r="B22" s="209" t="s">
        <v>2037</v>
      </c>
      <c r="C22" s="209" t="s">
        <v>2154</v>
      </c>
      <c r="D22" s="209" t="s">
        <v>1297</v>
      </c>
      <c r="E22" s="209" t="s">
        <v>1801</v>
      </c>
      <c r="F22" s="209" t="s">
        <v>1298</v>
      </c>
      <c r="G22" s="209" t="s">
        <v>1299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2040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1790</v>
      </c>
      <c r="BG22" s="117"/>
      <c r="BH22" s="155"/>
      <c r="BI22" s="216"/>
      <c r="BJ22" s="229" t="s">
        <v>1930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1791</v>
      </c>
      <c r="BZ22" s="117" t="s">
        <v>1023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customHeight="1">
      <c r="A23" s="141"/>
      <c r="B23" s="199" t="s">
        <v>2037</v>
      </c>
      <c r="C23" s="199" t="s">
        <v>2154</v>
      </c>
      <c r="D23" s="199" t="s">
        <v>1297</v>
      </c>
      <c r="E23" s="199" t="s">
        <v>1931</v>
      </c>
      <c r="F23" s="199" t="s">
        <v>1300</v>
      </c>
      <c r="G23" s="199" t="s">
        <v>1299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2040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1790</v>
      </c>
      <c r="BG23" s="141"/>
      <c r="BH23" s="152"/>
      <c r="BI23" s="207"/>
      <c r="BJ23" s="230" t="s">
        <v>1932</v>
      </c>
      <c r="BK23" s="230"/>
      <c r="BL23" s="153" t="s">
        <v>1933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1023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customHeight="1">
      <c r="A24" s="117"/>
      <c r="B24" s="209" t="s">
        <v>2037</v>
      </c>
      <c r="C24" s="209" t="s">
        <v>2154</v>
      </c>
      <c r="D24" s="209" t="s">
        <v>1297</v>
      </c>
      <c r="E24" s="209" t="s">
        <v>1802</v>
      </c>
      <c r="F24" s="209" t="s">
        <v>1301</v>
      </c>
      <c r="G24" s="209" t="s">
        <v>1091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2040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1790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1791</v>
      </c>
      <c r="BZ24" s="117" t="s">
        <v>990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customHeight="1">
      <c r="A25" s="117"/>
      <c r="B25" s="209" t="s">
        <v>2037</v>
      </c>
      <c r="C25" s="209" t="s">
        <v>2154</v>
      </c>
      <c r="D25" s="209" t="s">
        <v>1077</v>
      </c>
      <c r="E25" s="209" t="s">
        <v>1803</v>
      </c>
      <c r="F25" s="209" t="s">
        <v>1289</v>
      </c>
      <c r="G25" s="209" t="s">
        <v>1076</v>
      </c>
      <c r="H25" s="210">
        <v>812</v>
      </c>
      <c r="I25" s="211" t="s">
        <v>1078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2040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1790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1791</v>
      </c>
      <c r="BZ25" s="117" t="s">
        <v>1290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customHeight="1">
      <c r="A26" s="117"/>
      <c r="B26" s="209" t="s">
        <v>2037</v>
      </c>
      <c r="C26" s="209" t="s">
        <v>2154</v>
      </c>
      <c r="D26" s="209" t="s">
        <v>1077</v>
      </c>
      <c r="E26" s="199" t="s">
        <v>1804</v>
      </c>
      <c r="F26" s="199" t="s">
        <v>1291</v>
      </c>
      <c r="G26" s="209" t="s">
        <v>1081</v>
      </c>
      <c r="H26" s="210">
        <v>737</v>
      </c>
      <c r="I26" s="211" t="s">
        <v>1078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2040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1790</v>
      </c>
      <c r="BG26" s="117"/>
      <c r="BH26" s="141" t="s">
        <v>1934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1791</v>
      </c>
      <c r="BZ26" s="117" t="s">
        <v>1292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customHeight="1">
      <c r="A27" s="186"/>
      <c r="B27" s="187" t="s">
        <v>2037</v>
      </c>
      <c r="C27" s="187" t="s">
        <v>2164</v>
      </c>
      <c r="D27" s="187"/>
      <c r="E27" s="187"/>
      <c r="F27" s="187"/>
      <c r="G27" s="187" t="s">
        <v>1935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0.63492063492063489</v>
      </c>
      <c r="Y27" s="192"/>
      <c r="Z27" s="192"/>
      <c r="AA27" s="192"/>
      <c r="AB27" s="192"/>
      <c r="AC27" s="194" t="s">
        <v>196</v>
      </c>
      <c r="AD27" s="195" t="s">
        <v>2040</v>
      </c>
      <c r="AE27" s="196" t="s">
        <v>1788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customHeight="1">
      <c r="A28" s="117"/>
      <c r="B28" s="209" t="s">
        <v>2037</v>
      </c>
      <c r="C28" s="209" t="s">
        <v>2164</v>
      </c>
      <c r="D28" s="209" t="s">
        <v>1085</v>
      </c>
      <c r="E28" s="209" t="s">
        <v>1816</v>
      </c>
      <c r="F28" s="209" t="s">
        <v>1340</v>
      </c>
      <c r="G28" s="209" t="s">
        <v>1294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2040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1790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1791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customHeight="1">
      <c r="A29" s="117"/>
      <c r="B29" s="209" t="s">
        <v>2037</v>
      </c>
      <c r="C29" s="209" t="s">
        <v>2164</v>
      </c>
      <c r="D29" s="209" t="s">
        <v>1297</v>
      </c>
      <c r="E29" s="209" t="s">
        <v>1806</v>
      </c>
      <c r="F29" s="209" t="s">
        <v>1341</v>
      </c>
      <c r="G29" s="209" t="s">
        <v>1317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2040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1790</v>
      </c>
      <c r="BG29" s="117"/>
      <c r="BH29" s="155"/>
      <c r="BI29" s="216"/>
      <c r="BJ29" s="229" t="s">
        <v>1936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1791</v>
      </c>
      <c r="BZ29" s="117" t="s">
        <v>1318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customHeight="1">
      <c r="A30" s="117"/>
      <c r="B30" s="209" t="s">
        <v>2037</v>
      </c>
      <c r="C30" s="209" t="s">
        <v>2164</v>
      </c>
      <c r="D30" s="209" t="s">
        <v>1297</v>
      </c>
      <c r="E30" s="209" t="s">
        <v>1817</v>
      </c>
      <c r="F30" s="209" t="s">
        <v>1342</v>
      </c>
      <c r="G30" s="209" t="s">
        <v>1320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2040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1790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1791</v>
      </c>
      <c r="BZ30" s="117" t="s">
        <v>1023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customHeight="1">
      <c r="A31" s="117"/>
      <c r="B31" s="209" t="s">
        <v>2037</v>
      </c>
      <c r="C31" s="209" t="s">
        <v>2164</v>
      </c>
      <c r="D31" s="209" t="s">
        <v>1077</v>
      </c>
      <c r="E31" s="209" t="s">
        <v>1818</v>
      </c>
      <c r="F31" s="209" t="s">
        <v>1343</v>
      </c>
      <c r="G31" s="209" t="s">
        <v>1344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2040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1790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1791</v>
      </c>
      <c r="BZ31" s="117" t="s">
        <v>1345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customHeight="1">
      <c r="A32" s="117"/>
      <c r="B32" s="209" t="s">
        <v>2037</v>
      </c>
      <c r="C32" s="209" t="s">
        <v>2164</v>
      </c>
      <c r="D32" s="209" t="s">
        <v>1077</v>
      </c>
      <c r="E32" s="209" t="s">
        <v>1807</v>
      </c>
      <c r="F32" s="209" t="s">
        <v>1346</v>
      </c>
      <c r="G32" s="209" t="s">
        <v>1347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2040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1790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1791</v>
      </c>
      <c r="BZ32" s="117" t="s">
        <v>1345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customHeight="1">
      <c r="A33" s="117"/>
      <c r="B33" s="209" t="s">
        <v>2037</v>
      </c>
      <c r="C33" s="209" t="s">
        <v>2164</v>
      </c>
      <c r="D33" s="209" t="s">
        <v>1297</v>
      </c>
      <c r="E33" s="209" t="s">
        <v>1937</v>
      </c>
      <c r="F33" s="209" t="s">
        <v>1356</v>
      </c>
      <c r="G33" s="209" t="s">
        <v>1139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2040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1064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customHeight="1">
      <c r="A34" s="141"/>
      <c r="B34" s="199" t="s">
        <v>2037</v>
      </c>
      <c r="C34" s="199" t="s">
        <v>2164</v>
      </c>
      <c r="D34" s="199" t="s">
        <v>1297</v>
      </c>
      <c r="E34" s="199" t="s">
        <v>1808</v>
      </c>
      <c r="F34" s="199" t="s">
        <v>1348</v>
      </c>
      <c r="G34" s="199" t="s">
        <v>1097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2040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1933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1064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customHeight="1">
      <c r="A35" s="117"/>
      <c r="B35" s="209" t="s">
        <v>2037</v>
      </c>
      <c r="C35" s="209" t="s">
        <v>2164</v>
      </c>
      <c r="D35" s="209" t="s">
        <v>1297</v>
      </c>
      <c r="E35" s="209" t="s">
        <v>1819</v>
      </c>
      <c r="F35" s="209" t="s">
        <v>1349</v>
      </c>
      <c r="G35" s="209" t="s">
        <v>1350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2040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1790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1791</v>
      </c>
      <c r="BZ35" s="117" t="s">
        <v>1064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customHeight="1">
      <c r="A36" s="117"/>
      <c r="B36" s="209" t="s">
        <v>2037</v>
      </c>
      <c r="C36" s="209" t="s">
        <v>2164</v>
      </c>
      <c r="D36" s="209" t="s">
        <v>1297</v>
      </c>
      <c r="E36" s="209" t="s">
        <v>1820</v>
      </c>
      <c r="F36" s="209" t="s">
        <v>1351</v>
      </c>
      <c r="G36" s="209" t="s">
        <v>1135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2040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1790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1791</v>
      </c>
      <c r="BZ36" s="117" t="s">
        <v>1064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customHeight="1">
      <c r="A37" s="117"/>
      <c r="B37" s="209" t="s">
        <v>2037</v>
      </c>
      <c r="C37" s="209" t="s">
        <v>2164</v>
      </c>
      <c r="D37" s="209" t="s">
        <v>1297</v>
      </c>
      <c r="E37" s="209" t="s">
        <v>1821</v>
      </c>
      <c r="F37" s="209" t="s">
        <v>1352</v>
      </c>
      <c r="G37" s="209" t="s">
        <v>1353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2040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1790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17" t="s">
        <v>1304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customHeight="1">
      <c r="A38" s="117"/>
      <c r="B38" s="209" t="s">
        <v>2037</v>
      </c>
      <c r="C38" s="209" t="s">
        <v>2164</v>
      </c>
      <c r="D38" s="209" t="s">
        <v>1297</v>
      </c>
      <c r="E38" s="209" t="s">
        <v>1809</v>
      </c>
      <c r="F38" s="209" t="s">
        <v>1354</v>
      </c>
      <c r="G38" s="209" t="s">
        <v>1355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2040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1790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1791</v>
      </c>
      <c r="BZ38" s="117" t="s">
        <v>1304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customHeight="1">
      <c r="A39" s="117"/>
      <c r="B39" s="209" t="s">
        <v>2037</v>
      </c>
      <c r="C39" s="209" t="s">
        <v>2164</v>
      </c>
      <c r="D39" s="209" t="s">
        <v>1077</v>
      </c>
      <c r="E39" s="199" t="s">
        <v>1804</v>
      </c>
      <c r="F39" s="199" t="s">
        <v>1337</v>
      </c>
      <c r="G39" s="209" t="s">
        <v>1081</v>
      </c>
      <c r="H39" s="210">
        <v>737</v>
      </c>
      <c r="I39" s="211" t="s">
        <v>1078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2040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1790</v>
      </c>
      <c r="BG39" s="117"/>
      <c r="BH39" s="141" t="s">
        <v>1934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1791</v>
      </c>
      <c r="BZ39" s="117" t="s">
        <v>1292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customHeight="1">
      <c r="A40" s="141"/>
      <c r="B40" s="199" t="s">
        <v>2037</v>
      </c>
      <c r="C40" s="199" t="s">
        <v>2164</v>
      </c>
      <c r="D40" s="199" t="s">
        <v>1130</v>
      </c>
      <c r="E40" s="199" t="s">
        <v>1824</v>
      </c>
      <c r="F40" s="199" t="s">
        <v>1338</v>
      </c>
      <c r="G40" s="199" t="s">
        <v>1129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2040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1790</v>
      </c>
      <c r="BG40" s="141"/>
      <c r="BH40" s="152"/>
      <c r="BI40" s="207"/>
      <c r="BJ40" s="207"/>
      <c r="BK40" s="153" t="s">
        <v>1825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1791</v>
      </c>
      <c r="BZ40" s="141" t="s">
        <v>1339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customHeight="1">
      <c r="A41" s="186"/>
      <c r="B41" s="187" t="s">
        <v>2037</v>
      </c>
      <c r="C41" s="187" t="s">
        <v>2170</v>
      </c>
      <c r="D41" s="187"/>
      <c r="E41" s="187"/>
      <c r="F41" s="187"/>
      <c r="G41" s="187" t="s">
        <v>1938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2040</v>
      </c>
      <c r="AE41" s="196" t="s">
        <v>1788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customHeight="1">
      <c r="A42" s="117"/>
      <c r="B42" s="209" t="s">
        <v>2037</v>
      </c>
      <c r="C42" s="209" t="s">
        <v>2170</v>
      </c>
      <c r="D42" s="209" t="s">
        <v>1085</v>
      </c>
      <c r="E42" s="209" t="s">
        <v>1812</v>
      </c>
      <c r="F42" s="209" t="s">
        <v>1332</v>
      </c>
      <c r="G42" s="209" t="s">
        <v>1294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2040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1790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1791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customHeight="1">
      <c r="A43" s="117"/>
      <c r="B43" s="209" t="s">
        <v>2037</v>
      </c>
      <c r="C43" s="209" t="s">
        <v>2170</v>
      </c>
      <c r="D43" s="209" t="s">
        <v>1297</v>
      </c>
      <c r="E43" s="209" t="s">
        <v>1817</v>
      </c>
      <c r="F43" s="209" t="s">
        <v>1331</v>
      </c>
      <c r="G43" s="209" t="s">
        <v>1320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2040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1790</v>
      </c>
      <c r="BG43" s="117"/>
      <c r="BH43" s="155"/>
      <c r="BI43" s="216"/>
      <c r="BJ43" s="229" t="s">
        <v>1939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1791</v>
      </c>
      <c r="BZ43" s="117" t="s">
        <v>1023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customHeight="1">
      <c r="A44" s="117"/>
      <c r="B44" s="209" t="s">
        <v>2037</v>
      </c>
      <c r="C44" s="209" t="s">
        <v>2170</v>
      </c>
      <c r="D44" s="209" t="s">
        <v>1297</v>
      </c>
      <c r="E44" s="209" t="s">
        <v>1822</v>
      </c>
      <c r="F44" s="209" t="s">
        <v>1333</v>
      </c>
      <c r="G44" s="209" t="s">
        <v>1126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2040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1790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1791</v>
      </c>
      <c r="BZ44" s="117" t="s">
        <v>1304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customHeight="1">
      <c r="A45" s="117"/>
      <c r="B45" s="209" t="s">
        <v>2037</v>
      </c>
      <c r="C45" s="209" t="s">
        <v>2170</v>
      </c>
      <c r="D45" s="209" t="s">
        <v>1297</v>
      </c>
      <c r="E45" s="209" t="s">
        <v>1823</v>
      </c>
      <c r="F45" s="209" t="s">
        <v>1334</v>
      </c>
      <c r="G45" s="209" t="s">
        <v>1124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2040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1791</v>
      </c>
      <c r="BZ45" s="117" t="s">
        <v>1308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customHeight="1">
      <c r="A46" s="117"/>
      <c r="B46" s="209" t="s">
        <v>2037</v>
      </c>
      <c r="C46" s="209" t="s">
        <v>2170</v>
      </c>
      <c r="D46" s="209" t="s">
        <v>1297</v>
      </c>
      <c r="E46" s="209" t="s">
        <v>2041</v>
      </c>
      <c r="F46" s="209" t="s">
        <v>1335</v>
      </c>
      <c r="G46" s="209" t="s">
        <v>1336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2040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1790</v>
      </c>
      <c r="BG46" s="117"/>
      <c r="BH46" s="155"/>
      <c r="BI46" s="216"/>
      <c r="BJ46" s="229" t="s">
        <v>2042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 t="s">
        <v>1318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customHeight="1">
      <c r="A47" s="186"/>
      <c r="B47" s="187" t="s">
        <v>2037</v>
      </c>
      <c r="C47" s="187" t="s">
        <v>2213</v>
      </c>
      <c r="D47" s="187"/>
      <c r="E47" s="187"/>
      <c r="F47" s="187"/>
      <c r="G47" s="187" t="s">
        <v>1940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2040</v>
      </c>
      <c r="AE47" s="196" t="s">
        <v>1788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customHeight="1">
      <c r="A48" s="117"/>
      <c r="B48" s="209" t="s">
        <v>2037</v>
      </c>
      <c r="C48" s="209" t="s">
        <v>2213</v>
      </c>
      <c r="D48" s="209" t="s">
        <v>1085</v>
      </c>
      <c r="E48" s="209" t="s">
        <v>1812</v>
      </c>
      <c r="F48" s="209" t="s">
        <v>1322</v>
      </c>
      <c r="G48" s="209" t="s">
        <v>1294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2040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1790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1791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customHeight="1">
      <c r="A49" s="117"/>
      <c r="B49" s="209" t="s">
        <v>2037</v>
      </c>
      <c r="C49" s="209" t="s">
        <v>2213</v>
      </c>
      <c r="D49" s="209" t="s">
        <v>1297</v>
      </c>
      <c r="E49" s="209" t="s">
        <v>1806</v>
      </c>
      <c r="F49" s="209" t="s">
        <v>1316</v>
      </c>
      <c r="G49" s="209" t="s">
        <v>1317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2040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1790</v>
      </c>
      <c r="BG49" s="117"/>
      <c r="BH49" s="155"/>
      <c r="BI49" s="216"/>
      <c r="BJ49" s="229" t="s">
        <v>1936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1791</v>
      </c>
      <c r="BZ49" s="117" t="s">
        <v>1318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customHeight="1">
      <c r="A50" s="117"/>
      <c r="B50" s="209" t="s">
        <v>2037</v>
      </c>
      <c r="C50" s="209" t="s">
        <v>2213</v>
      </c>
      <c r="D50" s="209" t="s">
        <v>1297</v>
      </c>
      <c r="E50" s="209" t="s">
        <v>1817</v>
      </c>
      <c r="F50" s="209" t="s">
        <v>1319</v>
      </c>
      <c r="G50" s="209" t="s">
        <v>1320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2040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1790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1791</v>
      </c>
      <c r="BZ50" s="117" t="s">
        <v>1023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customHeight="1">
      <c r="A51" s="141"/>
      <c r="B51" s="199" t="s">
        <v>2037</v>
      </c>
      <c r="C51" s="199" t="s">
        <v>2213</v>
      </c>
      <c r="D51" s="199" t="s">
        <v>1297</v>
      </c>
      <c r="E51" s="199" t="s">
        <v>1808</v>
      </c>
      <c r="F51" s="199" t="s">
        <v>1321</v>
      </c>
      <c r="G51" s="199" t="s">
        <v>1097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2040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1790</v>
      </c>
      <c r="BG51" s="141"/>
      <c r="BH51" s="152"/>
      <c r="BI51" s="207"/>
      <c r="BJ51" s="207"/>
      <c r="BK51" s="207"/>
      <c r="BL51" s="153" t="s">
        <v>1933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1791</v>
      </c>
      <c r="BZ51" s="141" t="s">
        <v>1064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customHeight="1">
      <c r="A52" s="117"/>
      <c r="B52" s="209" t="s">
        <v>2037</v>
      </c>
      <c r="C52" s="209" t="s">
        <v>2213</v>
      </c>
      <c r="D52" s="209" t="s">
        <v>1297</v>
      </c>
      <c r="E52" s="209" t="s">
        <v>1810</v>
      </c>
      <c r="F52" s="209" t="s">
        <v>1323</v>
      </c>
      <c r="G52" s="209" t="s">
        <v>1324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2040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1790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1791</v>
      </c>
      <c r="BZ52" s="117" t="s">
        <v>1023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customHeight="1">
      <c r="A53" s="117"/>
      <c r="B53" s="209" t="s">
        <v>2037</v>
      </c>
      <c r="C53" s="209" t="s">
        <v>2213</v>
      </c>
      <c r="D53" s="209" t="s">
        <v>1297</v>
      </c>
      <c r="E53" s="209" t="s">
        <v>1813</v>
      </c>
      <c r="F53" s="209" t="s">
        <v>1325</v>
      </c>
      <c r="G53" s="209" t="s">
        <v>1326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2040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1790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1791</v>
      </c>
      <c r="BZ53" s="117" t="s">
        <v>1023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customHeight="1">
      <c r="A54" s="117"/>
      <c r="B54" s="209" t="s">
        <v>2037</v>
      </c>
      <c r="C54" s="209" t="s">
        <v>2213</v>
      </c>
      <c r="D54" s="209" t="s">
        <v>1297</v>
      </c>
      <c r="E54" s="209" t="s">
        <v>1814</v>
      </c>
      <c r="F54" s="209" t="s">
        <v>1327</v>
      </c>
      <c r="G54" s="209" t="s">
        <v>1328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2040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1790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1791</v>
      </c>
      <c r="BZ54" s="117" t="s">
        <v>1304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customHeight="1">
      <c r="A55" s="117"/>
      <c r="B55" s="209" t="s">
        <v>2037</v>
      </c>
      <c r="C55" s="209" t="s">
        <v>2213</v>
      </c>
      <c r="D55" s="209" t="s">
        <v>1297</v>
      </c>
      <c r="E55" s="209" t="s">
        <v>1942</v>
      </c>
      <c r="F55" s="209" t="s">
        <v>1329</v>
      </c>
      <c r="G55" s="209" t="s">
        <v>1330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2040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1790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1791</v>
      </c>
      <c r="BZ55" s="117" t="s">
        <v>1304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customHeight="1">
      <c r="A56" s="162">
        <v>178</v>
      </c>
      <c r="B56" s="177" t="s">
        <v>2043</v>
      </c>
      <c r="C56" s="177" t="s">
        <v>2214</v>
      </c>
      <c r="D56" s="177" t="s">
        <v>2044</v>
      </c>
      <c r="E56" s="177"/>
      <c r="F56" s="177"/>
      <c r="G56" s="177" t="s">
        <v>2045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2040</v>
      </c>
      <c r="AE56" s="162" t="s">
        <v>143</v>
      </c>
      <c r="AF56" s="181" t="s">
        <v>1784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customHeight="1">
      <c r="A57" s="186"/>
      <c r="B57" s="187" t="s">
        <v>2043</v>
      </c>
      <c r="C57" s="187" t="s">
        <v>2173</v>
      </c>
      <c r="D57" s="187"/>
      <c r="E57" s="187"/>
      <c r="F57" s="187"/>
      <c r="G57" s="187" t="s">
        <v>1947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0.57894736842105265</v>
      </c>
      <c r="Y57" s="192"/>
      <c r="Z57" s="192"/>
      <c r="AA57" s="192"/>
      <c r="AB57" s="192"/>
      <c r="AC57" s="194" t="s">
        <v>196</v>
      </c>
      <c r="AD57" s="195" t="s">
        <v>2040</v>
      </c>
      <c r="AE57" s="196" t="s">
        <v>1788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customHeight="1">
      <c r="A58" s="117"/>
      <c r="B58" s="209" t="s">
        <v>2043</v>
      </c>
      <c r="C58" s="209" t="s">
        <v>2173</v>
      </c>
      <c r="D58" s="209" t="s">
        <v>1085</v>
      </c>
      <c r="E58" s="209" t="s">
        <v>1789</v>
      </c>
      <c r="F58" s="209" t="s">
        <v>1395</v>
      </c>
      <c r="G58" s="209" t="s">
        <v>1396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2040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1790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1791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customHeight="1">
      <c r="A59" s="141"/>
      <c r="B59" s="199" t="s">
        <v>2043</v>
      </c>
      <c r="C59" s="199" t="s">
        <v>2173</v>
      </c>
      <c r="D59" s="199" t="s">
        <v>1085</v>
      </c>
      <c r="E59" s="199" t="s">
        <v>1792</v>
      </c>
      <c r="F59" s="199" t="s">
        <v>1397</v>
      </c>
      <c r="G59" s="199" t="s">
        <v>1398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2040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1790</v>
      </c>
      <c r="BG59" s="141"/>
      <c r="BH59" s="152"/>
      <c r="BI59" s="207"/>
      <c r="BJ59" s="230" t="s">
        <v>1941</v>
      </c>
      <c r="BK59" s="230"/>
      <c r="BL59" s="153" t="s">
        <v>1933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1791</v>
      </c>
      <c r="BZ59" s="141" t="s">
        <v>1399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customHeight="1">
      <c r="A60" s="117"/>
      <c r="B60" s="209" t="s">
        <v>2043</v>
      </c>
      <c r="C60" s="209" t="s">
        <v>2173</v>
      </c>
      <c r="D60" s="209" t="s">
        <v>1085</v>
      </c>
      <c r="E60" s="209" t="s">
        <v>1948</v>
      </c>
      <c r="F60" s="209" t="s">
        <v>1400</v>
      </c>
      <c r="G60" s="209" t="s">
        <v>1398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2040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1790</v>
      </c>
      <c r="BG60" s="117"/>
      <c r="BH60" s="155"/>
      <c r="BI60" s="216"/>
      <c r="BJ60" s="229" t="s">
        <v>1949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1791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customHeight="1">
      <c r="A61" s="117"/>
      <c r="B61" s="209" t="s">
        <v>2043</v>
      </c>
      <c r="C61" s="209" t="s">
        <v>2173</v>
      </c>
      <c r="D61" s="209" t="s">
        <v>1085</v>
      </c>
      <c r="E61" s="209" t="s">
        <v>1793</v>
      </c>
      <c r="F61" s="209" t="s">
        <v>1401</v>
      </c>
      <c r="G61" s="209" t="s">
        <v>1398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2040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1790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1791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customHeight="1">
      <c r="A62" s="117"/>
      <c r="B62" s="209" t="s">
        <v>2043</v>
      </c>
      <c r="C62" s="209" t="s">
        <v>2173</v>
      </c>
      <c r="D62" s="209" t="s">
        <v>1085</v>
      </c>
      <c r="E62" s="209" t="s">
        <v>1950</v>
      </c>
      <c r="F62" s="209" t="s">
        <v>1402</v>
      </c>
      <c r="G62" s="209" t="s">
        <v>1398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2040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1790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1791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customHeight="1">
      <c r="A63" s="117"/>
      <c r="B63" s="209" t="s">
        <v>2043</v>
      </c>
      <c r="C63" s="209" t="s">
        <v>2173</v>
      </c>
      <c r="D63" s="209" t="s">
        <v>1297</v>
      </c>
      <c r="E63" s="209" t="s">
        <v>1794</v>
      </c>
      <c r="F63" s="209" t="s">
        <v>1403</v>
      </c>
      <c r="G63" s="209" t="s">
        <v>1158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2040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1790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1791</v>
      </c>
      <c r="BZ63" s="117" t="s">
        <v>1304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customHeight="1">
      <c r="A64" s="117"/>
      <c r="B64" s="209" t="s">
        <v>2043</v>
      </c>
      <c r="C64" s="209" t="s">
        <v>2173</v>
      </c>
      <c r="D64" s="209" t="s">
        <v>1297</v>
      </c>
      <c r="E64" s="209" t="s">
        <v>1795</v>
      </c>
      <c r="F64" s="209" t="s">
        <v>1404</v>
      </c>
      <c r="G64" s="209" t="s">
        <v>1164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2040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1790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1791</v>
      </c>
      <c r="BZ64" s="117" t="s">
        <v>990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customHeight="1">
      <c r="A65" s="117"/>
      <c r="B65" s="209" t="s">
        <v>2043</v>
      </c>
      <c r="C65" s="209" t="s">
        <v>2173</v>
      </c>
      <c r="D65" s="209" t="s">
        <v>1297</v>
      </c>
      <c r="E65" s="209" t="s">
        <v>1796</v>
      </c>
      <c r="F65" s="209" t="s">
        <v>1405</v>
      </c>
      <c r="G65" s="209" t="s">
        <v>1091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2040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1790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1791</v>
      </c>
      <c r="BZ65" s="117" t="s">
        <v>990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customHeight="1">
      <c r="A66" s="117"/>
      <c r="B66" s="209" t="s">
        <v>2043</v>
      </c>
      <c r="C66" s="209" t="s">
        <v>2173</v>
      </c>
      <c r="D66" s="209" t="s">
        <v>1297</v>
      </c>
      <c r="E66" s="209" t="s">
        <v>1797</v>
      </c>
      <c r="F66" s="209" t="s">
        <v>1406</v>
      </c>
      <c r="G66" s="209" t="s">
        <v>1407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2040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1790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1791</v>
      </c>
      <c r="BZ66" s="117" t="s">
        <v>1023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customHeight="1">
      <c r="A67" s="117"/>
      <c r="B67" s="209" t="s">
        <v>2043</v>
      </c>
      <c r="C67" s="209" t="s">
        <v>2173</v>
      </c>
      <c r="D67" s="209" t="s">
        <v>1297</v>
      </c>
      <c r="E67" s="209" t="s">
        <v>1798</v>
      </c>
      <c r="F67" s="209" t="s">
        <v>1408</v>
      </c>
      <c r="G67" s="209" t="s">
        <v>1409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2040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1790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1791</v>
      </c>
      <c r="BZ67" s="117" t="s">
        <v>1023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customHeight="1">
      <c r="A68" s="117"/>
      <c r="B68" s="209" t="s">
        <v>2043</v>
      </c>
      <c r="C68" s="209" t="s">
        <v>2173</v>
      </c>
      <c r="D68" s="209" t="s">
        <v>1077</v>
      </c>
      <c r="E68" s="209" t="s">
        <v>1803</v>
      </c>
      <c r="F68" s="209" t="s">
        <v>1394</v>
      </c>
      <c r="G68" s="209" t="s">
        <v>1076</v>
      </c>
      <c r="H68" s="210">
        <v>812</v>
      </c>
      <c r="I68" s="211" t="s">
        <v>1078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2040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1790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1791</v>
      </c>
      <c r="BZ68" s="117" t="s">
        <v>1290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customHeight="1">
      <c r="A69" s="186"/>
      <c r="B69" s="187" t="s">
        <v>2043</v>
      </c>
      <c r="C69" s="187" t="s">
        <v>2175</v>
      </c>
      <c r="D69" s="187"/>
      <c r="E69" s="187"/>
      <c r="F69" s="187"/>
      <c r="G69" s="187" t="s">
        <v>1951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2040</v>
      </c>
      <c r="AE69" s="196" t="s">
        <v>1788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customHeight="1">
      <c r="A70" s="117"/>
      <c r="B70" s="209" t="s">
        <v>2043</v>
      </c>
      <c r="C70" s="209" t="s">
        <v>2175</v>
      </c>
      <c r="D70" s="209" t="s">
        <v>1085</v>
      </c>
      <c r="E70" s="209" t="s">
        <v>1799</v>
      </c>
      <c r="F70" s="209" t="s">
        <v>1446</v>
      </c>
      <c r="G70" s="209" t="s">
        <v>1430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2040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1790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1791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customHeight="1">
      <c r="A71" s="141"/>
      <c r="B71" s="199" t="s">
        <v>2043</v>
      </c>
      <c r="C71" s="199" t="s">
        <v>2175</v>
      </c>
      <c r="D71" s="199" t="s">
        <v>1085</v>
      </c>
      <c r="E71" s="199" t="s">
        <v>1800</v>
      </c>
      <c r="F71" s="199" t="s">
        <v>1442</v>
      </c>
      <c r="G71" s="199" t="s">
        <v>1411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2040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1790</v>
      </c>
      <c r="BG71" s="141"/>
      <c r="BH71" s="141"/>
      <c r="BI71" s="153"/>
      <c r="BJ71" s="153"/>
      <c r="BK71" s="153"/>
      <c r="BL71" s="153" t="s">
        <v>1933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 t="s">
        <v>1399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customHeight="1">
      <c r="A72" s="117"/>
      <c r="B72" s="209" t="s">
        <v>2043</v>
      </c>
      <c r="C72" s="209" t="s">
        <v>2175</v>
      </c>
      <c r="D72" s="209" t="s">
        <v>1085</v>
      </c>
      <c r="E72" s="209" t="s">
        <v>1801</v>
      </c>
      <c r="F72" s="209" t="s">
        <v>1443</v>
      </c>
      <c r="G72" s="209" t="s">
        <v>1413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2040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1790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1791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customHeight="1">
      <c r="A73" s="117"/>
      <c r="B73" s="209" t="s">
        <v>2043</v>
      </c>
      <c r="C73" s="209" t="s">
        <v>2175</v>
      </c>
      <c r="D73" s="209" t="s">
        <v>1297</v>
      </c>
      <c r="E73" s="209" t="s">
        <v>1802</v>
      </c>
      <c r="F73" s="209" t="s">
        <v>1444</v>
      </c>
      <c r="G73" s="209" t="s">
        <v>1415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2040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1790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1791</v>
      </c>
      <c r="BZ73" s="117" t="s">
        <v>1023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customHeight="1">
      <c r="A74" s="117"/>
      <c r="B74" s="209" t="s">
        <v>2043</v>
      </c>
      <c r="C74" s="209" t="s">
        <v>2175</v>
      </c>
      <c r="D74" s="209" t="s">
        <v>1297</v>
      </c>
      <c r="E74" s="209" t="s">
        <v>1816</v>
      </c>
      <c r="F74" s="209" t="s">
        <v>1445</v>
      </c>
      <c r="G74" s="209" t="s">
        <v>1417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2040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1790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1791</v>
      </c>
      <c r="BZ74" s="117" t="s">
        <v>1023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customHeight="1">
      <c r="A75" s="186"/>
      <c r="B75" s="187" t="s">
        <v>2043</v>
      </c>
      <c r="C75" s="187" t="s">
        <v>2176</v>
      </c>
      <c r="D75" s="187"/>
      <c r="E75" s="187"/>
      <c r="F75" s="187"/>
      <c r="G75" s="187" t="s">
        <v>1952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0.64102564102564108</v>
      </c>
      <c r="Y75" s="192"/>
      <c r="Z75" s="192"/>
      <c r="AA75" s="192"/>
      <c r="AB75" s="192"/>
      <c r="AC75" s="194" t="s">
        <v>196</v>
      </c>
      <c r="AD75" s="195" t="s">
        <v>2040</v>
      </c>
      <c r="AE75" s="196" t="s">
        <v>1788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customHeight="1">
      <c r="A76" s="117"/>
      <c r="B76" s="209" t="s">
        <v>2043</v>
      </c>
      <c r="C76" s="209" t="s">
        <v>2176</v>
      </c>
      <c r="D76" s="209" t="s">
        <v>1085</v>
      </c>
      <c r="E76" s="209" t="s">
        <v>1806</v>
      </c>
      <c r="F76" s="209" t="s">
        <v>1431</v>
      </c>
      <c r="G76" s="209" t="s">
        <v>1089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2040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1790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1791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customHeight="1">
      <c r="A77" s="141"/>
      <c r="B77" s="199" t="s">
        <v>2043</v>
      </c>
      <c r="C77" s="199" t="s">
        <v>2176</v>
      </c>
      <c r="D77" s="199" t="s">
        <v>1085</v>
      </c>
      <c r="E77" s="199" t="s">
        <v>1817</v>
      </c>
      <c r="F77" s="199" t="s">
        <v>1432</v>
      </c>
      <c r="G77" s="199" t="s">
        <v>1433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2040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1790</v>
      </c>
      <c r="BG77" s="141"/>
      <c r="BH77" s="141"/>
      <c r="BI77" s="153"/>
      <c r="BJ77" s="153"/>
      <c r="BK77" s="153"/>
      <c r="BL77" s="153" t="s">
        <v>1933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1399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customHeight="1">
      <c r="A78" s="117"/>
      <c r="B78" s="209" t="s">
        <v>2043</v>
      </c>
      <c r="C78" s="209" t="s">
        <v>2176</v>
      </c>
      <c r="D78" s="209" t="s">
        <v>1085</v>
      </c>
      <c r="E78" s="209" t="s">
        <v>1818</v>
      </c>
      <c r="F78" s="209" t="s">
        <v>1434</v>
      </c>
      <c r="G78" s="209" t="s">
        <v>1435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2040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1790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1791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customHeight="1">
      <c r="A79" s="117"/>
      <c r="B79" s="209" t="s">
        <v>2043</v>
      </c>
      <c r="C79" s="209" t="s">
        <v>2176</v>
      </c>
      <c r="D79" s="209" t="s">
        <v>1297</v>
      </c>
      <c r="E79" s="209" t="s">
        <v>1807</v>
      </c>
      <c r="F79" s="209" t="s">
        <v>1436</v>
      </c>
      <c r="G79" s="209" t="s">
        <v>1437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2040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1790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1791</v>
      </c>
      <c r="BZ79" s="117" t="s">
        <v>1023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customHeight="1">
      <c r="A80" s="117"/>
      <c r="B80" s="209" t="s">
        <v>2043</v>
      </c>
      <c r="C80" s="209" t="s">
        <v>2176</v>
      </c>
      <c r="D80" s="209" t="s">
        <v>1297</v>
      </c>
      <c r="E80" s="209" t="s">
        <v>1808</v>
      </c>
      <c r="F80" s="209" t="s">
        <v>1438</v>
      </c>
      <c r="G80" s="209" t="s">
        <v>1439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2040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1790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1791</v>
      </c>
      <c r="BZ80" s="117" t="s">
        <v>1023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customHeight="1">
      <c r="A81" s="117"/>
      <c r="B81" s="209" t="s">
        <v>2043</v>
      </c>
      <c r="C81" s="209" t="s">
        <v>2176</v>
      </c>
      <c r="D81" s="209" t="s">
        <v>1297</v>
      </c>
      <c r="E81" s="209" t="s">
        <v>1819</v>
      </c>
      <c r="F81" s="209" t="s">
        <v>1440</v>
      </c>
      <c r="G81" s="209" t="s">
        <v>1126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2040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1790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1791</v>
      </c>
      <c r="BZ81" s="117" t="s">
        <v>1304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customHeight="1">
      <c r="A82" s="117"/>
      <c r="B82" s="209" t="s">
        <v>2043</v>
      </c>
      <c r="C82" s="209" t="s">
        <v>2176</v>
      </c>
      <c r="D82" s="209" t="s">
        <v>1297</v>
      </c>
      <c r="E82" s="209" t="s">
        <v>1820</v>
      </c>
      <c r="F82" s="209" t="s">
        <v>1441</v>
      </c>
      <c r="G82" s="209" t="s">
        <v>1124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2040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1790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1791</v>
      </c>
      <c r="BZ82" s="117" t="s">
        <v>1308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customHeight="1">
      <c r="A83" s="186"/>
      <c r="B83" s="187" t="s">
        <v>2043</v>
      </c>
      <c r="C83" s="187" t="s">
        <v>2215</v>
      </c>
      <c r="D83" s="187"/>
      <c r="E83" s="187"/>
      <c r="F83" s="187"/>
      <c r="G83" s="187" t="s">
        <v>2046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2040</v>
      </c>
      <c r="AE83" s="196" t="s">
        <v>1788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customHeight="1">
      <c r="A84" s="117"/>
      <c r="B84" s="209" t="s">
        <v>2043</v>
      </c>
      <c r="C84" s="209" t="s">
        <v>2215</v>
      </c>
      <c r="D84" s="209" t="s">
        <v>1085</v>
      </c>
      <c r="E84" s="209" t="s">
        <v>1799</v>
      </c>
      <c r="F84" s="209" t="s">
        <v>1429</v>
      </c>
      <c r="G84" s="209" t="s">
        <v>1430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2040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1790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1791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customHeight="1">
      <c r="A85" s="141"/>
      <c r="B85" s="199" t="s">
        <v>2043</v>
      </c>
      <c r="C85" s="199" t="s">
        <v>2215</v>
      </c>
      <c r="D85" s="199" t="s">
        <v>1085</v>
      </c>
      <c r="E85" s="199" t="s">
        <v>1800</v>
      </c>
      <c r="F85" s="199" t="s">
        <v>1410</v>
      </c>
      <c r="G85" s="199" t="s">
        <v>1411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2040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1790</v>
      </c>
      <c r="BG85" s="141"/>
      <c r="BH85" s="141"/>
      <c r="BI85" s="153"/>
      <c r="BJ85" s="153"/>
      <c r="BK85" s="153"/>
      <c r="BL85" s="153" t="s">
        <v>1933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1791</v>
      </c>
      <c r="BZ85" s="141" t="s">
        <v>1399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customHeight="1">
      <c r="A86" s="117"/>
      <c r="B86" s="209" t="s">
        <v>2043</v>
      </c>
      <c r="C86" s="209" t="s">
        <v>2215</v>
      </c>
      <c r="D86" s="209" t="s">
        <v>1085</v>
      </c>
      <c r="E86" s="209" t="s">
        <v>1801</v>
      </c>
      <c r="F86" s="209" t="s">
        <v>1412</v>
      </c>
      <c r="G86" s="209" t="s">
        <v>1413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2040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1790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customHeight="1">
      <c r="A87" s="141"/>
      <c r="B87" s="199" t="s">
        <v>2043</v>
      </c>
      <c r="C87" s="199" t="s">
        <v>2215</v>
      </c>
      <c r="D87" s="199" t="s">
        <v>1297</v>
      </c>
      <c r="E87" s="199" t="s">
        <v>1802</v>
      </c>
      <c r="F87" s="199" t="s">
        <v>1414</v>
      </c>
      <c r="G87" s="199" t="s">
        <v>1415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2040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1790</v>
      </c>
      <c r="BG87" s="141"/>
      <c r="BH87" s="152"/>
      <c r="BI87" s="207"/>
      <c r="BJ87" s="207"/>
      <c r="BK87" s="207"/>
      <c r="BL87" s="153" t="s">
        <v>1933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1791</v>
      </c>
      <c r="BZ87" s="141" t="s">
        <v>1023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customHeight="1">
      <c r="A88" s="141"/>
      <c r="B88" s="199" t="s">
        <v>2043</v>
      </c>
      <c r="C88" s="199" t="s">
        <v>2215</v>
      </c>
      <c r="D88" s="199" t="s">
        <v>1297</v>
      </c>
      <c r="E88" s="199" t="s">
        <v>1816</v>
      </c>
      <c r="F88" s="199" t="s">
        <v>1416</v>
      </c>
      <c r="G88" s="199" t="s">
        <v>1417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2040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1790</v>
      </c>
      <c r="BG88" s="141"/>
      <c r="BH88" s="152"/>
      <c r="BI88" s="207"/>
      <c r="BJ88" s="207"/>
      <c r="BK88" s="207"/>
      <c r="BL88" s="153" t="s">
        <v>1933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1791</v>
      </c>
      <c r="BZ88" s="141" t="s">
        <v>1023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customHeight="1">
      <c r="A89" s="117"/>
      <c r="B89" s="209" t="s">
        <v>2043</v>
      </c>
      <c r="C89" s="209" t="s">
        <v>2215</v>
      </c>
      <c r="D89" s="209" t="s">
        <v>1297</v>
      </c>
      <c r="E89" s="209" t="s">
        <v>1821</v>
      </c>
      <c r="F89" s="209" t="s">
        <v>1418</v>
      </c>
      <c r="G89" s="209" t="s">
        <v>1419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2040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1790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 t="s">
        <v>1023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customHeight="1">
      <c r="A90" s="117"/>
      <c r="B90" s="209" t="s">
        <v>2043</v>
      </c>
      <c r="C90" s="209" t="s">
        <v>2215</v>
      </c>
      <c r="D90" s="209" t="s">
        <v>1297</v>
      </c>
      <c r="E90" s="209" t="s">
        <v>1809</v>
      </c>
      <c r="F90" s="209" t="s">
        <v>1420</v>
      </c>
      <c r="G90" s="209" t="s">
        <v>1421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2040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1790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1791</v>
      </c>
      <c r="BZ90" s="117" t="s">
        <v>1023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customHeight="1">
      <c r="A91" s="117"/>
      <c r="B91" s="209" t="s">
        <v>2043</v>
      </c>
      <c r="C91" s="209" t="s">
        <v>2215</v>
      </c>
      <c r="D91" s="209" t="s">
        <v>1297</v>
      </c>
      <c r="E91" s="209" t="s">
        <v>1812</v>
      </c>
      <c r="F91" s="209" t="s">
        <v>1422</v>
      </c>
      <c r="G91" s="209" t="s">
        <v>1423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2040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1790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1791</v>
      </c>
      <c r="BZ91" s="117" t="s">
        <v>1304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customHeight="1">
      <c r="A92" s="117"/>
      <c r="B92" s="209" t="s">
        <v>2043</v>
      </c>
      <c r="C92" s="209" t="s">
        <v>2215</v>
      </c>
      <c r="D92" s="209" t="s">
        <v>1297</v>
      </c>
      <c r="E92" s="209" t="s">
        <v>1822</v>
      </c>
      <c r="F92" s="209" t="s">
        <v>1424</v>
      </c>
      <c r="G92" s="209" t="s">
        <v>1425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2040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1790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1023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customHeight="1">
      <c r="A93" s="117"/>
      <c r="B93" s="209" t="s">
        <v>2043</v>
      </c>
      <c r="C93" s="209" t="s">
        <v>2215</v>
      </c>
      <c r="D93" s="209" t="s">
        <v>1297</v>
      </c>
      <c r="E93" s="209" t="s">
        <v>1823</v>
      </c>
      <c r="F93" s="209" t="s">
        <v>1426</v>
      </c>
      <c r="G93" s="209" t="s">
        <v>1427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2040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1790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1791</v>
      </c>
      <c r="BZ93" s="117" t="s">
        <v>1023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customHeight="1">
      <c r="A94" s="117"/>
      <c r="B94" s="209" t="s">
        <v>2043</v>
      </c>
      <c r="C94" s="209" t="s">
        <v>2215</v>
      </c>
      <c r="D94" s="209" t="s">
        <v>1297</v>
      </c>
      <c r="E94" s="209" t="s">
        <v>1810</v>
      </c>
      <c r="F94" s="209" t="s">
        <v>1428</v>
      </c>
      <c r="G94" s="209" t="s">
        <v>1328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2040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1790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17" t="s">
        <v>1304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customHeight="1">
      <c r="A95" s="162">
        <v>179</v>
      </c>
      <c r="B95" s="177" t="s">
        <v>2047</v>
      </c>
      <c r="C95" s="177" t="s">
        <v>2216</v>
      </c>
      <c r="D95" s="177" t="s">
        <v>2048</v>
      </c>
      <c r="E95" s="177"/>
      <c r="F95" s="177"/>
      <c r="G95" s="177" t="s">
        <v>2049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2040</v>
      </c>
      <c r="AE95" s="162" t="s">
        <v>143</v>
      </c>
      <c r="AF95" s="181" t="s">
        <v>1784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customHeight="1">
      <c r="A96" s="186"/>
      <c r="B96" s="187" t="s">
        <v>2047</v>
      </c>
      <c r="C96" s="187" t="s">
        <v>2179</v>
      </c>
      <c r="D96" s="187"/>
      <c r="E96" s="187"/>
      <c r="F96" s="187"/>
      <c r="G96" s="187" t="s">
        <v>1957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0.62365591397849462</v>
      </c>
      <c r="Y96" s="192"/>
      <c r="Z96" s="192"/>
      <c r="AA96" s="192"/>
      <c r="AB96" s="192"/>
      <c r="AC96" s="194" t="s">
        <v>196</v>
      </c>
      <c r="AD96" s="195" t="s">
        <v>2040</v>
      </c>
      <c r="AE96" s="196" t="s">
        <v>1788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customHeight="1">
      <c r="A97" s="117"/>
      <c r="B97" s="209" t="s">
        <v>2047</v>
      </c>
      <c r="C97" s="209" t="s">
        <v>2179</v>
      </c>
      <c r="D97" s="209" t="s">
        <v>1085</v>
      </c>
      <c r="E97" s="209" t="s">
        <v>1789</v>
      </c>
      <c r="F97" s="209" t="s">
        <v>1477</v>
      </c>
      <c r="G97" s="209" t="s">
        <v>1478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2040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1790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1791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customHeight="1">
      <c r="A98" s="141"/>
      <c r="B98" s="199" t="s">
        <v>2047</v>
      </c>
      <c r="C98" s="199" t="s">
        <v>2179</v>
      </c>
      <c r="D98" s="199" t="s">
        <v>1297</v>
      </c>
      <c r="E98" s="199" t="s">
        <v>1792</v>
      </c>
      <c r="F98" s="199" t="s">
        <v>1486</v>
      </c>
      <c r="G98" s="199" t="s">
        <v>1229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2040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1790</v>
      </c>
      <c r="BG98" s="141"/>
      <c r="BH98" s="152"/>
      <c r="BI98" s="207"/>
      <c r="BJ98" s="207"/>
      <c r="BK98" s="207"/>
      <c r="BL98" s="153" t="s">
        <v>1933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1791</v>
      </c>
      <c r="BZ98" s="141" t="s">
        <v>1064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customHeight="1">
      <c r="A99" s="117"/>
      <c r="B99" s="209" t="s">
        <v>2047</v>
      </c>
      <c r="C99" s="209" t="s">
        <v>2179</v>
      </c>
      <c r="D99" s="209" t="s">
        <v>1297</v>
      </c>
      <c r="E99" s="209" t="s">
        <v>1793</v>
      </c>
      <c r="F99" s="209" t="s">
        <v>1487</v>
      </c>
      <c r="G99" s="209" t="s">
        <v>1488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2040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1790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17" t="s">
        <v>1308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customHeight="1">
      <c r="A100" s="117"/>
      <c r="B100" s="209" t="s">
        <v>2047</v>
      </c>
      <c r="C100" s="209" t="s">
        <v>2179</v>
      </c>
      <c r="D100" s="209" t="s">
        <v>1297</v>
      </c>
      <c r="E100" s="209" t="s">
        <v>1794</v>
      </c>
      <c r="F100" s="209" t="s">
        <v>1489</v>
      </c>
      <c r="G100" s="209" t="s">
        <v>1490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2040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1790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17" t="s">
        <v>1308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customHeight="1">
      <c r="A101" s="117"/>
      <c r="B101" s="209" t="s">
        <v>2047</v>
      </c>
      <c r="C101" s="209" t="s">
        <v>2179</v>
      </c>
      <c r="D101" s="209" t="s">
        <v>1297</v>
      </c>
      <c r="E101" s="209" t="s">
        <v>1958</v>
      </c>
      <c r="F101" s="209" t="s">
        <v>1491</v>
      </c>
      <c r="G101" s="209" t="s">
        <v>1490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2040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1790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17" t="s">
        <v>1308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customHeight="1">
      <c r="A102" s="117"/>
      <c r="B102" s="209" t="s">
        <v>2047</v>
      </c>
      <c r="C102" s="209" t="s">
        <v>2179</v>
      </c>
      <c r="D102" s="209" t="s">
        <v>1297</v>
      </c>
      <c r="E102" s="209" t="s">
        <v>1795</v>
      </c>
      <c r="F102" s="209" t="s">
        <v>1492</v>
      </c>
      <c r="G102" s="209" t="s">
        <v>1200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2040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1790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17" t="s">
        <v>1061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customHeight="1">
      <c r="A103" s="117"/>
      <c r="B103" s="209" t="s">
        <v>2047</v>
      </c>
      <c r="C103" s="209" t="s">
        <v>2179</v>
      </c>
      <c r="D103" s="209" t="s">
        <v>1297</v>
      </c>
      <c r="E103" s="209" t="s">
        <v>1796</v>
      </c>
      <c r="F103" s="209" t="s">
        <v>1493</v>
      </c>
      <c r="G103" s="209" t="s">
        <v>1494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2040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1790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17" t="s">
        <v>1064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customHeight="1">
      <c r="A104" s="141"/>
      <c r="B104" s="199" t="s">
        <v>2047</v>
      </c>
      <c r="C104" s="199" t="s">
        <v>2179</v>
      </c>
      <c r="D104" s="199" t="s">
        <v>1085</v>
      </c>
      <c r="E104" s="199" t="s">
        <v>1797</v>
      </c>
      <c r="F104" s="199" t="s">
        <v>1495</v>
      </c>
      <c r="G104" s="199" t="s">
        <v>1496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2040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1790</v>
      </c>
      <c r="BG104" s="141"/>
      <c r="BH104" s="152"/>
      <c r="BI104" s="207"/>
      <c r="BJ104" s="207"/>
      <c r="BK104" s="207"/>
      <c r="BL104" s="153" t="s">
        <v>1933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1791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customHeight="1">
      <c r="A105" s="117"/>
      <c r="B105" s="209" t="s">
        <v>2047</v>
      </c>
      <c r="C105" s="209" t="s">
        <v>2179</v>
      </c>
      <c r="D105" s="209" t="s">
        <v>1297</v>
      </c>
      <c r="E105" s="209" t="s">
        <v>1798</v>
      </c>
      <c r="F105" s="209" t="s">
        <v>1497</v>
      </c>
      <c r="G105" s="209" t="s">
        <v>1498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2040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1790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1791</v>
      </c>
      <c r="BZ105" s="117" t="s">
        <v>1064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customHeight="1">
      <c r="A106" s="117"/>
      <c r="B106" s="209" t="s">
        <v>2047</v>
      </c>
      <c r="C106" s="209" t="s">
        <v>2179</v>
      </c>
      <c r="D106" s="209" t="s">
        <v>1077</v>
      </c>
      <c r="E106" s="209" t="s">
        <v>1799</v>
      </c>
      <c r="F106" s="209" t="s">
        <v>1499</v>
      </c>
      <c r="G106" s="209" t="s">
        <v>1158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2040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1790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17" t="s">
        <v>1304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customHeight="1">
      <c r="A107" s="117"/>
      <c r="B107" s="209" t="s">
        <v>2047</v>
      </c>
      <c r="C107" s="209" t="s">
        <v>2179</v>
      </c>
      <c r="D107" s="209" t="s">
        <v>1085</v>
      </c>
      <c r="E107" s="209" t="s">
        <v>1800</v>
      </c>
      <c r="F107" s="209" t="s">
        <v>1479</v>
      </c>
      <c r="G107" s="209" t="s">
        <v>1480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2040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1790</v>
      </c>
      <c r="BG107" s="117"/>
      <c r="BH107" s="155"/>
      <c r="BI107" s="230" t="s">
        <v>1959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1791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customHeight="1">
      <c r="A108" s="117"/>
      <c r="B108" s="209" t="s">
        <v>2047</v>
      </c>
      <c r="C108" s="209" t="s">
        <v>2179</v>
      </c>
      <c r="D108" s="209" t="s">
        <v>1085</v>
      </c>
      <c r="E108" s="209" t="s">
        <v>1837</v>
      </c>
      <c r="F108" s="209" t="s">
        <v>1481</v>
      </c>
      <c r="G108" s="209" t="s">
        <v>1480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2040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1790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customHeight="1">
      <c r="A109" s="117"/>
      <c r="B109" s="209" t="s">
        <v>2047</v>
      </c>
      <c r="C109" s="209" t="s">
        <v>2179</v>
      </c>
      <c r="D109" s="209" t="s">
        <v>1297</v>
      </c>
      <c r="E109" s="209" t="s">
        <v>1801</v>
      </c>
      <c r="F109" s="209" t="s">
        <v>1482</v>
      </c>
      <c r="G109" s="209" t="s">
        <v>1483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2040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1790</v>
      </c>
      <c r="BG109" s="117"/>
      <c r="BH109" s="155"/>
      <c r="BI109" s="216"/>
      <c r="BJ109" s="229" t="s">
        <v>1960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1791</v>
      </c>
      <c r="BZ109" s="117" t="s">
        <v>1023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customHeight="1">
      <c r="A110" s="117"/>
      <c r="B110" s="209" t="s">
        <v>2047</v>
      </c>
      <c r="C110" s="209" t="s">
        <v>2179</v>
      </c>
      <c r="D110" s="209" t="s">
        <v>1297</v>
      </c>
      <c r="E110" s="209" t="s">
        <v>1931</v>
      </c>
      <c r="F110" s="209" t="s">
        <v>1484</v>
      </c>
      <c r="G110" s="209" t="s">
        <v>1483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2040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1790</v>
      </c>
      <c r="BG110" s="117"/>
      <c r="BH110" s="155"/>
      <c r="BI110" s="216"/>
      <c r="BJ110" s="229" t="s">
        <v>1932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1791</v>
      </c>
      <c r="BZ110" s="117" t="s">
        <v>1023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customHeight="1">
      <c r="A111" s="117"/>
      <c r="B111" s="209" t="s">
        <v>2047</v>
      </c>
      <c r="C111" s="209" t="s">
        <v>2179</v>
      </c>
      <c r="D111" s="209" t="s">
        <v>1297</v>
      </c>
      <c r="E111" s="209" t="s">
        <v>1802</v>
      </c>
      <c r="F111" s="209" t="s">
        <v>1485</v>
      </c>
      <c r="G111" s="209" t="s">
        <v>1164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2040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1790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 t="s">
        <v>990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customHeight="1">
      <c r="A112" s="117"/>
      <c r="B112" s="209" t="s">
        <v>2047</v>
      </c>
      <c r="C112" s="209" t="s">
        <v>2179</v>
      </c>
      <c r="D112" s="209" t="s">
        <v>1077</v>
      </c>
      <c r="E112" s="209" t="s">
        <v>1803</v>
      </c>
      <c r="F112" s="209" t="s">
        <v>1476</v>
      </c>
      <c r="G112" s="209" t="s">
        <v>1076</v>
      </c>
      <c r="H112" s="210">
        <v>812</v>
      </c>
      <c r="I112" s="211" t="s">
        <v>1078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2040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1790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1791</v>
      </c>
      <c r="BZ112" s="117" t="s">
        <v>1290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customHeight="1">
      <c r="A113" s="186"/>
      <c r="B113" s="187" t="s">
        <v>2047</v>
      </c>
      <c r="C113" s="187" t="s">
        <v>2181</v>
      </c>
      <c r="D113" s="187"/>
      <c r="E113" s="187"/>
      <c r="F113" s="187"/>
      <c r="G113" s="187" t="s">
        <v>1961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0.66666666666666663</v>
      </c>
      <c r="Y113" s="192"/>
      <c r="Z113" s="192"/>
      <c r="AA113" s="192"/>
      <c r="AB113" s="192"/>
      <c r="AC113" s="194" t="s">
        <v>196</v>
      </c>
      <c r="AD113" s="195" t="s">
        <v>2040</v>
      </c>
      <c r="AE113" s="196" t="s">
        <v>1788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customHeight="1">
      <c r="A114" s="117"/>
      <c r="B114" s="209" t="s">
        <v>2047</v>
      </c>
      <c r="C114" s="209" t="s">
        <v>2181</v>
      </c>
      <c r="D114" s="209" t="s">
        <v>1085</v>
      </c>
      <c r="E114" s="209" t="s">
        <v>1789</v>
      </c>
      <c r="F114" s="209" t="s">
        <v>1531</v>
      </c>
      <c r="G114" s="209" t="s">
        <v>1478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2040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1790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1791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customHeight="1">
      <c r="A115" s="117"/>
      <c r="B115" s="209" t="s">
        <v>2047</v>
      </c>
      <c r="C115" s="209" t="s">
        <v>2181</v>
      </c>
      <c r="D115" s="209" t="s">
        <v>1297</v>
      </c>
      <c r="E115" s="209" t="s">
        <v>1796</v>
      </c>
      <c r="F115" s="209" t="s">
        <v>1537</v>
      </c>
      <c r="G115" s="209" t="s">
        <v>1494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2040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1790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1791</v>
      </c>
      <c r="BZ115" s="117" t="s">
        <v>1064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customHeight="1">
      <c r="A116" s="117"/>
      <c r="B116" s="209" t="s">
        <v>2047</v>
      </c>
      <c r="C116" s="209" t="s">
        <v>2181</v>
      </c>
      <c r="D116" s="209" t="s">
        <v>1297</v>
      </c>
      <c r="E116" s="209" t="s">
        <v>1816</v>
      </c>
      <c r="F116" s="209" t="s">
        <v>1532</v>
      </c>
      <c r="G116" s="209" t="s">
        <v>1502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2040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1790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1791</v>
      </c>
      <c r="BZ116" s="117" t="s">
        <v>1064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customHeight="1">
      <c r="A117" s="117"/>
      <c r="B117" s="209" t="s">
        <v>2047</v>
      </c>
      <c r="C117" s="209" t="s">
        <v>2181</v>
      </c>
      <c r="D117" s="209" t="s">
        <v>1297</v>
      </c>
      <c r="E117" s="209" t="s">
        <v>1806</v>
      </c>
      <c r="F117" s="209" t="s">
        <v>1533</v>
      </c>
      <c r="G117" s="209" t="s">
        <v>1504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2040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1790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1791</v>
      </c>
      <c r="BZ117" s="117" t="s">
        <v>1308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customHeight="1">
      <c r="A118" s="117"/>
      <c r="B118" s="209" t="s">
        <v>2047</v>
      </c>
      <c r="C118" s="209" t="s">
        <v>2181</v>
      </c>
      <c r="D118" s="209" t="s">
        <v>1085</v>
      </c>
      <c r="E118" s="209" t="s">
        <v>1817</v>
      </c>
      <c r="F118" s="209" t="s">
        <v>1534</v>
      </c>
      <c r="G118" s="209" t="s">
        <v>1506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2040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1790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1791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customHeight="1">
      <c r="A119" s="117"/>
      <c r="B119" s="209" t="s">
        <v>2047</v>
      </c>
      <c r="C119" s="209" t="s">
        <v>2181</v>
      </c>
      <c r="D119" s="209" t="s">
        <v>1085</v>
      </c>
      <c r="E119" s="209" t="s">
        <v>1818</v>
      </c>
      <c r="F119" s="209" t="s">
        <v>1535</v>
      </c>
      <c r="G119" s="209" t="s">
        <v>1496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2040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1790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1791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customHeight="1">
      <c r="A120" s="117"/>
      <c r="B120" s="209" t="s">
        <v>2047</v>
      </c>
      <c r="C120" s="209" t="s">
        <v>2181</v>
      </c>
      <c r="D120" s="209" t="s">
        <v>1297</v>
      </c>
      <c r="E120" s="209" t="s">
        <v>1807</v>
      </c>
      <c r="F120" s="209" t="s">
        <v>1536</v>
      </c>
      <c r="G120" s="209" t="s">
        <v>1509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2040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1790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1791</v>
      </c>
      <c r="BZ120" s="117" t="s">
        <v>1023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customHeight="1">
      <c r="A121" s="186"/>
      <c r="B121" s="187" t="s">
        <v>2047</v>
      </c>
      <c r="C121" s="187" t="s">
        <v>2182</v>
      </c>
      <c r="D121" s="187"/>
      <c r="E121" s="187"/>
      <c r="F121" s="187"/>
      <c r="G121" s="187" t="s">
        <v>1962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0.61538461538461542</v>
      </c>
      <c r="Y121" s="192"/>
      <c r="Z121" s="192"/>
      <c r="AA121" s="192"/>
      <c r="AB121" s="192"/>
      <c r="AC121" s="194" t="s">
        <v>196</v>
      </c>
      <c r="AD121" s="195" t="s">
        <v>2040</v>
      </c>
      <c r="AE121" s="196" t="s">
        <v>1788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customHeight="1">
      <c r="A122" s="117"/>
      <c r="B122" s="209" t="s">
        <v>2047</v>
      </c>
      <c r="C122" s="209" t="s">
        <v>2182</v>
      </c>
      <c r="D122" s="209" t="s">
        <v>1085</v>
      </c>
      <c r="E122" s="209" t="s">
        <v>1789</v>
      </c>
      <c r="F122" s="209" t="s">
        <v>1521</v>
      </c>
      <c r="G122" s="209" t="s">
        <v>1478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2040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1790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1791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customHeight="1">
      <c r="A123" s="117"/>
      <c r="B123" s="209" t="s">
        <v>2047</v>
      </c>
      <c r="C123" s="209" t="s">
        <v>2182</v>
      </c>
      <c r="D123" s="209" t="s">
        <v>1297</v>
      </c>
      <c r="E123" s="209" t="s">
        <v>1796</v>
      </c>
      <c r="F123" s="209" t="s">
        <v>1530</v>
      </c>
      <c r="G123" s="209" t="s">
        <v>1494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2040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1790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1791</v>
      </c>
      <c r="BZ123" s="117" t="s">
        <v>1064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customHeight="1">
      <c r="A124" s="117"/>
      <c r="B124" s="209" t="s">
        <v>2047</v>
      </c>
      <c r="C124" s="209" t="s">
        <v>2182</v>
      </c>
      <c r="D124" s="209" t="s">
        <v>1085</v>
      </c>
      <c r="E124" s="209" t="s">
        <v>1818</v>
      </c>
      <c r="F124" s="209" t="s">
        <v>1522</v>
      </c>
      <c r="G124" s="209" t="s">
        <v>1496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2040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1790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1791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customHeight="1">
      <c r="A125" s="117"/>
      <c r="B125" s="209" t="s">
        <v>2047</v>
      </c>
      <c r="C125" s="209" t="s">
        <v>2182</v>
      </c>
      <c r="D125" s="209" t="s">
        <v>1297</v>
      </c>
      <c r="E125" s="209" t="s">
        <v>1807</v>
      </c>
      <c r="F125" s="209" t="s">
        <v>1523</v>
      </c>
      <c r="G125" s="209" t="s">
        <v>1509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2040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1790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1791</v>
      </c>
      <c r="BZ125" s="117" t="s">
        <v>1023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customHeight="1">
      <c r="A126" s="117"/>
      <c r="B126" s="209" t="s">
        <v>2047</v>
      </c>
      <c r="C126" s="209" t="s">
        <v>2182</v>
      </c>
      <c r="D126" s="209" t="s">
        <v>1297</v>
      </c>
      <c r="E126" s="209" t="s">
        <v>1808</v>
      </c>
      <c r="F126" s="209" t="s">
        <v>1524</v>
      </c>
      <c r="G126" s="209" t="s">
        <v>1525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2040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1790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1791</v>
      </c>
      <c r="BZ126" s="117" t="s">
        <v>1308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customHeight="1">
      <c r="A127" s="117"/>
      <c r="B127" s="209" t="s">
        <v>2047</v>
      </c>
      <c r="C127" s="209" t="s">
        <v>2182</v>
      </c>
      <c r="D127" s="209" t="s">
        <v>1085</v>
      </c>
      <c r="E127" s="209" t="s">
        <v>1819</v>
      </c>
      <c r="F127" s="209" t="s">
        <v>1526</v>
      </c>
      <c r="G127" s="209" t="s">
        <v>1527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2040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1790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1791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customHeight="1">
      <c r="A128" s="117"/>
      <c r="B128" s="209" t="s">
        <v>2047</v>
      </c>
      <c r="C128" s="209" t="s">
        <v>2182</v>
      </c>
      <c r="D128" s="209" t="s">
        <v>1297</v>
      </c>
      <c r="E128" s="209" t="s">
        <v>1820</v>
      </c>
      <c r="F128" s="209" t="s">
        <v>1528</v>
      </c>
      <c r="G128" s="209" t="s">
        <v>1126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2040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1790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1791</v>
      </c>
      <c r="BZ128" s="117" t="s">
        <v>1304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customHeight="1">
      <c r="A129" s="117"/>
      <c r="B129" s="209" t="s">
        <v>2047</v>
      </c>
      <c r="C129" s="209" t="s">
        <v>2182</v>
      </c>
      <c r="D129" s="209" t="s">
        <v>1297</v>
      </c>
      <c r="E129" s="209" t="s">
        <v>1821</v>
      </c>
      <c r="F129" s="209" t="s">
        <v>1529</v>
      </c>
      <c r="G129" s="209" t="s">
        <v>1124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2040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1790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1791</v>
      </c>
      <c r="BZ129" s="117" t="s">
        <v>1308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customHeight="1">
      <c r="A130" s="186"/>
      <c r="B130" s="187" t="s">
        <v>2047</v>
      </c>
      <c r="C130" s="187" t="s">
        <v>2217</v>
      </c>
      <c r="D130" s="187"/>
      <c r="E130" s="187"/>
      <c r="F130" s="187"/>
      <c r="G130" s="187" t="s">
        <v>2050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2040</v>
      </c>
      <c r="AE130" s="196" t="s">
        <v>1788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customHeight="1">
      <c r="A131" s="117"/>
      <c r="B131" s="209" t="s">
        <v>2047</v>
      </c>
      <c r="C131" s="209" t="s">
        <v>2217</v>
      </c>
      <c r="D131" s="209" t="s">
        <v>1085</v>
      </c>
      <c r="E131" s="209" t="s">
        <v>1789</v>
      </c>
      <c r="F131" s="209" t="s">
        <v>1500</v>
      </c>
      <c r="G131" s="209" t="s">
        <v>1478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2040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1790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1791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customHeight="1">
      <c r="A132" s="117"/>
      <c r="B132" s="209" t="s">
        <v>2047</v>
      </c>
      <c r="C132" s="209" t="s">
        <v>2217</v>
      </c>
      <c r="D132" s="209" t="s">
        <v>1297</v>
      </c>
      <c r="E132" s="209" t="s">
        <v>1816</v>
      </c>
      <c r="F132" s="209" t="s">
        <v>1501</v>
      </c>
      <c r="G132" s="209" t="s">
        <v>1502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2040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1790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1791</v>
      </c>
      <c r="BZ132" s="117" t="s">
        <v>1064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customHeight="1">
      <c r="A133" s="117"/>
      <c r="B133" s="209" t="s">
        <v>2047</v>
      </c>
      <c r="C133" s="209" t="s">
        <v>2217</v>
      </c>
      <c r="D133" s="209" t="s">
        <v>1297</v>
      </c>
      <c r="E133" s="209" t="s">
        <v>1806</v>
      </c>
      <c r="F133" s="209" t="s">
        <v>1503</v>
      </c>
      <c r="G133" s="209" t="s">
        <v>1504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2040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1790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1791</v>
      </c>
      <c r="BZ133" s="117" t="s">
        <v>1308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customHeight="1">
      <c r="A134" s="117"/>
      <c r="B134" s="209" t="s">
        <v>2047</v>
      </c>
      <c r="C134" s="209" t="s">
        <v>2217</v>
      </c>
      <c r="D134" s="209" t="s">
        <v>1085</v>
      </c>
      <c r="E134" s="209" t="s">
        <v>1817</v>
      </c>
      <c r="F134" s="209" t="s">
        <v>1505</v>
      </c>
      <c r="G134" s="209" t="s">
        <v>1506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2040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1790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1791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customHeight="1">
      <c r="A135" s="117"/>
      <c r="B135" s="209" t="s">
        <v>2047</v>
      </c>
      <c r="C135" s="209" t="s">
        <v>2217</v>
      </c>
      <c r="D135" s="209" t="s">
        <v>1085</v>
      </c>
      <c r="E135" s="209" t="s">
        <v>1818</v>
      </c>
      <c r="F135" s="209" t="s">
        <v>1507</v>
      </c>
      <c r="G135" s="209" t="s">
        <v>1496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2040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1790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1791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customHeight="1">
      <c r="A136" s="117"/>
      <c r="B136" s="209" t="s">
        <v>2047</v>
      </c>
      <c r="C136" s="209" t="s">
        <v>2217</v>
      </c>
      <c r="D136" s="209" t="s">
        <v>1297</v>
      </c>
      <c r="E136" s="209" t="s">
        <v>1807</v>
      </c>
      <c r="F136" s="209" t="s">
        <v>1508</v>
      </c>
      <c r="G136" s="209" t="s">
        <v>1509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2040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1790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1791</v>
      </c>
      <c r="BZ136" s="117" t="s">
        <v>1023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customHeight="1">
      <c r="A137" s="117"/>
      <c r="B137" s="209" t="s">
        <v>2047</v>
      </c>
      <c r="C137" s="209" t="s">
        <v>2217</v>
      </c>
      <c r="D137" s="209" t="s">
        <v>1297</v>
      </c>
      <c r="E137" s="209" t="s">
        <v>1809</v>
      </c>
      <c r="F137" s="209" t="s">
        <v>1510</v>
      </c>
      <c r="G137" s="209" t="s">
        <v>1511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2040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1790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1791</v>
      </c>
      <c r="BZ137" s="117" t="s">
        <v>1064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customHeight="1">
      <c r="A138" s="117"/>
      <c r="B138" s="209" t="s">
        <v>2047</v>
      </c>
      <c r="C138" s="209" t="s">
        <v>2217</v>
      </c>
      <c r="D138" s="209" t="s">
        <v>1297</v>
      </c>
      <c r="E138" s="209" t="s">
        <v>1812</v>
      </c>
      <c r="F138" s="209" t="s">
        <v>1512</v>
      </c>
      <c r="G138" s="209" t="s">
        <v>1513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2040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1790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1791</v>
      </c>
      <c r="BZ138" s="117" t="s">
        <v>1064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customHeight="1">
      <c r="A139" s="117"/>
      <c r="B139" s="209" t="s">
        <v>2047</v>
      </c>
      <c r="C139" s="209" t="s">
        <v>2217</v>
      </c>
      <c r="D139" s="209" t="s">
        <v>1297</v>
      </c>
      <c r="E139" s="209" t="s">
        <v>1822</v>
      </c>
      <c r="F139" s="209" t="s">
        <v>1514</v>
      </c>
      <c r="G139" s="209" t="s">
        <v>1515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2040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1790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1791</v>
      </c>
      <c r="BZ139" s="117" t="s">
        <v>1304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customHeight="1">
      <c r="A140" s="117"/>
      <c r="B140" s="209" t="s">
        <v>2047</v>
      </c>
      <c r="C140" s="209" t="s">
        <v>2217</v>
      </c>
      <c r="D140" s="209" t="s">
        <v>1297</v>
      </c>
      <c r="E140" s="209" t="s">
        <v>1823</v>
      </c>
      <c r="F140" s="209" t="s">
        <v>1516</v>
      </c>
      <c r="G140" s="209" t="s">
        <v>1517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2040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1790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1791</v>
      </c>
      <c r="BZ140" s="117" t="s">
        <v>1023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customHeight="1">
      <c r="A141" s="117"/>
      <c r="B141" s="209" t="s">
        <v>2047</v>
      </c>
      <c r="C141" s="209" t="s">
        <v>2217</v>
      </c>
      <c r="D141" s="209" t="s">
        <v>1297</v>
      </c>
      <c r="E141" s="209" t="s">
        <v>1810</v>
      </c>
      <c r="F141" s="209" t="s">
        <v>1518</v>
      </c>
      <c r="G141" s="209" t="s">
        <v>1519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2040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1790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1791</v>
      </c>
      <c r="BZ141" s="117" t="s">
        <v>1023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customHeight="1">
      <c r="A142" s="117"/>
      <c r="B142" s="209" t="s">
        <v>2047</v>
      </c>
      <c r="C142" s="209" t="s">
        <v>2217</v>
      </c>
      <c r="D142" s="209" t="s">
        <v>1297</v>
      </c>
      <c r="E142" s="209" t="s">
        <v>1813</v>
      </c>
      <c r="F142" s="209" t="s">
        <v>1520</v>
      </c>
      <c r="G142" s="209" t="s">
        <v>1423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2040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1790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1791</v>
      </c>
      <c r="BZ142" s="117" t="s">
        <v>1304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customHeight="1">
      <c r="A143" s="162">
        <v>180</v>
      </c>
      <c r="B143" s="177" t="s">
        <v>2051</v>
      </c>
      <c r="C143" s="177" t="s">
        <v>2218</v>
      </c>
      <c r="D143" s="177" t="s">
        <v>2052</v>
      </c>
      <c r="E143" s="177"/>
      <c r="F143" s="177"/>
      <c r="G143" s="177" t="s">
        <v>2053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2040</v>
      </c>
      <c r="AE143" s="162" t="s">
        <v>143</v>
      </c>
      <c r="AF143" s="181" t="s">
        <v>1784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customHeight="1">
      <c r="A144" s="186"/>
      <c r="B144" s="187" t="s">
        <v>2051</v>
      </c>
      <c r="C144" s="187" t="s">
        <v>2185</v>
      </c>
      <c r="D144" s="187"/>
      <c r="E144" s="187"/>
      <c r="F144" s="187"/>
      <c r="G144" s="187" t="s">
        <v>1966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0</v>
      </c>
      <c r="X144" s="192">
        <f ca="1">SUMIFS(T:T,C:C,C144,AE:AE,"")/SUMIFS(L:L,C:C,C144,AE:AE,"",AB:AB,"")</f>
        <v>0.65789473684210531</v>
      </c>
      <c r="Y144" s="192"/>
      <c r="Z144" s="192"/>
      <c r="AA144" s="192"/>
      <c r="AB144" s="192"/>
      <c r="AC144" s="194" t="s">
        <v>196</v>
      </c>
      <c r="AD144" s="195" t="s">
        <v>2040</v>
      </c>
      <c r="AE144" s="196" t="s">
        <v>1788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customHeight="1">
      <c r="A145" s="117"/>
      <c r="B145" s="209" t="s">
        <v>2051</v>
      </c>
      <c r="C145" s="209" t="s">
        <v>2185</v>
      </c>
      <c r="D145" s="209" t="s">
        <v>1085</v>
      </c>
      <c r="E145" s="209" t="s">
        <v>1789</v>
      </c>
      <c r="F145" s="209" t="s">
        <v>1577</v>
      </c>
      <c r="G145" s="209" t="s">
        <v>1578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2040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1790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2186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1791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customHeight="1">
      <c r="A146" s="117"/>
      <c r="B146" s="209" t="s">
        <v>2051</v>
      </c>
      <c r="C146" s="209" t="s">
        <v>2185</v>
      </c>
      <c r="D146" s="209" t="s">
        <v>1297</v>
      </c>
      <c r="E146" s="209" t="s">
        <v>1792</v>
      </c>
      <c r="F146" s="209" t="s">
        <v>1579</v>
      </c>
      <c r="G146" s="209" t="s">
        <v>1158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2040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1790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1791</v>
      </c>
      <c r="BZ146" s="117" t="s">
        <v>1304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customHeight="1">
      <c r="A147" s="117"/>
      <c r="B147" s="209" t="s">
        <v>2051</v>
      </c>
      <c r="C147" s="209" t="s">
        <v>2185</v>
      </c>
      <c r="D147" s="209" t="s">
        <v>1297</v>
      </c>
      <c r="E147" s="209" t="s">
        <v>1793</v>
      </c>
      <c r="F147" s="209" t="s">
        <v>1580</v>
      </c>
      <c r="G147" s="209" t="s">
        <v>1498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2040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1790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1791</v>
      </c>
      <c r="BZ147" s="117" t="s">
        <v>1064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customHeight="1">
      <c r="A148" s="117"/>
      <c r="B148" s="209" t="s">
        <v>2051</v>
      </c>
      <c r="C148" s="209" t="s">
        <v>2185</v>
      </c>
      <c r="D148" s="209" t="s">
        <v>1297</v>
      </c>
      <c r="E148" s="209" t="s">
        <v>1794</v>
      </c>
      <c r="F148" s="209" t="s">
        <v>1581</v>
      </c>
      <c r="G148" s="209" t="s">
        <v>1582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2040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1790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1791</v>
      </c>
      <c r="BZ148" s="117" t="s">
        <v>1064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customHeight="1">
      <c r="A149" s="117"/>
      <c r="B149" s="209" t="s">
        <v>2051</v>
      </c>
      <c r="C149" s="209" t="s">
        <v>2185</v>
      </c>
      <c r="D149" s="209" t="s">
        <v>1297</v>
      </c>
      <c r="E149" s="209" t="s">
        <v>1958</v>
      </c>
      <c r="F149" s="209" t="s">
        <v>1583</v>
      </c>
      <c r="G149" s="209" t="s">
        <v>1582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2040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1790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1791</v>
      </c>
      <c r="BZ149" s="117" t="s">
        <v>1064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customHeight="1">
      <c r="A150" s="117"/>
      <c r="B150" s="209" t="s">
        <v>2051</v>
      </c>
      <c r="C150" s="209" t="s">
        <v>2185</v>
      </c>
      <c r="D150" s="209" t="s">
        <v>1297</v>
      </c>
      <c r="E150" s="209" t="s">
        <v>1795</v>
      </c>
      <c r="F150" s="209" t="s">
        <v>1584</v>
      </c>
      <c r="G150" s="209" t="s">
        <v>1585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2040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1790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1791</v>
      </c>
      <c r="BZ150" s="117" t="s">
        <v>990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customHeight="1">
      <c r="A151" s="117"/>
      <c r="B151" s="209" t="s">
        <v>2051</v>
      </c>
      <c r="C151" s="209" t="s">
        <v>2185</v>
      </c>
      <c r="D151" s="209" t="s">
        <v>1077</v>
      </c>
      <c r="E151" s="209" t="s">
        <v>1803</v>
      </c>
      <c r="F151" s="209" t="s">
        <v>1576</v>
      </c>
      <c r="G151" s="209" t="s">
        <v>1076</v>
      </c>
      <c r="H151" s="210">
        <v>812</v>
      </c>
      <c r="I151" s="211" t="s">
        <v>1078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2040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1790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1791</v>
      </c>
      <c r="BZ151" s="117" t="s">
        <v>1290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customHeight="1">
      <c r="A152" s="186"/>
      <c r="B152" s="187" t="s">
        <v>2051</v>
      </c>
      <c r="C152" s="187" t="s">
        <v>2187</v>
      </c>
      <c r="D152" s="187"/>
      <c r="E152" s="187"/>
      <c r="F152" s="187"/>
      <c r="G152" s="187" t="s">
        <v>1967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0</v>
      </c>
      <c r="X152" s="192">
        <f ca="1">SUMIFS(T:T,C:C,C152,AE:AE,"")/SUMIFS(L:L,C:C,C152,AE:AE,"",AB:AB,"")</f>
        <v>0.7</v>
      </c>
      <c r="Y152" s="192"/>
      <c r="Z152" s="192"/>
      <c r="AA152" s="192"/>
      <c r="AB152" s="192"/>
      <c r="AC152" s="194" t="s">
        <v>196</v>
      </c>
      <c r="AD152" s="195" t="s">
        <v>2040</v>
      </c>
      <c r="AE152" s="196" t="s">
        <v>1788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customHeight="1">
      <c r="A153" s="117"/>
      <c r="B153" s="209" t="s">
        <v>2051</v>
      </c>
      <c r="C153" s="209" t="s">
        <v>2187</v>
      </c>
      <c r="D153" s="209" t="s">
        <v>1085</v>
      </c>
      <c r="E153" s="209" t="s">
        <v>1796</v>
      </c>
      <c r="F153" s="209" t="s">
        <v>1596</v>
      </c>
      <c r="G153" s="209" t="s">
        <v>1578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2040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1790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2186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1791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customHeight="1">
      <c r="A154" s="117"/>
      <c r="B154" s="209" t="s">
        <v>2051</v>
      </c>
      <c r="C154" s="209" t="s">
        <v>2187</v>
      </c>
      <c r="D154" s="209" t="s">
        <v>1297</v>
      </c>
      <c r="E154" s="209" t="s">
        <v>1797</v>
      </c>
      <c r="F154" s="209" t="s">
        <v>1597</v>
      </c>
      <c r="G154" s="209" t="s">
        <v>1593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2040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1790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1791</v>
      </c>
      <c r="BZ154" s="117" t="s">
        <v>1064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customHeight="1">
      <c r="A155" s="117"/>
      <c r="B155" s="209" t="s">
        <v>2051</v>
      </c>
      <c r="C155" s="209" t="s">
        <v>2187</v>
      </c>
      <c r="D155" s="209" t="s">
        <v>1297</v>
      </c>
      <c r="E155" s="209" t="s">
        <v>1798</v>
      </c>
      <c r="F155" s="209" t="s">
        <v>1598</v>
      </c>
      <c r="G155" s="209" t="s">
        <v>1126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2040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1790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1791</v>
      </c>
      <c r="BZ155" s="117" t="s">
        <v>1304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customHeight="1">
      <c r="A156" s="117"/>
      <c r="B156" s="209" t="s">
        <v>2051</v>
      </c>
      <c r="C156" s="209" t="s">
        <v>2187</v>
      </c>
      <c r="D156" s="209" t="s">
        <v>1297</v>
      </c>
      <c r="E156" s="209" t="s">
        <v>1799</v>
      </c>
      <c r="F156" s="209" t="s">
        <v>1599</v>
      </c>
      <c r="G156" s="209" t="s">
        <v>1124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2040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1790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1791</v>
      </c>
      <c r="BZ156" s="117" t="s">
        <v>1308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customHeight="1">
      <c r="A157" s="186"/>
      <c r="B157" s="187" t="s">
        <v>2051</v>
      </c>
      <c r="C157" s="187" t="s">
        <v>2219</v>
      </c>
      <c r="D157" s="187"/>
      <c r="E157" s="187"/>
      <c r="F157" s="187"/>
      <c r="G157" s="187" t="s">
        <v>2054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2040</v>
      </c>
      <c r="AE157" s="196" t="s">
        <v>1788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customHeight="1">
      <c r="A158" s="117"/>
      <c r="B158" s="209" t="s">
        <v>2051</v>
      </c>
      <c r="C158" s="209" t="s">
        <v>2219</v>
      </c>
      <c r="D158" s="209" t="s">
        <v>1085</v>
      </c>
      <c r="E158" s="209" t="s">
        <v>1796</v>
      </c>
      <c r="F158" s="209" t="s">
        <v>1591</v>
      </c>
      <c r="G158" s="209" t="s">
        <v>1578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2040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1790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2186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1791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customHeight="1">
      <c r="A159" s="117"/>
      <c r="B159" s="209" t="s">
        <v>2051</v>
      </c>
      <c r="C159" s="209" t="s">
        <v>2219</v>
      </c>
      <c r="D159" s="209" t="s">
        <v>1297</v>
      </c>
      <c r="E159" s="209" t="s">
        <v>1797</v>
      </c>
      <c r="F159" s="209" t="s">
        <v>1592</v>
      </c>
      <c r="G159" s="209" t="s">
        <v>1593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2040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1790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1791</v>
      </c>
      <c r="BZ159" s="117" t="s">
        <v>1064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customHeight="1">
      <c r="A160" s="117"/>
      <c r="B160" s="209" t="s">
        <v>2051</v>
      </c>
      <c r="C160" s="209" t="s">
        <v>2219</v>
      </c>
      <c r="D160" s="209" t="s">
        <v>1297</v>
      </c>
      <c r="E160" s="209" t="s">
        <v>1798</v>
      </c>
      <c r="F160" s="209" t="s">
        <v>1594</v>
      </c>
      <c r="G160" s="209" t="s">
        <v>1126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2040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1790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1791</v>
      </c>
      <c r="BZ160" s="117" t="s">
        <v>1304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customHeight="1">
      <c r="A161" s="117"/>
      <c r="B161" s="209" t="s">
        <v>2051</v>
      </c>
      <c r="C161" s="209" t="s">
        <v>2219</v>
      </c>
      <c r="D161" s="209" t="s">
        <v>1297</v>
      </c>
      <c r="E161" s="209" t="s">
        <v>1799</v>
      </c>
      <c r="F161" s="209" t="s">
        <v>1595</v>
      </c>
      <c r="G161" s="209" t="s">
        <v>1124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2040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1790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1791</v>
      </c>
      <c r="BZ161" s="117" t="s">
        <v>1308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customHeight="1">
      <c r="A162" s="117"/>
      <c r="B162" s="209" t="s">
        <v>2051</v>
      </c>
      <c r="C162" s="209" t="s">
        <v>2219</v>
      </c>
      <c r="D162" s="209" t="s">
        <v>1297</v>
      </c>
      <c r="E162" s="209" t="s">
        <v>1800</v>
      </c>
      <c r="F162" s="209" t="s">
        <v>1586</v>
      </c>
      <c r="G162" s="209" t="s">
        <v>1587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2040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1790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1791</v>
      </c>
      <c r="BZ162" s="117" t="s">
        <v>1064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customHeight="1">
      <c r="A163" s="117"/>
      <c r="B163" s="209" t="s">
        <v>2051</v>
      </c>
      <c r="C163" s="209" t="s">
        <v>2219</v>
      </c>
      <c r="D163" s="209" t="s">
        <v>1297</v>
      </c>
      <c r="E163" s="209" t="s">
        <v>1801</v>
      </c>
      <c r="F163" s="209" t="s">
        <v>1588</v>
      </c>
      <c r="G163" s="209" t="s">
        <v>1589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2040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1790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1791</v>
      </c>
      <c r="BZ163" s="117" t="s">
        <v>1064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customHeight="1">
      <c r="A164" s="117"/>
      <c r="B164" s="209" t="s">
        <v>2051</v>
      </c>
      <c r="C164" s="209" t="s">
        <v>2219</v>
      </c>
      <c r="D164" s="209" t="s">
        <v>1297</v>
      </c>
      <c r="E164" s="209" t="s">
        <v>1802</v>
      </c>
      <c r="F164" s="209" t="s">
        <v>1590</v>
      </c>
      <c r="G164" s="209" t="s">
        <v>1515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2040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1790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1791</v>
      </c>
      <c r="BZ164" s="117" t="s">
        <v>1304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customHeight="1">
      <c r="A165" s="162">
        <v>181</v>
      </c>
      <c r="B165" s="177" t="s">
        <v>2055</v>
      </c>
      <c r="C165" s="177" t="s">
        <v>2220</v>
      </c>
      <c r="D165" s="177" t="s">
        <v>2056</v>
      </c>
      <c r="E165" s="177"/>
      <c r="F165" s="177"/>
      <c r="G165" s="177" t="s">
        <v>2057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2040</v>
      </c>
      <c r="AE165" s="162" t="s">
        <v>143</v>
      </c>
      <c r="AF165" s="181" t="s">
        <v>1971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customHeight="1">
      <c r="A166" s="117"/>
      <c r="B166" s="209" t="s">
        <v>2055</v>
      </c>
      <c r="C166" s="209" t="s">
        <v>2220</v>
      </c>
      <c r="D166" s="209" t="s">
        <v>1196</v>
      </c>
      <c r="E166" s="209" t="s">
        <v>1789</v>
      </c>
      <c r="F166" s="209" t="s">
        <v>1616</v>
      </c>
      <c r="G166" s="209" t="s">
        <v>1195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2040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1790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1791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customHeight="1">
      <c r="A167" s="117"/>
      <c r="B167" s="209" t="s">
        <v>2055</v>
      </c>
      <c r="C167" s="209" t="s">
        <v>2220</v>
      </c>
      <c r="D167" s="209" t="s">
        <v>1196</v>
      </c>
      <c r="E167" s="209" t="s">
        <v>1792</v>
      </c>
      <c r="F167" s="209" t="s">
        <v>1635</v>
      </c>
      <c r="G167" s="209" t="s">
        <v>1636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2040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1790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1791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customHeight="1">
      <c r="A168" s="117"/>
      <c r="B168" s="209" t="s">
        <v>2055</v>
      </c>
      <c r="C168" s="209" t="s">
        <v>2220</v>
      </c>
      <c r="D168" s="209" t="s">
        <v>1205</v>
      </c>
      <c r="E168" s="209" t="s">
        <v>1793</v>
      </c>
      <c r="F168" s="209" t="s">
        <v>1643</v>
      </c>
      <c r="G168" s="209" t="s">
        <v>1638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2040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1790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1791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customHeight="1">
      <c r="A169" s="117"/>
      <c r="B169" s="209" t="s">
        <v>2055</v>
      </c>
      <c r="C169" s="209" t="s">
        <v>2220</v>
      </c>
      <c r="D169" s="209" t="s">
        <v>1205</v>
      </c>
      <c r="E169" s="209" t="s">
        <v>1794</v>
      </c>
      <c r="F169" s="209" t="s">
        <v>1644</v>
      </c>
      <c r="G169" s="209" t="s">
        <v>1645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2040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1790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1791</v>
      </c>
      <c r="BZ169" s="117" t="s">
        <v>1064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customHeight="1">
      <c r="A170" s="117"/>
      <c r="B170" s="209" t="s">
        <v>2055</v>
      </c>
      <c r="C170" s="209" t="s">
        <v>2220</v>
      </c>
      <c r="D170" s="209" t="s">
        <v>13</v>
      </c>
      <c r="E170" s="209" t="s">
        <v>1795</v>
      </c>
      <c r="F170" s="209" t="s">
        <v>1646</v>
      </c>
      <c r="G170" s="209" t="s">
        <v>1647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2040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1790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1791</v>
      </c>
      <c r="BZ170" s="117" t="s">
        <v>1304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customHeight="1">
      <c r="A171" s="117"/>
      <c r="B171" s="209" t="s">
        <v>2055</v>
      </c>
      <c r="C171" s="209" t="s">
        <v>2220</v>
      </c>
      <c r="D171" s="209" t="s">
        <v>13</v>
      </c>
      <c r="E171" s="209" t="s">
        <v>1796</v>
      </c>
      <c r="F171" s="209" t="s">
        <v>1648</v>
      </c>
      <c r="G171" s="209" t="s">
        <v>1158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2040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1790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1791</v>
      </c>
      <c r="BZ171" s="117" t="s">
        <v>1304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customHeight="1">
      <c r="A172" s="117"/>
      <c r="B172" s="209" t="s">
        <v>2055</v>
      </c>
      <c r="C172" s="209" t="s">
        <v>2220</v>
      </c>
      <c r="D172" s="209" t="s">
        <v>1205</v>
      </c>
      <c r="E172" s="209" t="s">
        <v>1797</v>
      </c>
      <c r="F172" s="209" t="s">
        <v>1649</v>
      </c>
      <c r="G172" s="209" t="s">
        <v>1650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2040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1790</v>
      </c>
      <c r="BG172" s="117"/>
      <c r="BH172" s="117"/>
      <c r="BI172" s="149"/>
      <c r="BJ172" s="149"/>
      <c r="BK172" s="149"/>
      <c r="BL172" s="149" t="s">
        <v>1933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1791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customHeight="1">
      <c r="A173" s="117"/>
      <c r="B173" s="209" t="s">
        <v>2055</v>
      </c>
      <c r="C173" s="209" t="s">
        <v>2220</v>
      </c>
      <c r="D173" s="209" t="s">
        <v>13</v>
      </c>
      <c r="E173" s="209" t="s">
        <v>1798</v>
      </c>
      <c r="F173" s="209" t="s">
        <v>1651</v>
      </c>
      <c r="G173" s="209" t="s">
        <v>1652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2040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1790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1791</v>
      </c>
      <c r="BZ173" s="117" t="s">
        <v>1064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customHeight="1">
      <c r="A174" s="117"/>
      <c r="B174" s="209" t="s">
        <v>2055</v>
      </c>
      <c r="C174" s="209" t="s">
        <v>2220</v>
      </c>
      <c r="D174" s="209" t="s">
        <v>13</v>
      </c>
      <c r="E174" s="209" t="s">
        <v>1799</v>
      </c>
      <c r="F174" s="209" t="s">
        <v>1653</v>
      </c>
      <c r="G174" s="209" t="s">
        <v>1654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2040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1790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1791</v>
      </c>
      <c r="BZ174" s="117" t="s">
        <v>990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customHeight="1">
      <c r="A175" s="117"/>
      <c r="B175" s="209" t="s">
        <v>2055</v>
      </c>
      <c r="C175" s="209" t="s">
        <v>2220</v>
      </c>
      <c r="D175" s="209" t="s">
        <v>1211</v>
      </c>
      <c r="E175" s="209" t="s">
        <v>1800</v>
      </c>
      <c r="F175" s="209" t="s">
        <v>1617</v>
      </c>
      <c r="G175" s="209" t="s">
        <v>1124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2040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1790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1791</v>
      </c>
      <c r="BZ175" s="117" t="s">
        <v>1308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customHeight="1">
      <c r="A176" s="117"/>
      <c r="B176" s="209" t="s">
        <v>2055</v>
      </c>
      <c r="C176" s="209" t="s">
        <v>2220</v>
      </c>
      <c r="D176" s="209" t="s">
        <v>1213</v>
      </c>
      <c r="E176" s="209" t="s">
        <v>1801</v>
      </c>
      <c r="F176" s="209" t="s">
        <v>1618</v>
      </c>
      <c r="G176" s="209" t="s">
        <v>1126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2040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1790</v>
      </c>
      <c r="BG176" s="117"/>
      <c r="BH176" s="117"/>
      <c r="BI176" s="153" t="s">
        <v>2058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1791</v>
      </c>
      <c r="BZ176" s="117" t="s">
        <v>1304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customHeight="1">
      <c r="A177" s="117"/>
      <c r="B177" s="209" t="s">
        <v>2055</v>
      </c>
      <c r="C177" s="209" t="s">
        <v>2220</v>
      </c>
      <c r="D177" s="209" t="s">
        <v>13</v>
      </c>
      <c r="E177" s="209" t="s">
        <v>1802</v>
      </c>
      <c r="F177" s="209" t="s">
        <v>1619</v>
      </c>
      <c r="G177" s="209" t="s">
        <v>1223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2040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1790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1791</v>
      </c>
      <c r="BZ177" s="117" t="s">
        <v>1304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customHeight="1">
      <c r="A178" s="117"/>
      <c r="B178" s="209" t="s">
        <v>2055</v>
      </c>
      <c r="C178" s="209" t="s">
        <v>2220</v>
      </c>
      <c r="D178" s="209" t="s">
        <v>1205</v>
      </c>
      <c r="E178" s="209" t="s">
        <v>1816</v>
      </c>
      <c r="F178" s="209" t="s">
        <v>1620</v>
      </c>
      <c r="G178" s="209" t="s">
        <v>1621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2040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1790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1791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customHeight="1">
      <c r="A179" s="117"/>
      <c r="B179" s="209" t="s">
        <v>2055</v>
      </c>
      <c r="C179" s="209" t="s">
        <v>2220</v>
      </c>
      <c r="D179" s="209" t="s">
        <v>1205</v>
      </c>
      <c r="E179" s="209" t="s">
        <v>1806</v>
      </c>
      <c r="F179" s="209" t="s">
        <v>1622</v>
      </c>
      <c r="G179" s="209" t="s">
        <v>1623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2040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1790</v>
      </c>
      <c r="BG179" s="117"/>
      <c r="BH179" s="117"/>
      <c r="BI179" s="149"/>
      <c r="BJ179" s="149" t="s">
        <v>2059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1791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customHeight="1">
      <c r="A180" s="117"/>
      <c r="B180" s="209" t="s">
        <v>2055</v>
      </c>
      <c r="C180" s="209" t="s">
        <v>2220</v>
      </c>
      <c r="D180" s="209" t="s">
        <v>1213</v>
      </c>
      <c r="E180" s="209" t="s">
        <v>1817</v>
      </c>
      <c r="F180" s="209" t="s">
        <v>1624</v>
      </c>
      <c r="G180" s="209" t="s">
        <v>1625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2040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1790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1791</v>
      </c>
      <c r="BZ180" s="117" t="s">
        <v>1064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customHeight="1">
      <c r="A181" s="117"/>
      <c r="B181" s="209" t="s">
        <v>2055</v>
      </c>
      <c r="C181" s="209" t="s">
        <v>2220</v>
      </c>
      <c r="D181" s="209" t="s">
        <v>13</v>
      </c>
      <c r="E181" s="209" t="s">
        <v>1818</v>
      </c>
      <c r="F181" s="209" t="s">
        <v>1626</v>
      </c>
      <c r="G181" s="209" t="s">
        <v>1627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2040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1790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1791</v>
      </c>
      <c r="BZ181" s="117" t="s">
        <v>1308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customHeight="1">
      <c r="A182" s="117"/>
      <c r="B182" s="209" t="s">
        <v>2055</v>
      </c>
      <c r="C182" s="209" t="s">
        <v>2220</v>
      </c>
      <c r="D182" s="209" t="s">
        <v>13</v>
      </c>
      <c r="E182" s="209" t="s">
        <v>1807</v>
      </c>
      <c r="F182" s="209" t="s">
        <v>1628</v>
      </c>
      <c r="G182" s="209" t="s">
        <v>1629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2040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1790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1791</v>
      </c>
      <c r="BZ182" s="117" t="s">
        <v>1064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customHeight="1">
      <c r="A183" s="117"/>
      <c r="B183" s="209" t="s">
        <v>2055</v>
      </c>
      <c r="C183" s="209" t="s">
        <v>2220</v>
      </c>
      <c r="D183" s="209" t="s">
        <v>13</v>
      </c>
      <c r="E183" s="209" t="s">
        <v>1808</v>
      </c>
      <c r="F183" s="209" t="s">
        <v>1630</v>
      </c>
      <c r="G183" s="209" t="s">
        <v>1631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2040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1791</v>
      </c>
      <c r="BZ183" s="117" t="s">
        <v>1633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customHeight="1">
      <c r="A184" s="117"/>
      <c r="B184" s="209" t="s">
        <v>2055</v>
      </c>
      <c r="C184" s="209" t="s">
        <v>2220</v>
      </c>
      <c r="D184" s="209" t="s">
        <v>13</v>
      </c>
      <c r="E184" s="209" t="s">
        <v>1819</v>
      </c>
      <c r="F184" s="209" t="s">
        <v>1634</v>
      </c>
      <c r="G184" s="209" t="s">
        <v>1158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2040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1790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1791</v>
      </c>
      <c r="BZ184" s="117" t="s">
        <v>1304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customHeight="1">
      <c r="A185" s="117"/>
      <c r="B185" s="209" t="s">
        <v>2055</v>
      </c>
      <c r="C185" s="209" t="s">
        <v>2220</v>
      </c>
      <c r="D185" s="209" t="s">
        <v>13</v>
      </c>
      <c r="E185" s="209" t="s">
        <v>1820</v>
      </c>
      <c r="F185" s="209" t="s">
        <v>1637</v>
      </c>
      <c r="G185" s="209" t="s">
        <v>1638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2040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1790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1791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customHeight="1">
      <c r="A186" s="117"/>
      <c r="B186" s="209" t="s">
        <v>2055</v>
      </c>
      <c r="C186" s="209" t="s">
        <v>2220</v>
      </c>
      <c r="D186" s="209" t="s">
        <v>13</v>
      </c>
      <c r="E186" s="209" t="s">
        <v>1821</v>
      </c>
      <c r="F186" s="209" t="s">
        <v>1639</v>
      </c>
      <c r="G186" s="209" t="s">
        <v>1640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2040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1790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1791</v>
      </c>
      <c r="BZ186" s="117" t="s">
        <v>1064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customHeight="1">
      <c r="A187" s="117"/>
      <c r="B187" s="209" t="s">
        <v>2055</v>
      </c>
      <c r="C187" s="209" t="s">
        <v>2220</v>
      </c>
      <c r="D187" s="209" t="s">
        <v>13</v>
      </c>
      <c r="E187" s="209" t="s">
        <v>1809</v>
      </c>
      <c r="F187" s="209" t="s">
        <v>1641</v>
      </c>
      <c r="G187" s="209" t="s">
        <v>1642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2040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1790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1791</v>
      </c>
      <c r="BZ187" s="117" t="s">
        <v>990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customHeight="1">
      <c r="A188" s="117"/>
      <c r="B188" s="209" t="s">
        <v>2055</v>
      </c>
      <c r="C188" s="209" t="s">
        <v>2220</v>
      </c>
      <c r="D188" s="209" t="s">
        <v>1011</v>
      </c>
      <c r="E188" s="209" t="s">
        <v>1803</v>
      </c>
      <c r="F188" s="209" t="s">
        <v>1615</v>
      </c>
      <c r="G188" s="209" t="s">
        <v>1076</v>
      </c>
      <c r="H188" s="210">
        <v>812</v>
      </c>
      <c r="I188" s="211" t="s">
        <v>1078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2040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1790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1791</v>
      </c>
      <c r="BZ188" s="117" t="s">
        <v>1290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customHeight="1">
      <c r="A189" s="151"/>
      <c r="B189" s="219" t="s">
        <v>2055</v>
      </c>
      <c r="C189" s="219" t="s">
        <v>2220</v>
      </c>
      <c r="D189" s="219" t="s">
        <v>1205</v>
      </c>
      <c r="E189" s="219" t="s">
        <v>1812</v>
      </c>
      <c r="F189" s="219" t="s">
        <v>2087</v>
      </c>
      <c r="G189" s="219" t="s">
        <v>1650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2040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1790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2042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1791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customHeight="1">
      <c r="A190" s="162">
        <v>182</v>
      </c>
      <c r="B190" s="177" t="s">
        <v>2060</v>
      </c>
      <c r="C190" s="177" t="s">
        <v>2221</v>
      </c>
      <c r="D190" s="177" t="s">
        <v>2061</v>
      </c>
      <c r="E190" s="177"/>
      <c r="F190" s="177"/>
      <c r="G190" s="177" t="s">
        <v>2062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2040</v>
      </c>
      <c r="AE190" s="162" t="s">
        <v>143</v>
      </c>
      <c r="AF190" s="181" t="s">
        <v>1971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customHeight="1">
      <c r="A191" s="141"/>
      <c r="B191" s="199" t="s">
        <v>2060</v>
      </c>
      <c r="C191" s="199" t="s">
        <v>2221</v>
      </c>
      <c r="D191" s="199" t="s">
        <v>1196</v>
      </c>
      <c r="E191" s="199" t="s">
        <v>1789</v>
      </c>
      <c r="F191" s="199" t="s">
        <v>1676</v>
      </c>
      <c r="G191" s="199" t="s">
        <v>1677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2040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1790</v>
      </c>
      <c r="BG191" s="141"/>
      <c r="BH191" s="141"/>
      <c r="BI191" s="153"/>
      <c r="BJ191" s="153"/>
      <c r="BK191" s="153"/>
      <c r="BL191" s="153" t="s">
        <v>1933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1791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customHeight="1">
      <c r="A192" s="117"/>
      <c r="B192" s="209" t="s">
        <v>2060</v>
      </c>
      <c r="C192" s="209" t="s">
        <v>2221</v>
      </c>
      <c r="D192" s="209" t="s">
        <v>1196</v>
      </c>
      <c r="E192" s="209" t="s">
        <v>1792</v>
      </c>
      <c r="F192" s="209" t="s">
        <v>1688</v>
      </c>
      <c r="G192" s="209" t="s">
        <v>1689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2040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1790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1791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customHeight="1">
      <c r="A193" s="117"/>
      <c r="B193" s="209" t="s">
        <v>2060</v>
      </c>
      <c r="C193" s="209" t="s">
        <v>2221</v>
      </c>
      <c r="D193" s="209" t="s">
        <v>1196</v>
      </c>
      <c r="E193" s="209" t="s">
        <v>1793</v>
      </c>
      <c r="F193" s="209" t="s">
        <v>1690</v>
      </c>
      <c r="G193" s="209" t="s">
        <v>1691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2040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1790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1791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customHeight="1">
      <c r="A194" s="117"/>
      <c r="B194" s="209" t="s">
        <v>2060</v>
      </c>
      <c r="C194" s="209" t="s">
        <v>2221</v>
      </c>
      <c r="D194" s="209" t="s">
        <v>1205</v>
      </c>
      <c r="E194" s="209" t="s">
        <v>1794</v>
      </c>
      <c r="F194" s="209" t="s">
        <v>1692</v>
      </c>
      <c r="G194" s="209" t="s">
        <v>1693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2040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1790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1791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customHeight="1">
      <c r="A195" s="141"/>
      <c r="B195" s="199" t="s">
        <v>2060</v>
      </c>
      <c r="C195" s="199" t="s">
        <v>2221</v>
      </c>
      <c r="D195" s="199" t="s">
        <v>1205</v>
      </c>
      <c r="E195" s="199" t="s">
        <v>1795</v>
      </c>
      <c r="F195" s="199" t="s">
        <v>1694</v>
      </c>
      <c r="G195" s="199" t="s">
        <v>1693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2040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1790</v>
      </c>
      <c r="BG195" s="141"/>
      <c r="BH195" s="141"/>
      <c r="BI195" s="153"/>
      <c r="BJ195" s="153"/>
      <c r="BK195" s="153"/>
      <c r="BL195" s="153" t="s">
        <v>1933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1791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customHeight="1">
      <c r="A196" s="117"/>
      <c r="B196" s="209" t="s">
        <v>2060</v>
      </c>
      <c r="C196" s="209" t="s">
        <v>2221</v>
      </c>
      <c r="D196" s="209" t="s">
        <v>1205</v>
      </c>
      <c r="E196" s="209" t="s">
        <v>1796</v>
      </c>
      <c r="F196" s="209" t="s">
        <v>1695</v>
      </c>
      <c r="G196" s="209" t="s">
        <v>1650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2040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1790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1791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customHeight="1">
      <c r="A197" s="117"/>
      <c r="B197" s="209" t="s">
        <v>2060</v>
      </c>
      <c r="C197" s="209" t="s">
        <v>2221</v>
      </c>
      <c r="D197" s="209" t="s">
        <v>1205</v>
      </c>
      <c r="E197" s="209" t="s">
        <v>1797</v>
      </c>
      <c r="F197" s="209" t="s">
        <v>1696</v>
      </c>
      <c r="G197" s="209" t="s">
        <v>1650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2040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1790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1791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customHeight="1">
      <c r="A198" s="117"/>
      <c r="B198" s="209" t="s">
        <v>2060</v>
      </c>
      <c r="C198" s="209" t="s">
        <v>2221</v>
      </c>
      <c r="D198" s="209" t="s">
        <v>1205</v>
      </c>
      <c r="E198" s="209" t="s">
        <v>1798</v>
      </c>
      <c r="F198" s="209" t="s">
        <v>1697</v>
      </c>
      <c r="G198" s="209" t="s">
        <v>1698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2040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1790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1791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customHeight="1">
      <c r="A199" s="117"/>
      <c r="B199" s="209" t="s">
        <v>2060</v>
      </c>
      <c r="C199" s="209" t="s">
        <v>2221</v>
      </c>
      <c r="D199" s="209" t="s">
        <v>1205</v>
      </c>
      <c r="E199" s="209" t="s">
        <v>1799</v>
      </c>
      <c r="F199" s="209" t="s">
        <v>1699</v>
      </c>
      <c r="G199" s="209" t="s">
        <v>1700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2040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1790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1791</v>
      </c>
      <c r="BZ199" s="117" t="s">
        <v>1064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customHeight="1">
      <c r="A200" s="117"/>
      <c r="B200" s="209" t="s">
        <v>2060</v>
      </c>
      <c r="C200" s="209" t="s">
        <v>2221</v>
      </c>
      <c r="D200" s="209" t="s">
        <v>13</v>
      </c>
      <c r="E200" s="209" t="s">
        <v>1800</v>
      </c>
      <c r="F200" s="209" t="s">
        <v>1678</v>
      </c>
      <c r="G200" s="209" t="s">
        <v>1255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2040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1790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1791</v>
      </c>
      <c r="BZ200" s="117" t="s">
        <v>1304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customHeight="1">
      <c r="A201" s="117"/>
      <c r="B201" s="209" t="s">
        <v>2060</v>
      </c>
      <c r="C201" s="209" t="s">
        <v>2221</v>
      </c>
      <c r="D201" s="209" t="s">
        <v>13</v>
      </c>
      <c r="E201" s="209" t="s">
        <v>1801</v>
      </c>
      <c r="F201" s="209" t="s">
        <v>1679</v>
      </c>
      <c r="G201" s="209" t="s">
        <v>1158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2040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1790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1791</v>
      </c>
      <c r="BZ201" s="117" t="s">
        <v>1304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customHeight="1">
      <c r="A202" s="117"/>
      <c r="B202" s="209" t="s">
        <v>2060</v>
      </c>
      <c r="C202" s="209" t="s">
        <v>2221</v>
      </c>
      <c r="D202" s="209" t="s">
        <v>13</v>
      </c>
      <c r="E202" s="209" t="s">
        <v>1802</v>
      </c>
      <c r="F202" s="209" t="s">
        <v>1680</v>
      </c>
      <c r="G202" s="209" t="s">
        <v>1681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2040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1790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1791</v>
      </c>
      <c r="BZ202" s="117" t="s">
        <v>990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customHeight="1">
      <c r="A203" s="117"/>
      <c r="B203" s="209" t="s">
        <v>2060</v>
      </c>
      <c r="C203" s="209" t="s">
        <v>2221</v>
      </c>
      <c r="D203" s="209" t="s">
        <v>13</v>
      </c>
      <c r="E203" s="209" t="s">
        <v>1816</v>
      </c>
      <c r="F203" s="209" t="s">
        <v>1682</v>
      </c>
      <c r="G203" s="209" t="s">
        <v>1681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2040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1790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1791</v>
      </c>
      <c r="BZ203" s="117" t="s">
        <v>990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customHeight="1">
      <c r="A204" s="117"/>
      <c r="B204" s="209" t="s">
        <v>2060</v>
      </c>
      <c r="C204" s="209" t="s">
        <v>2221</v>
      </c>
      <c r="D204" s="209" t="s">
        <v>13</v>
      </c>
      <c r="E204" s="209" t="s">
        <v>1806</v>
      </c>
      <c r="F204" s="209" t="s">
        <v>1683</v>
      </c>
      <c r="G204" s="209" t="s">
        <v>1684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2040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1790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1791</v>
      </c>
      <c r="BZ204" s="117" t="s">
        <v>990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customHeight="1">
      <c r="A205" s="117"/>
      <c r="B205" s="209" t="s">
        <v>2060</v>
      </c>
      <c r="C205" s="209" t="s">
        <v>2221</v>
      </c>
      <c r="D205" s="209" t="s">
        <v>13</v>
      </c>
      <c r="E205" s="209" t="s">
        <v>1817</v>
      </c>
      <c r="F205" s="209" t="s">
        <v>1685</v>
      </c>
      <c r="G205" s="209" t="s">
        <v>1223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2040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1790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1791</v>
      </c>
      <c r="BZ205" s="117" t="s">
        <v>1304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customHeight="1">
      <c r="A206" s="117"/>
      <c r="B206" s="209" t="s">
        <v>2060</v>
      </c>
      <c r="C206" s="209" t="s">
        <v>2221</v>
      </c>
      <c r="D206" s="209" t="s">
        <v>1211</v>
      </c>
      <c r="E206" s="209" t="s">
        <v>1818</v>
      </c>
      <c r="F206" s="209" t="s">
        <v>1686</v>
      </c>
      <c r="G206" s="209" t="s">
        <v>1124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2040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1790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1791</v>
      </c>
      <c r="BZ206" s="117" t="s">
        <v>1308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customHeight="1">
      <c r="A207" s="117"/>
      <c r="B207" s="209" t="s">
        <v>2060</v>
      </c>
      <c r="C207" s="209" t="s">
        <v>2221</v>
      </c>
      <c r="D207" s="209" t="s">
        <v>1213</v>
      </c>
      <c r="E207" s="209" t="s">
        <v>1807</v>
      </c>
      <c r="F207" s="209" t="s">
        <v>1687</v>
      </c>
      <c r="G207" s="209" t="s">
        <v>1126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2040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1790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1791</v>
      </c>
      <c r="BZ207" s="117" t="s">
        <v>1304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customHeight="1">
      <c r="A208" s="117"/>
      <c r="B208" s="209" t="s">
        <v>2060</v>
      </c>
      <c r="C208" s="209" t="s">
        <v>2221</v>
      </c>
      <c r="D208" s="209" t="s">
        <v>1011</v>
      </c>
      <c r="E208" s="209" t="s">
        <v>1803</v>
      </c>
      <c r="F208" s="209" t="s">
        <v>1675</v>
      </c>
      <c r="G208" s="209" t="s">
        <v>1076</v>
      </c>
      <c r="H208" s="210">
        <v>812</v>
      </c>
      <c r="I208" s="211" t="s">
        <v>1078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2040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1790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17" t="s">
        <v>1290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customHeight="1">
      <c r="A209" s="162">
        <v>183</v>
      </c>
      <c r="B209" s="177" t="s">
        <v>2063</v>
      </c>
      <c r="C209" s="177" t="s">
        <v>2222</v>
      </c>
      <c r="D209" s="177" t="s">
        <v>2064</v>
      </c>
      <c r="E209" s="177"/>
      <c r="F209" s="177"/>
      <c r="G209" s="177" t="s">
        <v>1979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2040</v>
      </c>
      <c r="AE209" s="162" t="s">
        <v>143</v>
      </c>
      <c r="AF209" s="181" t="s">
        <v>1971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customHeight="1">
      <c r="A210" s="117"/>
      <c r="B210" s="209" t="s">
        <v>2063</v>
      </c>
      <c r="C210" s="209" t="s">
        <v>2222</v>
      </c>
      <c r="D210" s="209" t="s">
        <v>1085</v>
      </c>
      <c r="E210" s="209" t="s">
        <v>1789</v>
      </c>
      <c r="F210" s="209" t="s">
        <v>1719</v>
      </c>
      <c r="G210" s="209" t="s">
        <v>1677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2040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1791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customHeight="1">
      <c r="A211" s="117"/>
      <c r="B211" s="209" t="s">
        <v>2063</v>
      </c>
      <c r="C211" s="209" t="s">
        <v>2222</v>
      </c>
      <c r="D211" s="209" t="s">
        <v>1297</v>
      </c>
      <c r="E211" s="209" t="s">
        <v>1792</v>
      </c>
      <c r="F211" s="209" t="s">
        <v>1731</v>
      </c>
      <c r="G211" s="209" t="s">
        <v>1158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2040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17" t="s">
        <v>1304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customHeight="1">
      <c r="A212" s="117"/>
      <c r="B212" s="209" t="s">
        <v>2063</v>
      </c>
      <c r="C212" s="209" t="s">
        <v>2222</v>
      </c>
      <c r="D212" s="209" t="s">
        <v>1297</v>
      </c>
      <c r="E212" s="209" t="s">
        <v>1793</v>
      </c>
      <c r="F212" s="209" t="s">
        <v>1732</v>
      </c>
      <c r="G212" s="209" t="s">
        <v>1278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2040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17" t="s">
        <v>1308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customHeight="1">
      <c r="A213" s="117"/>
      <c r="B213" s="209" t="s">
        <v>2063</v>
      </c>
      <c r="C213" s="209" t="s">
        <v>2222</v>
      </c>
      <c r="D213" s="209" t="s">
        <v>1297</v>
      </c>
      <c r="E213" s="209" t="s">
        <v>1794</v>
      </c>
      <c r="F213" s="209" t="s">
        <v>1733</v>
      </c>
      <c r="G213" s="209" t="s">
        <v>1283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2040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17" t="s">
        <v>990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customHeight="1">
      <c r="A214" s="117"/>
      <c r="B214" s="209" t="s">
        <v>2063</v>
      </c>
      <c r="C214" s="209" t="s">
        <v>2222</v>
      </c>
      <c r="D214" s="209" t="s">
        <v>1297</v>
      </c>
      <c r="E214" s="209" t="s">
        <v>1795</v>
      </c>
      <c r="F214" s="209" t="s">
        <v>1734</v>
      </c>
      <c r="G214" s="209" t="s">
        <v>1281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2040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1790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17" t="s">
        <v>1308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customHeight="1">
      <c r="A215" s="117"/>
      <c r="B215" s="209" t="s">
        <v>2063</v>
      </c>
      <c r="C215" s="209" t="s">
        <v>2222</v>
      </c>
      <c r="D215" s="209" t="s">
        <v>1297</v>
      </c>
      <c r="E215" s="209" t="s">
        <v>1796</v>
      </c>
      <c r="F215" s="209" t="s">
        <v>1735</v>
      </c>
      <c r="G215" s="209" t="s">
        <v>1274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2040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17" t="s">
        <v>1313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customHeight="1">
      <c r="A216" s="117"/>
      <c r="B216" s="209" t="s">
        <v>2063</v>
      </c>
      <c r="C216" s="209" t="s">
        <v>2222</v>
      </c>
      <c r="D216" s="209" t="s">
        <v>1297</v>
      </c>
      <c r="E216" s="209" t="s">
        <v>1797</v>
      </c>
      <c r="F216" s="209" t="s">
        <v>1736</v>
      </c>
      <c r="G216" s="209" t="s">
        <v>1285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2040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1791</v>
      </c>
      <c r="BZ216" s="117" t="s">
        <v>990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customHeight="1">
      <c r="A217" s="117"/>
      <c r="B217" s="209" t="s">
        <v>2063</v>
      </c>
      <c r="C217" s="209" t="s">
        <v>2222</v>
      </c>
      <c r="D217" s="209" t="s">
        <v>1297</v>
      </c>
      <c r="E217" s="209" t="s">
        <v>1980</v>
      </c>
      <c r="F217" s="209" t="s">
        <v>1737</v>
      </c>
      <c r="G217" s="209" t="s">
        <v>1285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2040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1791</v>
      </c>
      <c r="BZ217" s="117" t="s">
        <v>990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customHeight="1">
      <c r="A218" s="117"/>
      <c r="B218" s="209" t="s">
        <v>2063</v>
      </c>
      <c r="C218" s="209" t="s">
        <v>2222</v>
      </c>
      <c r="D218" s="209" t="s">
        <v>1297</v>
      </c>
      <c r="E218" s="209" t="s">
        <v>1798</v>
      </c>
      <c r="F218" s="209" t="s">
        <v>1738</v>
      </c>
      <c r="G218" s="209" t="s">
        <v>1285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2040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1791</v>
      </c>
      <c r="BZ218" s="117" t="s">
        <v>990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customHeight="1">
      <c r="A219" s="141"/>
      <c r="B219" s="199" t="s">
        <v>2063</v>
      </c>
      <c r="C219" s="199" t="s">
        <v>2222</v>
      </c>
      <c r="D219" s="199" t="s">
        <v>1297</v>
      </c>
      <c r="E219" s="199" t="s">
        <v>1799</v>
      </c>
      <c r="F219" s="199" t="s">
        <v>1739</v>
      </c>
      <c r="G219" s="199" t="s">
        <v>1740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2040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2065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1791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customHeight="1">
      <c r="A220" s="117"/>
      <c r="B220" s="209" t="s">
        <v>2063</v>
      </c>
      <c r="C220" s="209" t="s">
        <v>2222</v>
      </c>
      <c r="D220" s="209" t="s">
        <v>1297</v>
      </c>
      <c r="E220" s="209" t="s">
        <v>1800</v>
      </c>
      <c r="F220" s="209" t="s">
        <v>1720</v>
      </c>
      <c r="G220" s="209" t="s">
        <v>1721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2040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17" t="s">
        <v>1304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customHeight="1">
      <c r="A221" s="117"/>
      <c r="B221" s="209" t="s">
        <v>2063</v>
      </c>
      <c r="C221" s="209" t="s">
        <v>2222</v>
      </c>
      <c r="D221" s="209" t="s">
        <v>1297</v>
      </c>
      <c r="E221" s="209" t="s">
        <v>1801</v>
      </c>
      <c r="F221" s="209" t="s">
        <v>1722</v>
      </c>
      <c r="G221" s="209" t="s">
        <v>1704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2040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1791</v>
      </c>
      <c r="BZ221" s="117" t="s">
        <v>990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customHeight="1">
      <c r="A222" s="117"/>
      <c r="B222" s="209" t="s">
        <v>2063</v>
      </c>
      <c r="C222" s="209" t="s">
        <v>2222</v>
      </c>
      <c r="D222" s="209" t="s">
        <v>1297</v>
      </c>
      <c r="E222" s="209" t="s">
        <v>1802</v>
      </c>
      <c r="F222" s="209" t="s">
        <v>1723</v>
      </c>
      <c r="G222" s="209" t="s">
        <v>1268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2040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1790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17" t="s">
        <v>1304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customHeight="1">
      <c r="A223" s="117"/>
      <c r="B223" s="209" t="s">
        <v>2063</v>
      </c>
      <c r="C223" s="209" t="s">
        <v>2222</v>
      </c>
      <c r="D223" s="209" t="s">
        <v>1297</v>
      </c>
      <c r="E223" s="209" t="s">
        <v>1816</v>
      </c>
      <c r="F223" s="209" t="s">
        <v>1724</v>
      </c>
      <c r="G223" s="209" t="s">
        <v>1355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2040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1790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1791</v>
      </c>
      <c r="BZ223" s="117" t="s">
        <v>1304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customHeight="1">
      <c r="A224" s="141"/>
      <c r="B224" s="199" t="s">
        <v>2063</v>
      </c>
      <c r="C224" s="199" t="s">
        <v>2222</v>
      </c>
      <c r="D224" s="199" t="s">
        <v>1297</v>
      </c>
      <c r="E224" s="199" t="s">
        <v>1806</v>
      </c>
      <c r="F224" s="199" t="s">
        <v>1725</v>
      </c>
      <c r="G224" s="199" t="s">
        <v>1726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2040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1790</v>
      </c>
      <c r="BG224" s="141"/>
      <c r="BH224" s="141"/>
      <c r="BI224" s="153"/>
      <c r="BJ224" s="230" t="s">
        <v>2066</v>
      </c>
      <c r="BK224" s="230"/>
      <c r="BL224" s="153" t="s">
        <v>1933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1791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customHeight="1">
      <c r="A225" s="141"/>
      <c r="B225" s="199" t="s">
        <v>2063</v>
      </c>
      <c r="C225" s="199" t="s">
        <v>2222</v>
      </c>
      <c r="D225" s="199" t="s">
        <v>1297</v>
      </c>
      <c r="E225" s="199" t="s">
        <v>1817</v>
      </c>
      <c r="F225" s="199" t="s">
        <v>1727</v>
      </c>
      <c r="G225" s="199" t="s">
        <v>1728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2040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1790</v>
      </c>
      <c r="BG225" s="141"/>
      <c r="BH225" s="141"/>
      <c r="BI225" s="153"/>
      <c r="BJ225" s="230" t="s">
        <v>2066</v>
      </c>
      <c r="BK225" s="230"/>
      <c r="BL225" s="153" t="s">
        <v>1933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1791</v>
      </c>
      <c r="BZ225" s="141" t="s">
        <v>1014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customHeight="1">
      <c r="A226" s="117"/>
      <c r="B226" s="209" t="s">
        <v>2063</v>
      </c>
      <c r="C226" s="209" t="s">
        <v>2222</v>
      </c>
      <c r="D226" s="209" t="s">
        <v>1297</v>
      </c>
      <c r="E226" s="209" t="s">
        <v>1818</v>
      </c>
      <c r="F226" s="209" t="s">
        <v>1729</v>
      </c>
      <c r="G226" s="209" t="s">
        <v>1124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2040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1790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1791</v>
      </c>
      <c r="BZ226" s="117" t="s">
        <v>1308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customHeight="1">
      <c r="A227" s="117"/>
      <c r="B227" s="209" t="s">
        <v>2063</v>
      </c>
      <c r="C227" s="209" t="s">
        <v>2222</v>
      </c>
      <c r="D227" s="209" t="s">
        <v>1297</v>
      </c>
      <c r="E227" s="209" t="s">
        <v>1807</v>
      </c>
      <c r="F227" s="209" t="s">
        <v>1730</v>
      </c>
      <c r="G227" s="209" t="s">
        <v>1126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2040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1790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1791</v>
      </c>
      <c r="BZ227" s="117" t="s">
        <v>1304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customHeight="1">
      <c r="A228" s="117"/>
      <c r="B228" s="209" t="s">
        <v>2063</v>
      </c>
      <c r="C228" s="209" t="s">
        <v>2222</v>
      </c>
      <c r="D228" s="209" t="s">
        <v>1077</v>
      </c>
      <c r="E228" s="209" t="s">
        <v>1803</v>
      </c>
      <c r="F228" s="209" t="s">
        <v>1718</v>
      </c>
      <c r="G228" s="209" t="s">
        <v>1076</v>
      </c>
      <c r="H228" s="210">
        <v>812</v>
      </c>
      <c r="I228" s="211" t="s">
        <v>1078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2040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17" t="s">
        <v>1290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customHeight="1">
      <c r="A229" s="162">
        <v>184</v>
      </c>
      <c r="B229" s="177" t="s">
        <v>1847</v>
      </c>
      <c r="C229" s="177" t="s">
        <v>2126</v>
      </c>
      <c r="D229" s="177" t="s">
        <v>1848</v>
      </c>
      <c r="E229" s="177"/>
      <c r="F229" s="177"/>
      <c r="G229" s="177" t="s">
        <v>1849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0.25</v>
      </c>
      <c r="Y229" s="181"/>
      <c r="Z229" s="181"/>
      <c r="AA229" s="181"/>
      <c r="AB229" s="181"/>
      <c r="AC229" s="228" t="s">
        <v>196</v>
      </c>
      <c r="AD229" s="184" t="s">
        <v>2040</v>
      </c>
      <c r="AE229" s="162" t="s">
        <v>143</v>
      </c>
      <c r="AF229" s="181" t="s">
        <v>1784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customHeight="1">
      <c r="A230" s="117"/>
      <c r="B230" s="209" t="s">
        <v>1847</v>
      </c>
      <c r="C230" s="209" t="s">
        <v>2126</v>
      </c>
      <c r="D230" s="209" t="s">
        <v>955</v>
      </c>
      <c r="E230" s="209" t="s">
        <v>1789</v>
      </c>
      <c r="F230" s="209" t="s">
        <v>953</v>
      </c>
      <c r="G230" s="209" t="s">
        <v>954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2040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1790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17" t="s">
        <v>958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customHeight="1">
      <c r="A231" s="117"/>
      <c r="B231" s="209" t="s">
        <v>1847</v>
      </c>
      <c r="C231" s="209" t="s">
        <v>2126</v>
      </c>
      <c r="D231" s="209" t="s">
        <v>955</v>
      </c>
      <c r="E231" s="209" t="s">
        <v>1792</v>
      </c>
      <c r="F231" s="209" t="s">
        <v>959</v>
      </c>
      <c r="G231" s="209" t="s">
        <v>960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2040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1790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17" t="s">
        <v>963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customHeight="1">
      <c r="A232" s="117"/>
      <c r="B232" s="209" t="s">
        <v>1847</v>
      </c>
      <c r="C232" s="209" t="s">
        <v>2126</v>
      </c>
      <c r="D232" s="209" t="s">
        <v>955</v>
      </c>
      <c r="E232" s="209" t="s">
        <v>1793</v>
      </c>
      <c r="F232" s="209" t="s">
        <v>964</v>
      </c>
      <c r="G232" s="209" t="s">
        <v>965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2040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1790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17" t="s">
        <v>968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customHeight="1">
      <c r="A233" s="117"/>
      <c r="B233" s="209" t="s">
        <v>1847</v>
      </c>
      <c r="C233" s="209" t="s">
        <v>2126</v>
      </c>
      <c r="D233" s="209" t="s">
        <v>955</v>
      </c>
      <c r="E233" s="209" t="s">
        <v>1794</v>
      </c>
      <c r="F233" s="209" t="s">
        <v>969</v>
      </c>
      <c r="G233" s="209" t="s">
        <v>970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2040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1790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973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customHeight="1">
      <c r="A234" s="162">
        <v>185</v>
      </c>
      <c r="B234" s="177" t="s">
        <v>1847</v>
      </c>
      <c r="C234" s="177" t="s">
        <v>2131</v>
      </c>
      <c r="D234" s="177" t="s">
        <v>1850</v>
      </c>
      <c r="E234" s="177"/>
      <c r="F234" s="177"/>
      <c r="G234" s="177" t="s">
        <v>1851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6.2500000000000003E-3</v>
      </c>
      <c r="Y234" s="181"/>
      <c r="Z234" s="181"/>
      <c r="AA234" s="181"/>
      <c r="AB234" s="181"/>
      <c r="AC234" s="228" t="s">
        <v>196</v>
      </c>
      <c r="AD234" s="184" t="s">
        <v>2040</v>
      </c>
      <c r="AE234" s="162" t="s">
        <v>143</v>
      </c>
      <c r="AF234" s="181" t="s">
        <v>1784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1847</v>
      </c>
      <c r="C235" s="199" t="s">
        <v>2131</v>
      </c>
      <c r="D235" s="199" t="s">
        <v>980</v>
      </c>
      <c r="E235" s="199" t="s">
        <v>1852</v>
      </c>
      <c r="F235" s="199" t="s">
        <v>978</v>
      </c>
      <c r="G235" s="199" t="s">
        <v>979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ref="U235:U238" ca="1" si="391">+L235-T235</f>
        <v>16</v>
      </c>
      <c r="V235" s="203">
        <f t="shared" ref="V235:V238" ca="1" si="392">ROUNDDOWN(T235/J235,0)</f>
        <v>0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2067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0</v>
      </c>
      <c r="AJ235" s="203">
        <f t="shared" ref="AJ235:AJ238" ca="1" si="396">+AH235-AI235</f>
        <v>16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1790</v>
      </c>
      <c r="BG235" s="141"/>
      <c r="BH235" s="141"/>
      <c r="BI235" s="153"/>
      <c r="BJ235" s="153"/>
      <c r="BK235" s="153" t="s">
        <v>1854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1791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customHeight="1">
      <c r="A236" s="117"/>
      <c r="B236" s="209" t="s">
        <v>1847</v>
      </c>
      <c r="C236" s="209" t="s">
        <v>2131</v>
      </c>
      <c r="D236" s="209" t="s">
        <v>976</v>
      </c>
      <c r="E236" s="209" t="s">
        <v>1855</v>
      </c>
      <c r="F236" s="209" t="s">
        <v>974</v>
      </c>
      <c r="G236" s="209" t="s">
        <v>975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977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2040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customHeight="1">
      <c r="A237" s="117"/>
      <c r="B237" s="209" t="s">
        <v>1847</v>
      </c>
      <c r="C237" s="209" t="s">
        <v>2131</v>
      </c>
      <c r="D237" s="209" t="s">
        <v>13</v>
      </c>
      <c r="E237" s="209" t="s">
        <v>1789</v>
      </c>
      <c r="F237" s="209" t="s">
        <v>986</v>
      </c>
      <c r="G237" s="209" t="s">
        <v>987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203">
        <f t="shared" ca="1" si="391"/>
        <v>3</v>
      </c>
      <c r="V237" s="203">
        <f t="shared" ca="1" si="392"/>
        <v>1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2040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1</v>
      </c>
      <c r="AJ237" s="203">
        <f t="shared" ca="1" si="396"/>
        <v>3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1790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1791</v>
      </c>
      <c r="BZ237" s="117" t="s">
        <v>990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customHeight="1">
      <c r="A238" s="117"/>
      <c r="B238" s="209" t="s">
        <v>1847</v>
      </c>
      <c r="C238" s="209" t="s">
        <v>2131</v>
      </c>
      <c r="D238" s="209" t="s">
        <v>984</v>
      </c>
      <c r="E238" s="209" t="s">
        <v>1824</v>
      </c>
      <c r="F238" s="209" t="s">
        <v>982</v>
      </c>
      <c r="G238" s="209" t="s">
        <v>983</v>
      </c>
      <c r="H238" s="210"/>
      <c r="I238" s="211" t="s">
        <v>985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977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2040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customHeight="1">
      <c r="A239" s="162">
        <v>186</v>
      </c>
      <c r="B239" s="177" t="s">
        <v>1847</v>
      </c>
      <c r="C239" s="177" t="s">
        <v>2133</v>
      </c>
      <c r="D239" s="177" t="s">
        <v>1856</v>
      </c>
      <c r="E239" s="177"/>
      <c r="F239" s="177"/>
      <c r="G239" s="177" t="s">
        <v>1857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</v>
      </c>
      <c r="Y239" s="181"/>
      <c r="Z239" s="181"/>
      <c r="AA239" s="181"/>
      <c r="AB239" s="181"/>
      <c r="AC239" s="228" t="s">
        <v>196</v>
      </c>
      <c r="AD239" s="184" t="s">
        <v>2040</v>
      </c>
      <c r="AE239" s="162" t="s">
        <v>143</v>
      </c>
      <c r="AF239" s="181" t="s">
        <v>1784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customHeight="1">
      <c r="A240" s="117"/>
      <c r="B240" s="209" t="s">
        <v>1847</v>
      </c>
      <c r="C240" s="209" t="s">
        <v>2133</v>
      </c>
      <c r="D240" s="209" t="s">
        <v>13</v>
      </c>
      <c r="E240" s="209" t="s">
        <v>1789</v>
      </c>
      <c r="F240" s="209" t="s">
        <v>991</v>
      </c>
      <c r="G240" s="209" t="s">
        <v>992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03">
        <f t="shared" ref="U240:U241" ca="1" si="412">+L240-T240</f>
        <v>4</v>
      </c>
      <c r="V240" s="203">
        <f t="shared" ref="V240:V241" ca="1" si="413">ROUNDDOWN(T240/J240,0)</f>
        <v>0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2040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0</v>
      </c>
      <c r="AJ240" s="203">
        <f t="shared" ref="AJ240:AJ241" ca="1" si="417">+AH240-AI240</f>
        <v>4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1790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1791</v>
      </c>
      <c r="BZ240" s="117" t="s">
        <v>995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customHeight="1">
      <c r="A241" s="117"/>
      <c r="B241" s="209" t="s">
        <v>1847</v>
      </c>
      <c r="C241" s="209" t="s">
        <v>2133</v>
      </c>
      <c r="D241" s="209" t="s">
        <v>13</v>
      </c>
      <c r="E241" s="209" t="s">
        <v>1792</v>
      </c>
      <c r="F241" s="209" t="s">
        <v>996</v>
      </c>
      <c r="G241" s="209" t="s">
        <v>997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12"/>
        <v>4</v>
      </c>
      <c r="V241" s="203">
        <f t="shared" ca="1" si="413"/>
        <v>0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2040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0</v>
      </c>
      <c r="AJ241" s="203">
        <f t="shared" ca="1" si="417"/>
        <v>4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1790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1791</v>
      </c>
      <c r="BZ241" s="117" t="s">
        <v>995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customHeight="1">
      <c r="A242" s="162">
        <v>187</v>
      </c>
      <c r="B242" s="177" t="s">
        <v>2068</v>
      </c>
      <c r="C242" s="177" t="s">
        <v>2135</v>
      </c>
      <c r="D242" s="177" t="s">
        <v>1859</v>
      </c>
      <c r="E242" s="177"/>
      <c r="F242" s="177"/>
      <c r="G242" s="177" t="s">
        <v>1860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2040</v>
      </c>
      <c r="AE242" s="162" t="s">
        <v>143</v>
      </c>
      <c r="AF242" s="181" t="s">
        <v>1784</v>
      </c>
      <c r="AG242" s="181">
        <v>2</v>
      </c>
      <c r="AH242" s="181"/>
      <c r="AI242" s="181"/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customHeight="1">
      <c r="A243" s="162">
        <v>188</v>
      </c>
      <c r="B243" s="177" t="s">
        <v>2068</v>
      </c>
      <c r="C243" s="177" t="s">
        <v>2136</v>
      </c>
      <c r="D243" s="177" t="s">
        <v>1859</v>
      </c>
      <c r="E243" s="177"/>
      <c r="F243" s="177"/>
      <c r="G243" s="177" t="s">
        <v>1861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2040</v>
      </c>
      <c r="AE243" s="162" t="s">
        <v>143</v>
      </c>
      <c r="AF243" s="181" t="s">
        <v>1784</v>
      </c>
      <c r="AG243" s="181">
        <v>10</v>
      </c>
      <c r="AH243" s="181"/>
      <c r="AI243" s="181"/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customHeight="1">
      <c r="A244" s="162">
        <v>189</v>
      </c>
      <c r="B244" s="177" t="s">
        <v>1847</v>
      </c>
      <c r="C244" s="177" t="s">
        <v>2137</v>
      </c>
      <c r="D244" s="177" t="s">
        <v>1862</v>
      </c>
      <c r="E244" s="177"/>
      <c r="F244" s="177"/>
      <c r="G244" s="177" t="s">
        <v>1863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2040</v>
      </c>
      <c r="AE244" s="162" t="s">
        <v>143</v>
      </c>
      <c r="AF244" s="181" t="s">
        <v>1784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customHeight="1">
      <c r="A245" s="117"/>
      <c r="B245" s="209" t="s">
        <v>1847</v>
      </c>
      <c r="C245" s="209" t="s">
        <v>2137</v>
      </c>
      <c r="D245" s="209" t="s">
        <v>955</v>
      </c>
      <c r="E245" s="209" t="s">
        <v>1789</v>
      </c>
      <c r="F245" s="209" t="s">
        <v>998</v>
      </c>
      <c r="G245" s="209" t="s">
        <v>999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2040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1790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1000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1847</v>
      </c>
      <c r="C246" s="177" t="s">
        <v>2201</v>
      </c>
      <c r="D246" s="177" t="s">
        <v>1995</v>
      </c>
      <c r="E246" s="177"/>
      <c r="F246" s="177"/>
      <c r="G246" s="177" t="s">
        <v>1996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2040</v>
      </c>
      <c r="AE246" s="162" t="s">
        <v>143</v>
      </c>
      <c r="AF246" s="181" t="s">
        <v>1784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customHeight="1">
      <c r="A247" s="162">
        <v>191</v>
      </c>
      <c r="B247" s="177" t="s">
        <v>1847</v>
      </c>
      <c r="C247" s="177" t="s">
        <v>2202</v>
      </c>
      <c r="D247" s="177" t="s">
        <v>2001</v>
      </c>
      <c r="E247" s="177"/>
      <c r="F247" s="177"/>
      <c r="G247" s="177" t="s">
        <v>2002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2040</v>
      </c>
      <c r="AE247" s="162" t="s">
        <v>143</v>
      </c>
      <c r="AF247" s="181" t="s">
        <v>1784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1847</v>
      </c>
      <c r="C248" s="209" t="s">
        <v>2202</v>
      </c>
      <c r="D248" s="209" t="s">
        <v>13</v>
      </c>
      <c r="E248" s="209" t="s">
        <v>1789</v>
      </c>
      <c r="F248" s="209" t="s">
        <v>1003</v>
      </c>
      <c r="G248" s="209" t="s">
        <v>1004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2040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1790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1791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customHeight="1">
      <c r="A249" s="117"/>
      <c r="B249" s="209" t="s">
        <v>1847</v>
      </c>
      <c r="C249" s="209" t="s">
        <v>2202</v>
      </c>
      <c r="D249" s="209" t="s">
        <v>984</v>
      </c>
      <c r="E249" s="209" t="s">
        <v>1824</v>
      </c>
      <c r="F249" s="209" t="s">
        <v>1001</v>
      </c>
      <c r="G249" s="209" t="s">
        <v>1002</v>
      </c>
      <c r="H249" s="210"/>
      <c r="I249" s="211" t="s">
        <v>985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977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2040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customHeight="1">
      <c r="A250" s="162">
        <v>192</v>
      </c>
      <c r="B250" s="177" t="s">
        <v>1847</v>
      </c>
      <c r="C250" s="177" t="s">
        <v>2203</v>
      </c>
      <c r="D250" s="177" t="s">
        <v>2003</v>
      </c>
      <c r="E250" s="177"/>
      <c r="F250" s="177"/>
      <c r="G250" s="177" t="s">
        <v>2004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0</v>
      </c>
      <c r="X250" s="181">
        <f ca="1">SUMIFS(T:T,C:C,C250,AE:AE,"")/SUMIFS(L:L,C:C,C250,AE:AE,"",AB:AB,"")</f>
        <v>0</v>
      </c>
      <c r="Y250" s="181"/>
      <c r="Z250" s="181"/>
      <c r="AA250" s="181"/>
      <c r="AB250" s="181"/>
      <c r="AC250" s="228" t="s">
        <v>196</v>
      </c>
      <c r="AD250" s="184" t="s">
        <v>2040</v>
      </c>
      <c r="AE250" s="162" t="s">
        <v>143</v>
      </c>
      <c r="AF250" s="181" t="s">
        <v>1784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1847</v>
      </c>
      <c r="C251" s="199" t="s">
        <v>2203</v>
      </c>
      <c r="D251" s="199" t="s">
        <v>1008</v>
      </c>
      <c r="E251" s="199" t="s">
        <v>1869</v>
      </c>
      <c r="F251" s="199" t="s">
        <v>1007</v>
      </c>
      <c r="G251" s="199" t="s">
        <v>1004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" ca="1" si="459">+L251-T251</f>
        <v>4</v>
      </c>
      <c r="V251" s="203">
        <f t="shared" ref="V251" ca="1" si="460">ROUNDDOWN(T251/J251,0)</f>
        <v>0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2040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0</v>
      </c>
      <c r="AJ251" s="203">
        <f ca="1">+AH251-AI251</f>
        <v>4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1790</v>
      </c>
      <c r="BG251" s="141"/>
      <c r="BH251" s="141"/>
      <c r="BI251" s="153"/>
      <c r="BJ251" s="153"/>
      <c r="BK251" s="153"/>
      <c r="BL251" s="153" t="s">
        <v>1933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1791</v>
      </c>
      <c r="BZ251" s="141" t="s">
        <v>968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customHeight="1">
      <c r="A252" s="162">
        <v>193</v>
      </c>
      <c r="B252" s="177" t="s">
        <v>1864</v>
      </c>
      <c r="C252" s="177" t="s">
        <v>2138</v>
      </c>
      <c r="D252" s="177" t="s">
        <v>1865</v>
      </c>
      <c r="E252" s="177"/>
      <c r="F252" s="177"/>
      <c r="G252" s="177" t="s">
        <v>1866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0.16666666666666666</v>
      </c>
      <c r="Y252" s="181"/>
      <c r="Z252" s="181"/>
      <c r="AA252" s="181"/>
      <c r="AB252" s="181"/>
      <c r="AC252" s="228" t="s">
        <v>196</v>
      </c>
      <c r="AD252" s="184" t="s">
        <v>2040</v>
      </c>
      <c r="AE252" s="162" t="s">
        <v>143</v>
      </c>
      <c r="AF252" s="181" t="s">
        <v>1784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customHeight="1">
      <c r="A253" s="117"/>
      <c r="B253" s="209" t="s">
        <v>1864</v>
      </c>
      <c r="C253" s="209" t="s">
        <v>2138</v>
      </c>
      <c r="D253" s="209" t="s">
        <v>1017</v>
      </c>
      <c r="E253" s="209" t="s">
        <v>1824</v>
      </c>
      <c r="F253" s="209" t="s">
        <v>1015</v>
      </c>
      <c r="G253" s="209" t="s">
        <v>1016</v>
      </c>
      <c r="H253" s="210"/>
      <c r="I253" s="211" t="s">
        <v>1018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977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2040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customHeight="1">
      <c r="A254" s="141"/>
      <c r="B254" s="199" t="s">
        <v>1864</v>
      </c>
      <c r="C254" s="199" t="s">
        <v>2138</v>
      </c>
      <c r="D254" s="199" t="s">
        <v>1011</v>
      </c>
      <c r="E254" s="199" t="s">
        <v>1803</v>
      </c>
      <c r="F254" s="199" t="s">
        <v>1009</v>
      </c>
      <c r="G254" s="199" t="s">
        <v>1010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2040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1790</v>
      </c>
      <c r="BG254" s="141"/>
      <c r="BH254" s="141"/>
      <c r="BI254" s="153"/>
      <c r="BJ254" s="153"/>
      <c r="BK254" s="153"/>
      <c r="BL254" s="153" t="s">
        <v>1933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1791</v>
      </c>
      <c r="BZ254" s="141" t="s">
        <v>1014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customHeight="1">
      <c r="A255" s="117"/>
      <c r="B255" s="209" t="s">
        <v>1864</v>
      </c>
      <c r="C255" s="209" t="s">
        <v>2138</v>
      </c>
      <c r="D255" s="209" t="s">
        <v>13</v>
      </c>
      <c r="E255" s="209" t="s">
        <v>1789</v>
      </c>
      <c r="F255" s="209" t="s">
        <v>1019</v>
      </c>
      <c r="G255" s="209" t="s">
        <v>1020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468"/>
        <v>1</v>
      </c>
      <c r="V255" s="203">
        <f t="shared" ca="1" si="469"/>
        <v>0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2040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0</v>
      </c>
      <c r="AJ255" s="203">
        <f t="shared" ca="1" si="473"/>
        <v>1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1790</v>
      </c>
      <c r="BG255" s="117"/>
      <c r="BH255" s="117"/>
      <c r="BI255" s="149"/>
      <c r="BJ255" s="149" t="s">
        <v>2005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1791</v>
      </c>
      <c r="BZ255" s="117" t="s">
        <v>1023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customHeight="1">
      <c r="A256" s="162">
        <v>194</v>
      </c>
      <c r="B256" s="177" t="s">
        <v>1864</v>
      </c>
      <c r="C256" s="177" t="s">
        <v>2139</v>
      </c>
      <c r="D256" s="177" t="s">
        <v>1867</v>
      </c>
      <c r="E256" s="177"/>
      <c r="F256" s="177"/>
      <c r="G256" s="177" t="s">
        <v>1868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2040</v>
      </c>
      <c r="AE256" s="162" t="s">
        <v>143</v>
      </c>
      <c r="AF256" s="181" t="s">
        <v>1784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customHeight="1">
      <c r="A257" s="117"/>
      <c r="B257" s="209" t="s">
        <v>1864</v>
      </c>
      <c r="C257" s="209" t="s">
        <v>2139</v>
      </c>
      <c r="D257" s="209" t="s">
        <v>1008</v>
      </c>
      <c r="E257" s="209" t="s">
        <v>1869</v>
      </c>
      <c r="F257" s="209" t="s">
        <v>1032</v>
      </c>
      <c r="G257" s="209" t="s">
        <v>1033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2040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1790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1791</v>
      </c>
      <c r="BZ257" s="117" t="s">
        <v>1035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customHeight="1">
      <c r="A258" s="117"/>
      <c r="B258" s="209" t="s">
        <v>1864</v>
      </c>
      <c r="C258" s="209" t="s">
        <v>2139</v>
      </c>
      <c r="D258" s="209" t="s">
        <v>1026</v>
      </c>
      <c r="E258" s="209" t="s">
        <v>1870</v>
      </c>
      <c r="F258" s="209" t="s">
        <v>1024</v>
      </c>
      <c r="G258" s="209" t="s">
        <v>1025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2069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1790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17" t="s">
        <v>1029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customHeight="1">
      <c r="A259" s="117"/>
      <c r="B259" s="209" t="s">
        <v>1864</v>
      </c>
      <c r="C259" s="209" t="s">
        <v>2139</v>
      </c>
      <c r="D259" s="209" t="s">
        <v>13</v>
      </c>
      <c r="E259" s="209" t="s">
        <v>1789</v>
      </c>
      <c r="F259" s="209" t="s">
        <v>1030</v>
      </c>
      <c r="G259" s="209" t="s">
        <v>1031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2040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1790</v>
      </c>
      <c r="BG259" s="117"/>
      <c r="BH259" s="117"/>
      <c r="BI259" s="149"/>
      <c r="BJ259" s="149" t="s">
        <v>2005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1791</v>
      </c>
      <c r="BZ259" s="117" t="s">
        <v>1023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customHeight="1">
      <c r="A260" s="162">
        <v>195</v>
      </c>
      <c r="B260" s="177" t="s">
        <v>1864</v>
      </c>
      <c r="C260" s="177" t="s">
        <v>2142</v>
      </c>
      <c r="D260" s="177" t="s">
        <v>1872</v>
      </c>
      <c r="E260" s="177"/>
      <c r="F260" s="177"/>
      <c r="G260" s="177" t="s">
        <v>1873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0.15</v>
      </c>
      <c r="Y260" s="181"/>
      <c r="Z260" s="181"/>
      <c r="AA260" s="181"/>
      <c r="AB260" s="181"/>
      <c r="AC260" s="228" t="s">
        <v>196</v>
      </c>
      <c r="AD260" s="184" t="s">
        <v>2040</v>
      </c>
      <c r="AE260" s="162" t="s">
        <v>143</v>
      </c>
      <c r="AF260" s="181" t="s">
        <v>1784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customHeight="1">
      <c r="A261" s="117"/>
      <c r="B261" s="209" t="s">
        <v>1864</v>
      </c>
      <c r="C261" s="209" t="s">
        <v>2142</v>
      </c>
      <c r="D261" s="209" t="s">
        <v>1874</v>
      </c>
      <c r="E261" s="209" t="s">
        <v>1824</v>
      </c>
      <c r="F261" s="209" t="s">
        <v>1036</v>
      </c>
      <c r="G261" s="209" t="s">
        <v>1875</v>
      </c>
      <c r="H261" s="210"/>
      <c r="I261" s="211" t="s">
        <v>1018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977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2040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customHeight="1">
      <c r="A262" s="117"/>
      <c r="B262" s="209" t="s">
        <v>1864</v>
      </c>
      <c r="C262" s="209" t="s">
        <v>2142</v>
      </c>
      <c r="D262" s="209" t="s">
        <v>1008</v>
      </c>
      <c r="E262" s="209" t="s">
        <v>1869</v>
      </c>
      <c r="F262" s="209" t="s">
        <v>1040</v>
      </c>
      <c r="G262" s="209" t="s">
        <v>1041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2040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1790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1791</v>
      </c>
      <c r="BZ262" s="117" t="s">
        <v>1043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customHeight="1">
      <c r="A263" s="117"/>
      <c r="B263" s="209" t="s">
        <v>1864</v>
      </c>
      <c r="C263" s="209" t="s">
        <v>2142</v>
      </c>
      <c r="D263" s="209" t="s">
        <v>1008</v>
      </c>
      <c r="E263" s="209" t="s">
        <v>1876</v>
      </c>
      <c r="F263" s="209" t="s">
        <v>1044</v>
      </c>
      <c r="G263" s="209" t="s">
        <v>1045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2040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1790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1791</v>
      </c>
      <c r="BZ263" s="117" t="s">
        <v>1047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customHeight="1">
      <c r="A264" s="117"/>
      <c r="B264" s="209" t="s">
        <v>1864</v>
      </c>
      <c r="C264" s="209" t="s">
        <v>2142</v>
      </c>
      <c r="D264" s="209" t="s">
        <v>1038</v>
      </c>
      <c r="E264" s="209" t="s">
        <v>1824</v>
      </c>
      <c r="F264" s="209"/>
      <c r="G264" s="209" t="s">
        <v>1037</v>
      </c>
      <c r="H264" s="210" t="s">
        <v>1039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977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2040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customHeight="1">
      <c r="A265" s="162">
        <v>196</v>
      </c>
      <c r="B265" s="177" t="s">
        <v>1864</v>
      </c>
      <c r="C265" s="177" t="s">
        <v>2145</v>
      </c>
      <c r="D265" s="177" t="s">
        <v>1877</v>
      </c>
      <c r="E265" s="177"/>
      <c r="F265" s="177"/>
      <c r="G265" s="177" t="s">
        <v>1878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0.25</v>
      </c>
      <c r="Y265" s="181"/>
      <c r="Z265" s="181"/>
      <c r="AA265" s="181"/>
      <c r="AB265" s="181"/>
      <c r="AC265" s="228" t="s">
        <v>196</v>
      </c>
      <c r="AD265" s="184" t="s">
        <v>2040</v>
      </c>
      <c r="AE265" s="162" t="s">
        <v>143</v>
      </c>
      <c r="AF265" s="181" t="s">
        <v>1784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customHeight="1">
      <c r="A266" s="117"/>
      <c r="B266" s="209" t="s">
        <v>1864</v>
      </c>
      <c r="C266" s="209" t="s">
        <v>2145</v>
      </c>
      <c r="D266" s="209" t="s">
        <v>1017</v>
      </c>
      <c r="E266" s="209" t="s">
        <v>1824</v>
      </c>
      <c r="F266" s="209" t="s">
        <v>1053</v>
      </c>
      <c r="G266" s="209" t="s">
        <v>1054</v>
      </c>
      <c r="H266" s="210"/>
      <c r="I266" s="211" t="s">
        <v>1018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977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2040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customHeight="1">
      <c r="A267" s="117"/>
      <c r="B267" s="209" t="s">
        <v>1864</v>
      </c>
      <c r="C267" s="209" t="s">
        <v>2145</v>
      </c>
      <c r="D267" s="209" t="s">
        <v>1011</v>
      </c>
      <c r="E267" s="209" t="s">
        <v>1803</v>
      </c>
      <c r="F267" s="209" t="s">
        <v>1048</v>
      </c>
      <c r="G267" s="209" t="s">
        <v>1049</v>
      </c>
      <c r="H267" s="210">
        <v>761</v>
      </c>
      <c r="I267" s="211" t="s">
        <v>1050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2040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1790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1791</v>
      </c>
      <c r="BZ267" s="117" t="s">
        <v>1052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customHeight="1">
      <c r="A268" s="117"/>
      <c r="B268" s="209" t="s">
        <v>1864</v>
      </c>
      <c r="C268" s="209" t="s">
        <v>2145</v>
      </c>
      <c r="D268" s="209" t="s">
        <v>13</v>
      </c>
      <c r="E268" s="209" t="s">
        <v>1789</v>
      </c>
      <c r="F268" s="209" t="s">
        <v>1057</v>
      </c>
      <c r="G268" s="209" t="s">
        <v>1058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03">
        <f t="shared" ca="1" si="531"/>
        <v>1</v>
      </c>
      <c r="V268" s="203">
        <f t="shared" ca="1" si="532"/>
        <v>0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2040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0</v>
      </c>
      <c r="AJ268" s="203">
        <f t="shared" ca="1" si="536"/>
        <v>1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1790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1791</v>
      </c>
      <c r="BZ268" s="117" t="s">
        <v>1061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customHeight="1">
      <c r="A269" s="117"/>
      <c r="B269" s="209" t="s">
        <v>1864</v>
      </c>
      <c r="C269" s="209" t="s">
        <v>2145</v>
      </c>
      <c r="D269" s="209" t="s">
        <v>13</v>
      </c>
      <c r="E269" s="209" t="s">
        <v>1792</v>
      </c>
      <c r="F269" s="209" t="s">
        <v>1062</v>
      </c>
      <c r="G269" s="209" t="s">
        <v>1063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2040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1790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1791</v>
      </c>
      <c r="BZ269" s="117" t="s">
        <v>1064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customHeight="1">
      <c r="A270" s="117"/>
      <c r="B270" s="209" t="s">
        <v>1864</v>
      </c>
      <c r="C270" s="209" t="s">
        <v>2145</v>
      </c>
      <c r="D270" s="209" t="s">
        <v>13</v>
      </c>
      <c r="E270" s="209" t="s">
        <v>1793</v>
      </c>
      <c r="F270" s="209" t="s">
        <v>1065</v>
      </c>
      <c r="G270" s="209" t="s">
        <v>1066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2040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1790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1791</v>
      </c>
      <c r="BZ270" s="117" t="s">
        <v>1064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1864</v>
      </c>
      <c r="C271" s="209" t="s">
        <v>2145</v>
      </c>
      <c r="D271" s="209" t="s">
        <v>1056</v>
      </c>
      <c r="E271" s="209" t="s">
        <v>1879</v>
      </c>
      <c r="F271" s="209" t="s">
        <v>1055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977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2040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customHeight="1">
      <c r="A272" s="162">
        <v>197</v>
      </c>
      <c r="B272" s="177" t="s">
        <v>1864</v>
      </c>
      <c r="C272" s="177" t="s">
        <v>2147</v>
      </c>
      <c r="D272" s="177" t="s">
        <v>1880</v>
      </c>
      <c r="E272" s="177"/>
      <c r="F272" s="177"/>
      <c r="G272" s="177" t="s">
        <v>1881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2040</v>
      </c>
      <c r="AE272" s="162" t="s">
        <v>143</v>
      </c>
      <c r="AF272" s="181" t="s">
        <v>1784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customHeight="1">
      <c r="A273" s="117"/>
      <c r="B273" s="209" t="s">
        <v>1864</v>
      </c>
      <c r="C273" s="209" t="s">
        <v>2147</v>
      </c>
      <c r="D273" s="209" t="s">
        <v>1017</v>
      </c>
      <c r="E273" s="209" t="s">
        <v>1824</v>
      </c>
      <c r="F273" s="209" t="s">
        <v>1068</v>
      </c>
      <c r="G273" s="209" t="s">
        <v>1054</v>
      </c>
      <c r="H273" s="210"/>
      <c r="I273" s="211" t="s">
        <v>1018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977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2040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customHeight="1">
      <c r="A274" s="117"/>
      <c r="B274" s="209" t="s">
        <v>1864</v>
      </c>
      <c r="C274" s="209" t="s">
        <v>2147</v>
      </c>
      <c r="D274" s="209" t="s">
        <v>1011</v>
      </c>
      <c r="E274" s="209" t="s">
        <v>1803</v>
      </c>
      <c r="F274" s="209" t="s">
        <v>1067</v>
      </c>
      <c r="G274" s="209" t="s">
        <v>1049</v>
      </c>
      <c r="H274" s="210">
        <v>604</v>
      </c>
      <c r="I274" s="211" t="s">
        <v>1050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2040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1790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1791</v>
      </c>
      <c r="BZ274" s="117" t="s">
        <v>1052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customHeight="1">
      <c r="A275" s="117"/>
      <c r="B275" s="209" t="s">
        <v>1864</v>
      </c>
      <c r="C275" s="209" t="s">
        <v>2147</v>
      </c>
      <c r="D275" s="209" t="s">
        <v>13</v>
      </c>
      <c r="E275" s="209" t="s">
        <v>1789</v>
      </c>
      <c r="F275" s="209" t="s">
        <v>1070</v>
      </c>
      <c r="G275" s="209" t="s">
        <v>1071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2040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1790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17" t="s">
        <v>1014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1864</v>
      </c>
      <c r="C276" s="209" t="s">
        <v>2147</v>
      </c>
      <c r="D276" s="209" t="s">
        <v>1056</v>
      </c>
      <c r="E276" s="209" t="s">
        <v>1879</v>
      </c>
      <c r="F276" s="209" t="s">
        <v>1069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977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2040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customHeight="1">
      <c r="A277" s="162">
        <v>198</v>
      </c>
      <c r="B277" s="177" t="s">
        <v>1864</v>
      </c>
      <c r="C277" s="177" t="s">
        <v>2148</v>
      </c>
      <c r="D277" s="177" t="s">
        <v>1882</v>
      </c>
      <c r="E277" s="177"/>
      <c r="F277" s="177"/>
      <c r="G277" s="177" t="s">
        <v>1883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2040</v>
      </c>
      <c r="AE277" s="162" t="s">
        <v>143</v>
      </c>
      <c r="AF277" s="181" t="s">
        <v>1784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customHeight="1">
      <c r="A278" s="117"/>
      <c r="B278" s="209" t="s">
        <v>1864</v>
      </c>
      <c r="C278" s="209" t="s">
        <v>2148</v>
      </c>
      <c r="D278" s="209" t="s">
        <v>1074</v>
      </c>
      <c r="E278" s="209" t="s">
        <v>1884</v>
      </c>
      <c r="F278" s="209" t="s">
        <v>1072</v>
      </c>
      <c r="G278" s="209" t="s">
        <v>1073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2040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1790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1791</v>
      </c>
      <c r="BZ278" s="117" t="s">
        <v>958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2068</v>
      </c>
      <c r="C279" s="177" t="s">
        <v>2149</v>
      </c>
      <c r="D279" s="177" t="s">
        <v>1885</v>
      </c>
      <c r="E279" s="177"/>
      <c r="F279" s="177"/>
      <c r="G279" s="177" t="s">
        <v>1886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2040</v>
      </c>
      <c r="AE279" s="162" t="s">
        <v>143</v>
      </c>
      <c r="AF279" s="181" t="s">
        <v>1784</v>
      </c>
      <c r="AG279" s="181">
        <v>21</v>
      </c>
      <c r="AH279" s="181">
        <f>+AG279</f>
        <v>21</v>
      </c>
      <c r="AI279" s="181"/>
      <c r="AJ279" s="181">
        <f>+AH279-AI279</f>
        <v>21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2068</v>
      </c>
      <c r="C280" s="177" t="s">
        <v>2209</v>
      </c>
      <c r="D280" s="177" t="s">
        <v>1885</v>
      </c>
      <c r="E280" s="177"/>
      <c r="F280" s="177"/>
      <c r="G280" s="177" t="s">
        <v>1886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2040</v>
      </c>
      <c r="AE280" s="162" t="s">
        <v>143</v>
      </c>
      <c r="AF280" s="181" t="s">
        <v>1784</v>
      </c>
      <c r="AG280" s="181">
        <v>1</v>
      </c>
      <c r="AH280" s="181">
        <f t="shared" ref="AH280:AH282" si="579">+AG280</f>
        <v>1</v>
      </c>
      <c r="AI280" s="181"/>
      <c r="AJ280" s="181">
        <f t="shared" ref="AJ280:AJ282" si="580">+AH280-AI280</f>
        <v>1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2068</v>
      </c>
      <c r="C281" s="177" t="s">
        <v>2210</v>
      </c>
      <c r="D281" s="177" t="s">
        <v>1885</v>
      </c>
      <c r="E281" s="177"/>
      <c r="F281" s="177"/>
      <c r="G281" s="177" t="s">
        <v>1886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2040</v>
      </c>
      <c r="AE281" s="162" t="s">
        <v>143</v>
      </c>
      <c r="AF281" s="181" t="s">
        <v>1784</v>
      </c>
      <c r="AG281" s="181">
        <v>1</v>
      </c>
      <c r="AH281" s="181">
        <f t="shared" si="579"/>
        <v>1</v>
      </c>
      <c r="AI281" s="181"/>
      <c r="AJ281" s="181">
        <f t="shared" si="580"/>
        <v>1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2068</v>
      </c>
      <c r="C282" s="177" t="s">
        <v>2211</v>
      </c>
      <c r="D282" s="177" t="s">
        <v>1885</v>
      </c>
      <c r="E282" s="177"/>
      <c r="F282" s="177"/>
      <c r="G282" s="177" t="s">
        <v>1886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2040</v>
      </c>
      <c r="AE282" s="162" t="s">
        <v>143</v>
      </c>
      <c r="AF282" s="181" t="s">
        <v>1784</v>
      </c>
      <c r="AG282" s="181">
        <v>1</v>
      </c>
      <c r="AH282" s="181">
        <f t="shared" si="579"/>
        <v>1</v>
      </c>
      <c r="AI282" s="181"/>
      <c r="AJ282" s="181">
        <f t="shared" si="580"/>
        <v>1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62">
        <v>203</v>
      </c>
      <c r="B283" s="177" t="s">
        <v>2068</v>
      </c>
      <c r="C283" s="177" t="s">
        <v>2152</v>
      </c>
      <c r="D283" s="177" t="s">
        <v>1887</v>
      </c>
      <c r="E283" s="177"/>
      <c r="F283" s="177"/>
      <c r="G283" s="177" t="s">
        <v>1888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2040</v>
      </c>
      <c r="AE283" s="162" t="s">
        <v>143</v>
      </c>
      <c r="AF283" s="181" t="s">
        <v>1784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customHeight="1">
      <c r="A284" s="162">
        <v>204</v>
      </c>
      <c r="B284" s="177" t="s">
        <v>2068</v>
      </c>
      <c r="C284" s="177" t="s">
        <v>1893</v>
      </c>
      <c r="D284" s="177" t="s">
        <v>1894</v>
      </c>
      <c r="E284" s="177"/>
      <c r="F284" s="177"/>
      <c r="G284" s="177" t="s">
        <v>1895</v>
      </c>
      <c r="H284" s="178"/>
      <c r="I284" s="179" t="s">
        <v>1896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2040</v>
      </c>
      <c r="AE284" s="162" t="s">
        <v>143</v>
      </c>
      <c r="AF284" s="181" t="s">
        <v>1784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customHeight="1">
      <c r="A285" s="162">
        <v>205</v>
      </c>
      <c r="B285" s="177" t="s">
        <v>2068</v>
      </c>
      <c r="C285" s="177" t="s">
        <v>1897</v>
      </c>
      <c r="D285" s="177" t="s">
        <v>1898</v>
      </c>
      <c r="E285" s="177"/>
      <c r="F285" s="177"/>
      <c r="G285" s="177" t="s">
        <v>1899</v>
      </c>
      <c r="H285" s="178"/>
      <c r="I285" s="179" t="s">
        <v>1900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2040</v>
      </c>
      <c r="AE285" s="162" t="s">
        <v>143</v>
      </c>
      <c r="AF285" s="181" t="s">
        <v>1784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customHeight="1">
      <c r="A286" s="162">
        <v>206</v>
      </c>
      <c r="B286" s="177" t="s">
        <v>2068</v>
      </c>
      <c r="C286" s="177" t="s">
        <v>2011</v>
      </c>
      <c r="D286" s="177" t="s">
        <v>2012</v>
      </c>
      <c r="E286" s="177"/>
      <c r="F286" s="177"/>
      <c r="G286" s="177" t="s">
        <v>1891</v>
      </c>
      <c r="H286" s="178"/>
      <c r="I286" s="179" t="s">
        <v>1904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2040</v>
      </c>
      <c r="AE286" s="162" t="s">
        <v>143</v>
      </c>
      <c r="AF286" s="181" t="s">
        <v>1784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customHeight="1">
      <c r="A287" s="162">
        <v>207</v>
      </c>
      <c r="B287" s="177" t="s">
        <v>2068</v>
      </c>
      <c r="C287" s="177" t="s">
        <v>1901</v>
      </c>
      <c r="D287" s="177" t="s">
        <v>1902</v>
      </c>
      <c r="E287" s="177"/>
      <c r="F287" s="177"/>
      <c r="G287" s="177" t="s">
        <v>1903</v>
      </c>
      <c r="H287" s="178"/>
      <c r="I287" s="179" t="s">
        <v>1904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2040</v>
      </c>
      <c r="AE287" s="162" t="s">
        <v>143</v>
      </c>
      <c r="AF287" s="181" t="s">
        <v>1784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customHeight="1">
      <c r="A288" s="162">
        <v>208</v>
      </c>
      <c r="B288" s="177" t="s">
        <v>2068</v>
      </c>
      <c r="C288" s="177" t="s">
        <v>1905</v>
      </c>
      <c r="D288" s="177" t="s">
        <v>1902</v>
      </c>
      <c r="E288" s="177"/>
      <c r="F288" s="177"/>
      <c r="G288" s="177" t="s">
        <v>1906</v>
      </c>
      <c r="H288" s="178"/>
      <c r="I288" s="179" t="s">
        <v>1904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2040</v>
      </c>
      <c r="AE288" s="162" t="s">
        <v>143</v>
      </c>
      <c r="AF288" s="181" t="s">
        <v>1784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customHeight="1">
      <c r="A289" s="162">
        <v>209</v>
      </c>
      <c r="B289" s="177" t="s">
        <v>2068</v>
      </c>
      <c r="C289" s="177" t="s">
        <v>1907</v>
      </c>
      <c r="D289" s="177" t="s">
        <v>1908</v>
      </c>
      <c r="E289" s="177"/>
      <c r="F289" s="177"/>
      <c r="G289" s="177" t="s">
        <v>1909</v>
      </c>
      <c r="H289" s="178"/>
      <c r="I289" s="179" t="s">
        <v>1913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2040</v>
      </c>
      <c r="AE289" s="162" t="s">
        <v>143</v>
      </c>
      <c r="AF289" s="181" t="s">
        <v>1784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customHeight="1">
      <c r="A290" s="162">
        <v>210</v>
      </c>
      <c r="B290" s="177" t="s">
        <v>2068</v>
      </c>
      <c r="C290" s="177" t="s">
        <v>1911</v>
      </c>
      <c r="D290" s="177" t="s">
        <v>1908</v>
      </c>
      <c r="E290" s="177"/>
      <c r="F290" s="177"/>
      <c r="G290" s="177" t="s">
        <v>1912</v>
      </c>
      <c r="H290" s="178"/>
      <c r="I290" s="179" t="s">
        <v>1913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2040</v>
      </c>
      <c r="AE290" s="162" t="s">
        <v>143</v>
      </c>
      <c r="AF290" s="181" t="s">
        <v>1784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customHeight="1">
      <c r="A291" s="162">
        <v>211</v>
      </c>
      <c r="B291" s="177" t="s">
        <v>2068</v>
      </c>
      <c r="C291" s="177" t="s">
        <v>1914</v>
      </c>
      <c r="D291" s="177" t="s">
        <v>1908</v>
      </c>
      <c r="E291" s="177"/>
      <c r="F291" s="177"/>
      <c r="G291" s="177" t="s">
        <v>1915</v>
      </c>
      <c r="H291" s="178"/>
      <c r="I291" s="179" t="s">
        <v>1913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2040</v>
      </c>
      <c r="AE291" s="162" t="s">
        <v>143</v>
      </c>
      <c r="AF291" s="181" t="s">
        <v>1784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customHeight="1">
      <c r="A292" s="162">
        <v>212</v>
      </c>
      <c r="B292" s="177" t="s">
        <v>2068</v>
      </c>
      <c r="C292" s="177" t="s">
        <v>1916</v>
      </c>
      <c r="D292" s="177" t="s">
        <v>1074</v>
      </c>
      <c r="E292" s="177"/>
      <c r="F292" s="177"/>
      <c r="G292" s="177" t="s">
        <v>1915</v>
      </c>
      <c r="H292" s="178"/>
      <c r="I292" s="179" t="s">
        <v>1917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2040</v>
      </c>
      <c r="AE292" s="162" t="s">
        <v>143</v>
      </c>
      <c r="AF292" s="181" t="s">
        <v>1784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customHeight="1">
      <c r="A293" s="162">
        <v>213</v>
      </c>
      <c r="B293" s="177" t="s">
        <v>2068</v>
      </c>
      <c r="C293" s="177" t="s">
        <v>1918</v>
      </c>
      <c r="D293" s="177" t="s">
        <v>1074</v>
      </c>
      <c r="E293" s="177"/>
      <c r="F293" s="177"/>
      <c r="G293" s="177" t="s">
        <v>1909</v>
      </c>
      <c r="H293" s="178"/>
      <c r="I293" s="179" t="s">
        <v>1917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2040</v>
      </c>
      <c r="AE293" s="162" t="s">
        <v>143</v>
      </c>
      <c r="AF293" s="181" t="s">
        <v>1784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customHeight="1">
      <c r="A294" s="162">
        <v>214</v>
      </c>
      <c r="B294" s="177" t="s">
        <v>2068</v>
      </c>
      <c r="C294" s="177" t="s">
        <v>1919</v>
      </c>
      <c r="D294" s="177" t="s">
        <v>1074</v>
      </c>
      <c r="E294" s="177"/>
      <c r="F294" s="177"/>
      <c r="G294" s="177" t="s">
        <v>1912</v>
      </c>
      <c r="H294" s="178"/>
      <c r="I294" s="179" t="s">
        <v>1917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2040</v>
      </c>
      <c r="AE294" s="162" t="s">
        <v>143</v>
      </c>
      <c r="AF294" s="181" t="s">
        <v>1784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1920</v>
      </c>
      <c r="C295" s="177" t="s">
        <v>2153</v>
      </c>
      <c r="D295" s="177" t="s">
        <v>1921</v>
      </c>
      <c r="E295" s="177"/>
      <c r="F295" s="177"/>
      <c r="G295" s="177" t="s">
        <v>1922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1924</v>
      </c>
      <c r="AD295" s="184" t="s">
        <v>1925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1784</v>
      </c>
      <c r="AL295" s="181">
        <v>1</v>
      </c>
      <c r="AM295" s="181"/>
      <c r="AN295" s="181"/>
      <c r="AO295" s="181"/>
      <c r="AP295" s="181" t="s">
        <v>1923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1926</v>
      </c>
      <c r="BB295" s="182" t="s">
        <v>1927</v>
      </c>
      <c r="BC295" s="182" t="s">
        <v>1928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1920</v>
      </c>
      <c r="C296" s="187" t="s">
        <v>2154</v>
      </c>
      <c r="D296" s="187"/>
      <c r="E296" s="187"/>
      <c r="F296" s="187"/>
      <c r="G296" s="187" t="s">
        <v>1929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0.60683760683760679</v>
      </c>
      <c r="Y296" s="192"/>
      <c r="Z296" s="192"/>
      <c r="AA296" s="192"/>
      <c r="AB296" s="192"/>
      <c r="AC296" s="194" t="s">
        <v>1924</v>
      </c>
      <c r="AD296" s="195" t="s">
        <v>1925</v>
      </c>
      <c r="AE296" s="196" t="s">
        <v>1788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1926</v>
      </c>
      <c r="BB296" s="193" t="s">
        <v>1927</v>
      </c>
      <c r="BC296" s="193" t="s">
        <v>1928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1920</v>
      </c>
      <c r="C297" s="209" t="s">
        <v>2154</v>
      </c>
      <c r="D297" s="209" t="s">
        <v>1085</v>
      </c>
      <c r="E297" s="209" t="s">
        <v>1789</v>
      </c>
      <c r="F297" s="209" t="s">
        <v>1359</v>
      </c>
      <c r="G297" s="209" t="s">
        <v>1294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1920</v>
      </c>
      <c r="C298" s="209" t="s">
        <v>2154</v>
      </c>
      <c r="D298" s="209" t="s">
        <v>1297</v>
      </c>
      <c r="E298" s="209" t="s">
        <v>1792</v>
      </c>
      <c r="F298" s="209" t="s">
        <v>1364</v>
      </c>
      <c r="G298" s="209" t="s">
        <v>1303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2156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1920</v>
      </c>
      <c r="C299" s="209" t="s">
        <v>2154</v>
      </c>
      <c r="D299" s="209" t="s">
        <v>1297</v>
      </c>
      <c r="E299" s="209" t="s">
        <v>1793</v>
      </c>
      <c r="F299" s="209" t="s">
        <v>1365</v>
      </c>
      <c r="G299" s="209" t="s">
        <v>1097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588"/>
        <v>2</v>
      </c>
      <c r="V299" s="203">
        <f t="shared" ca="1" si="589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0</v>
      </c>
      <c r="AO299" s="203">
        <f t="shared" ca="1" si="595"/>
        <v>1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2157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1920</v>
      </c>
      <c r="C300" s="209" t="s">
        <v>2154</v>
      </c>
      <c r="D300" s="209" t="s">
        <v>1297</v>
      </c>
      <c r="E300" s="209" t="s">
        <v>1794</v>
      </c>
      <c r="F300" s="209" t="s">
        <v>1366</v>
      </c>
      <c r="G300" s="209" t="s">
        <v>1307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1924</v>
      </c>
      <c r="AD300" s="215" t="s">
        <v>1925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1926</v>
      </c>
      <c r="BB300" s="213" t="s">
        <v>1927</v>
      </c>
      <c r="BC300" s="213" t="s">
        <v>1928</v>
      </c>
      <c r="BD300" s="213" t="s">
        <v>140</v>
      </c>
      <c r="BE300" s="148"/>
      <c r="BF300" s="212" t="s">
        <v>1790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1791</v>
      </c>
      <c r="BZ300" s="158" t="s">
        <v>2158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1920</v>
      </c>
      <c r="C301" s="209" t="s">
        <v>2154</v>
      </c>
      <c r="D301" s="209" t="s">
        <v>1297</v>
      </c>
      <c r="E301" s="209" t="s">
        <v>1795</v>
      </c>
      <c r="F301" s="209" t="s">
        <v>1367</v>
      </c>
      <c r="G301" s="209" t="s">
        <v>1105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2158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1920</v>
      </c>
      <c r="C302" s="209" t="s">
        <v>2154</v>
      </c>
      <c r="D302" s="209" t="s">
        <v>1297</v>
      </c>
      <c r="E302" s="209" t="s">
        <v>1796</v>
      </c>
      <c r="F302" s="209" t="s">
        <v>1368</v>
      </c>
      <c r="G302" s="209" t="s">
        <v>1311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588"/>
        <v>2</v>
      </c>
      <c r="V302" s="203">
        <f t="shared" ca="1" si="589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0</v>
      </c>
      <c r="AO302" s="203">
        <f t="shared" ca="1" si="595"/>
        <v>1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1920</v>
      </c>
      <c r="C303" s="209" t="s">
        <v>2154</v>
      </c>
      <c r="D303" s="209" t="s">
        <v>1297</v>
      </c>
      <c r="E303" s="209" t="s">
        <v>1797</v>
      </c>
      <c r="F303" s="209" t="s">
        <v>1369</v>
      </c>
      <c r="G303" s="209" t="s">
        <v>1107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1924</v>
      </c>
      <c r="AD303" s="215" t="s">
        <v>1925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1926</v>
      </c>
      <c r="BB303" s="213" t="s">
        <v>1927</v>
      </c>
      <c r="BC303" s="213" t="s">
        <v>1928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1791</v>
      </c>
      <c r="BZ303" s="158" t="s">
        <v>2159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1920</v>
      </c>
      <c r="C304" s="209" t="s">
        <v>2154</v>
      </c>
      <c r="D304" s="209" t="s">
        <v>1297</v>
      </c>
      <c r="E304" s="209" t="s">
        <v>1798</v>
      </c>
      <c r="F304" s="209" t="s">
        <v>1370</v>
      </c>
      <c r="G304" s="209" t="s">
        <v>1031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2160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1920</v>
      </c>
      <c r="C305" s="209" t="s">
        <v>2154</v>
      </c>
      <c r="D305" s="209" t="s">
        <v>1077</v>
      </c>
      <c r="E305" s="209" t="s">
        <v>1799</v>
      </c>
      <c r="F305" s="209" t="s">
        <v>1371</v>
      </c>
      <c r="G305" s="209" t="s">
        <v>1031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2160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1920</v>
      </c>
      <c r="C306" s="209" t="s">
        <v>2154</v>
      </c>
      <c r="D306" s="209" t="s">
        <v>1297</v>
      </c>
      <c r="E306" s="209" t="s">
        <v>1800</v>
      </c>
      <c r="F306" s="209" t="s">
        <v>1360</v>
      </c>
      <c r="G306" s="209" t="s">
        <v>1296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588"/>
        <v>2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1</v>
      </c>
      <c r="AT306" s="203">
        <f t="shared" ca="1" si="598"/>
        <v>1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2157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1920</v>
      </c>
      <c r="C307" s="209" t="s">
        <v>2154</v>
      </c>
      <c r="D307" s="209" t="s">
        <v>1297</v>
      </c>
      <c r="E307" s="209" t="s">
        <v>1801</v>
      </c>
      <c r="F307" s="209" t="s">
        <v>1361</v>
      </c>
      <c r="G307" s="209" t="s">
        <v>1299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29" t="s">
        <v>1930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1920</v>
      </c>
      <c r="C308" s="199" t="s">
        <v>2154</v>
      </c>
      <c r="D308" s="199" t="s">
        <v>1297</v>
      </c>
      <c r="E308" s="199" t="s">
        <v>1931</v>
      </c>
      <c r="F308" s="199" t="s">
        <v>1362</v>
      </c>
      <c r="G308" s="199" t="s">
        <v>1299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1924</v>
      </c>
      <c r="AD308" s="206" t="s">
        <v>1925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1926</v>
      </c>
      <c r="BB308" s="204" t="s">
        <v>1927</v>
      </c>
      <c r="BC308" s="204" t="s">
        <v>1928</v>
      </c>
      <c r="BD308" s="204" t="s">
        <v>140</v>
      </c>
      <c r="BE308" s="166"/>
      <c r="BF308" s="203" t="s">
        <v>1790</v>
      </c>
      <c r="BG308" s="141"/>
      <c r="BH308" s="152"/>
      <c r="BI308" s="207"/>
      <c r="BJ308" s="230" t="s">
        <v>1932</v>
      </c>
      <c r="BK308" s="230"/>
      <c r="BL308" s="153" t="s">
        <v>1933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1791</v>
      </c>
      <c r="BZ308" s="158" t="s">
        <v>2160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1920</v>
      </c>
      <c r="C309" s="209" t="s">
        <v>2154</v>
      </c>
      <c r="D309" s="209" t="s">
        <v>1297</v>
      </c>
      <c r="E309" s="209" t="s">
        <v>1802</v>
      </c>
      <c r="F309" s="209" t="s">
        <v>1363</v>
      </c>
      <c r="G309" s="209" t="s">
        <v>1091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2161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1920</v>
      </c>
      <c r="C310" s="209" t="s">
        <v>2154</v>
      </c>
      <c r="D310" s="209" t="s">
        <v>1077</v>
      </c>
      <c r="E310" s="209" t="s">
        <v>1803</v>
      </c>
      <c r="F310" s="209" t="s">
        <v>1357</v>
      </c>
      <c r="G310" s="209" t="s">
        <v>1076</v>
      </c>
      <c r="H310" s="210">
        <v>812</v>
      </c>
      <c r="I310" s="211" t="s">
        <v>1078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2162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1920</v>
      </c>
      <c r="C311" s="209" t="s">
        <v>2154</v>
      </c>
      <c r="D311" s="209" t="s">
        <v>1077</v>
      </c>
      <c r="E311" s="199" t="s">
        <v>1804</v>
      </c>
      <c r="F311" s="199" t="s">
        <v>1358</v>
      </c>
      <c r="G311" s="209" t="s">
        <v>1081</v>
      </c>
      <c r="H311" s="210">
        <v>737</v>
      </c>
      <c r="I311" s="211" t="s">
        <v>1078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41" t="s">
        <v>1934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2163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1920</v>
      </c>
      <c r="C312" s="187" t="s">
        <v>2164</v>
      </c>
      <c r="D312" s="187"/>
      <c r="E312" s="187"/>
      <c r="F312" s="187"/>
      <c r="G312" s="187" t="s">
        <v>1935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0.63492063492063489</v>
      </c>
      <c r="Y312" s="192"/>
      <c r="Z312" s="192"/>
      <c r="AA312" s="192"/>
      <c r="AB312" s="192"/>
      <c r="AC312" s="194" t="s">
        <v>1924</v>
      </c>
      <c r="AD312" s="195" t="s">
        <v>1925</v>
      </c>
      <c r="AE312" s="196" t="s">
        <v>1788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1926</v>
      </c>
      <c r="BB312" s="193" t="s">
        <v>1927</v>
      </c>
      <c r="BC312" s="193" t="s">
        <v>1928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1292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1920</v>
      </c>
      <c r="C313" s="209" t="s">
        <v>2164</v>
      </c>
      <c r="D313" s="209" t="s">
        <v>1085</v>
      </c>
      <c r="E313" s="209" t="s">
        <v>1816</v>
      </c>
      <c r="F313" s="209" t="s">
        <v>1378</v>
      </c>
      <c r="G313" s="209" t="s">
        <v>1294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1920</v>
      </c>
      <c r="C314" s="209" t="s">
        <v>2164</v>
      </c>
      <c r="D314" s="209" t="s">
        <v>1297</v>
      </c>
      <c r="E314" s="209" t="s">
        <v>1806</v>
      </c>
      <c r="F314" s="209" t="s">
        <v>1379</v>
      </c>
      <c r="G314" s="209" t="s">
        <v>1317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29" t="s">
        <v>1936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2165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1920</v>
      </c>
      <c r="C315" s="209" t="s">
        <v>2164</v>
      </c>
      <c r="D315" s="209" t="s">
        <v>1297</v>
      </c>
      <c r="E315" s="209" t="s">
        <v>1817</v>
      </c>
      <c r="F315" s="209" t="s">
        <v>1380</v>
      </c>
      <c r="G315" s="219" t="s">
        <v>1336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1924</v>
      </c>
      <c r="AD315" s="215" t="s">
        <v>1925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2166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1791</v>
      </c>
      <c r="BZ315" s="167" t="s">
        <v>2167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1920</v>
      </c>
      <c r="C316" s="209" t="s">
        <v>2164</v>
      </c>
      <c r="D316" s="209" t="s">
        <v>1077</v>
      </c>
      <c r="E316" s="209" t="s">
        <v>1818</v>
      </c>
      <c r="F316" s="209" t="s">
        <v>1381</v>
      </c>
      <c r="G316" s="209" t="s">
        <v>1344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09"/>
        <v>2</v>
      </c>
      <c r="V316" s="203">
        <f t="shared" ca="1" si="610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0</v>
      </c>
      <c r="AO316" s="203">
        <f t="shared" ca="1" si="616"/>
        <v>1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2168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1920</v>
      </c>
      <c r="C317" s="209" t="s">
        <v>2164</v>
      </c>
      <c r="D317" s="209" t="s">
        <v>1077</v>
      </c>
      <c r="E317" s="209" t="s">
        <v>1807</v>
      </c>
      <c r="F317" s="209" t="s">
        <v>1382</v>
      </c>
      <c r="G317" s="209" t="s">
        <v>1347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03">
        <f t="shared" ca="1" si="609"/>
        <v>2</v>
      </c>
      <c r="V317" s="203">
        <f t="shared" ca="1" si="610"/>
        <v>0</v>
      </c>
      <c r="W317" s="212"/>
      <c r="X317" s="212"/>
      <c r="Y317" s="212"/>
      <c r="Z317" s="212"/>
      <c r="AA317" s="212"/>
      <c r="AB317" s="212"/>
      <c r="AC317" s="214" t="s">
        <v>1924</v>
      </c>
      <c r="AD317" s="215" t="s">
        <v>1925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0</v>
      </c>
      <c r="AO317" s="203">
        <f t="shared" ca="1" si="616"/>
        <v>1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1926</v>
      </c>
      <c r="BB317" s="213" t="s">
        <v>1927</v>
      </c>
      <c r="BC317" s="213" t="s">
        <v>1928</v>
      </c>
      <c r="BD317" s="213" t="s">
        <v>140</v>
      </c>
      <c r="BE317" s="148"/>
      <c r="BF317" s="212" t="s">
        <v>1790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1791</v>
      </c>
      <c r="BZ317" s="158" t="s">
        <v>2168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1920</v>
      </c>
      <c r="C318" s="209" t="s">
        <v>2164</v>
      </c>
      <c r="D318" s="209" t="s">
        <v>1297</v>
      </c>
      <c r="E318" s="209" t="s">
        <v>1937</v>
      </c>
      <c r="F318" s="209" t="s">
        <v>1388</v>
      </c>
      <c r="G318" s="209" t="s">
        <v>1139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03">
        <f t="shared" ca="1" si="609"/>
        <v>2</v>
      </c>
      <c r="V318" s="203">
        <f t="shared" ca="1" si="610"/>
        <v>0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0</v>
      </c>
      <c r="AO318" s="203">
        <f t="shared" ca="1" si="616"/>
        <v>1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0</v>
      </c>
      <c r="AT318" s="203">
        <f t="shared" ca="1" si="619"/>
        <v>1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2157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1920</v>
      </c>
      <c r="C319" s="209" t="s">
        <v>2164</v>
      </c>
      <c r="D319" s="209" t="s">
        <v>1297</v>
      </c>
      <c r="E319" s="209" t="s">
        <v>1808</v>
      </c>
      <c r="F319" s="209" t="s">
        <v>1383</v>
      </c>
      <c r="G319" s="209" t="s">
        <v>1097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09"/>
        <v>2</v>
      </c>
      <c r="V319" s="203">
        <f t="shared" ca="1" si="610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0</v>
      </c>
      <c r="AO319" s="203">
        <f t="shared" ca="1" si="616"/>
        <v>1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1920</v>
      </c>
      <c r="C320" s="209" t="s">
        <v>2164</v>
      </c>
      <c r="D320" s="209" t="s">
        <v>1297</v>
      </c>
      <c r="E320" s="209" t="s">
        <v>1819</v>
      </c>
      <c r="F320" s="209" t="s">
        <v>1384</v>
      </c>
      <c r="G320" s="209" t="s">
        <v>1350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1924</v>
      </c>
      <c r="AD320" s="215" t="s">
        <v>1925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1926</v>
      </c>
      <c r="BB320" s="213" t="s">
        <v>1927</v>
      </c>
      <c r="BC320" s="213" t="s">
        <v>1928</v>
      </c>
      <c r="BD320" s="213" t="s">
        <v>140</v>
      </c>
      <c r="BE320" s="148"/>
      <c r="BF320" s="212" t="s">
        <v>1790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1791</v>
      </c>
      <c r="BZ320" s="158" t="s">
        <v>2157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1920</v>
      </c>
      <c r="C321" s="209" t="s">
        <v>2164</v>
      </c>
      <c r="D321" s="209" t="s">
        <v>1297</v>
      </c>
      <c r="E321" s="209" t="s">
        <v>1820</v>
      </c>
      <c r="F321" s="209" t="s">
        <v>1385</v>
      </c>
      <c r="G321" s="209" t="s">
        <v>1135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2157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1920</v>
      </c>
      <c r="C322" s="209" t="s">
        <v>2164</v>
      </c>
      <c r="D322" s="209" t="s">
        <v>1297</v>
      </c>
      <c r="E322" s="209" t="s">
        <v>1821</v>
      </c>
      <c r="F322" s="209" t="s">
        <v>1386</v>
      </c>
      <c r="G322" s="209" t="s">
        <v>1353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2156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1920</v>
      </c>
      <c r="C323" s="209" t="s">
        <v>2164</v>
      </c>
      <c r="D323" s="209" t="s">
        <v>1297</v>
      </c>
      <c r="E323" s="209" t="s">
        <v>1809</v>
      </c>
      <c r="F323" s="209" t="s">
        <v>1387</v>
      </c>
      <c r="G323" s="209" t="s">
        <v>1355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2156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1920</v>
      </c>
      <c r="C324" s="209" t="s">
        <v>2164</v>
      </c>
      <c r="D324" s="209" t="s">
        <v>1077</v>
      </c>
      <c r="E324" s="199" t="s">
        <v>1804</v>
      </c>
      <c r="F324" s="199" t="s">
        <v>1376</v>
      </c>
      <c r="G324" s="209" t="s">
        <v>1081</v>
      </c>
      <c r="H324" s="210">
        <v>737</v>
      </c>
      <c r="I324" s="211" t="s">
        <v>1078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41" t="s">
        <v>1934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2163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1920</v>
      </c>
      <c r="C325" s="199" t="s">
        <v>2164</v>
      </c>
      <c r="D325" s="199" t="s">
        <v>1130</v>
      </c>
      <c r="E325" s="199" t="s">
        <v>1824</v>
      </c>
      <c r="F325" s="199" t="s">
        <v>1377</v>
      </c>
      <c r="G325" s="199" t="s">
        <v>1129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1924</v>
      </c>
      <c r="AD325" s="225" t="s">
        <v>1925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1926</v>
      </c>
      <c r="BB325" s="204" t="s">
        <v>1927</v>
      </c>
      <c r="BC325" s="204" t="s">
        <v>1928</v>
      </c>
      <c r="BD325" s="204" t="s">
        <v>140</v>
      </c>
      <c r="BE325" s="166"/>
      <c r="BF325" s="212" t="s">
        <v>1790</v>
      </c>
      <c r="BG325" s="141"/>
      <c r="BH325" s="152"/>
      <c r="BI325" s="207"/>
      <c r="BJ325" s="207"/>
      <c r="BK325" s="153" t="s">
        <v>1825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1791</v>
      </c>
      <c r="BZ325" s="167" t="s">
        <v>2169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1920</v>
      </c>
      <c r="C326" s="187" t="s">
        <v>2170</v>
      </c>
      <c r="D326" s="187"/>
      <c r="E326" s="187"/>
      <c r="F326" s="187"/>
      <c r="G326" s="187" t="s">
        <v>1938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1920</v>
      </c>
      <c r="C327" s="209" t="s">
        <v>2170</v>
      </c>
      <c r="D327" s="209" t="s">
        <v>1085</v>
      </c>
      <c r="E327" s="209" t="s">
        <v>1812</v>
      </c>
      <c r="F327" s="209" t="s">
        <v>1373</v>
      </c>
      <c r="G327" s="209" t="s">
        <v>1294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1920</v>
      </c>
      <c r="C328" s="209" t="s">
        <v>2170</v>
      </c>
      <c r="D328" s="209" t="s">
        <v>1297</v>
      </c>
      <c r="E328" s="209" t="s">
        <v>1817</v>
      </c>
      <c r="F328" s="209" t="s">
        <v>1372</v>
      </c>
      <c r="G328" s="219" t="s">
        <v>1336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1924</v>
      </c>
      <c r="AD328" s="215" t="s">
        <v>1925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29" t="s">
        <v>1939</v>
      </c>
      <c r="BK328" s="229"/>
      <c r="BL328" s="149"/>
      <c r="BM328" s="149"/>
      <c r="BN328" s="149"/>
      <c r="BO328" s="149"/>
      <c r="BP328" s="149" t="s">
        <v>2166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1791</v>
      </c>
      <c r="BZ328" s="167" t="s">
        <v>2167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1920</v>
      </c>
      <c r="C329" s="209" t="s">
        <v>2170</v>
      </c>
      <c r="D329" s="209" t="s">
        <v>1297</v>
      </c>
      <c r="E329" s="209" t="s">
        <v>1822</v>
      </c>
      <c r="F329" s="209" t="s">
        <v>1374</v>
      </c>
      <c r="G329" s="209" t="s">
        <v>1126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2156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1920</v>
      </c>
      <c r="C330" s="209" t="s">
        <v>2170</v>
      </c>
      <c r="D330" s="209" t="s">
        <v>1297</v>
      </c>
      <c r="E330" s="209" t="s">
        <v>1823</v>
      </c>
      <c r="F330" s="209" t="s">
        <v>1375</v>
      </c>
      <c r="G330" s="209" t="s">
        <v>1124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2158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1920</v>
      </c>
      <c r="C331" s="209" t="s">
        <v>2170</v>
      </c>
      <c r="D331" s="209" t="s">
        <v>1297</v>
      </c>
      <c r="E331" s="209" t="s">
        <v>1817</v>
      </c>
      <c r="F331" s="209" t="s">
        <v>1372</v>
      </c>
      <c r="G331" s="219" t="s">
        <v>1336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1924</v>
      </c>
      <c r="AD331" s="226" t="s">
        <v>1925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2166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1791</v>
      </c>
      <c r="BZ331" s="167" t="s">
        <v>2167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1920</v>
      </c>
      <c r="C332" s="187" t="s">
        <v>2171</v>
      </c>
      <c r="D332" s="187"/>
      <c r="E332" s="187"/>
      <c r="F332" s="187"/>
      <c r="G332" s="187" t="s">
        <v>1940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0</v>
      </c>
      <c r="X332" s="192">
        <f ca="1">SUMIFS(T:T,C:C,C332,AE:AE,"")/SUMIFS(L:L,C:C,C332,AE:AE,"",AB:AB,"")</f>
        <v>0.8125</v>
      </c>
      <c r="Y332" s="192"/>
      <c r="Z332" s="192"/>
      <c r="AA332" s="192"/>
      <c r="AB332" s="192"/>
      <c r="AC332" s="194" t="s">
        <v>1924</v>
      </c>
      <c r="AD332" s="195" t="s">
        <v>1925</v>
      </c>
      <c r="AE332" s="196" t="s">
        <v>1788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1926</v>
      </c>
      <c r="BB332" s="193" t="s">
        <v>1927</v>
      </c>
      <c r="BC332" s="193" t="s">
        <v>1928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1920</v>
      </c>
      <c r="C333" s="209" t="s">
        <v>2171</v>
      </c>
      <c r="D333" s="209" t="s">
        <v>1085</v>
      </c>
      <c r="E333" s="209" t="s">
        <v>1812</v>
      </c>
      <c r="F333" s="209" t="s">
        <v>1392</v>
      </c>
      <c r="G333" s="209" t="s">
        <v>1294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1920</v>
      </c>
      <c r="C334" s="209" t="s">
        <v>2171</v>
      </c>
      <c r="D334" s="209" t="s">
        <v>1297</v>
      </c>
      <c r="E334" s="209" t="s">
        <v>1806</v>
      </c>
      <c r="F334" s="209" t="s">
        <v>1389</v>
      </c>
      <c r="G334" s="209" t="s">
        <v>1317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1924</v>
      </c>
      <c r="AD334" s="215" t="s">
        <v>1925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1926</v>
      </c>
      <c r="BB334" s="213" t="s">
        <v>1927</v>
      </c>
      <c r="BC334" s="213" t="s">
        <v>1928</v>
      </c>
      <c r="BD334" s="213" t="s">
        <v>140</v>
      </c>
      <c r="BE334" s="148"/>
      <c r="BF334" s="212" t="s">
        <v>1790</v>
      </c>
      <c r="BG334" s="117"/>
      <c r="BH334" s="155"/>
      <c r="BI334" s="216"/>
      <c r="BJ334" s="229" t="s">
        <v>1936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1791</v>
      </c>
      <c r="BZ334" s="158" t="s">
        <v>2165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1920</v>
      </c>
      <c r="C335" s="209" t="s">
        <v>2171</v>
      </c>
      <c r="D335" s="209" t="s">
        <v>1297</v>
      </c>
      <c r="E335" s="209" t="s">
        <v>1817</v>
      </c>
      <c r="F335" s="209" t="s">
        <v>1390</v>
      </c>
      <c r="G335" s="219" t="s">
        <v>1336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1924</v>
      </c>
      <c r="AD335" s="215" t="s">
        <v>1925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29" t="s">
        <v>1939</v>
      </c>
      <c r="BK335" s="229"/>
      <c r="BL335" s="149"/>
      <c r="BM335" s="149"/>
      <c r="BN335" s="149"/>
      <c r="BO335" s="149"/>
      <c r="BP335" s="149" t="s">
        <v>2166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67" t="s">
        <v>2167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1920</v>
      </c>
      <c r="C336" s="209" t="s">
        <v>2171</v>
      </c>
      <c r="D336" s="209" t="s">
        <v>1297</v>
      </c>
      <c r="E336" s="209" t="s">
        <v>1808</v>
      </c>
      <c r="F336" s="209" t="s">
        <v>1391</v>
      </c>
      <c r="G336" s="209" t="s">
        <v>1097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46"/>
        <v>2</v>
      </c>
      <c r="V336" s="203">
        <f t="shared" ca="1" si="647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0</v>
      </c>
      <c r="AO336" s="203">
        <f t="shared" ca="1" si="653"/>
        <v>1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29" t="s">
        <v>1941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1920</v>
      </c>
      <c r="C337" s="209" t="s">
        <v>2171</v>
      </c>
      <c r="D337" s="209" t="s">
        <v>1297</v>
      </c>
      <c r="E337" s="199" t="s">
        <v>1942</v>
      </c>
      <c r="F337" s="199" t="s">
        <v>1393</v>
      </c>
      <c r="G337" s="209" t="s">
        <v>1330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41" t="s">
        <v>1943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1944</v>
      </c>
      <c r="C338" s="177" t="s">
        <v>2172</v>
      </c>
      <c r="D338" s="177" t="s">
        <v>1945</v>
      </c>
      <c r="E338" s="177"/>
      <c r="F338" s="177"/>
      <c r="G338" s="177" t="s">
        <v>1946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1924</v>
      </c>
      <c r="AD338" s="184" t="s">
        <v>1925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1784</v>
      </c>
      <c r="AL338" s="181">
        <v>1</v>
      </c>
      <c r="AM338" s="181"/>
      <c r="AN338" s="181"/>
      <c r="AO338" s="181"/>
      <c r="AP338" s="181" t="s">
        <v>1923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1926</v>
      </c>
      <c r="BB338" s="182" t="s">
        <v>1927</v>
      </c>
      <c r="BC338" s="182" t="s">
        <v>1928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1944</v>
      </c>
      <c r="C339" s="187" t="s">
        <v>2173</v>
      </c>
      <c r="D339" s="187"/>
      <c r="E339" s="187"/>
      <c r="F339" s="187"/>
      <c r="G339" s="187" t="s">
        <v>1947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0.57894736842105265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1944</v>
      </c>
      <c r="C340" s="209" t="s">
        <v>2173</v>
      </c>
      <c r="D340" s="209" t="s">
        <v>1085</v>
      </c>
      <c r="E340" s="209" t="s">
        <v>1789</v>
      </c>
      <c r="F340" s="209" t="s">
        <v>1448</v>
      </c>
      <c r="G340" s="209" t="s">
        <v>1396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1924</v>
      </c>
      <c r="AD340" s="215" t="s">
        <v>1925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1926</v>
      </c>
      <c r="BB340" s="213" t="s">
        <v>1927</v>
      </c>
      <c r="BC340" s="213" t="s">
        <v>1928</v>
      </c>
      <c r="BD340" s="213" t="s">
        <v>140</v>
      </c>
      <c r="BE340" s="148"/>
      <c r="BF340" s="212" t="s">
        <v>1790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1791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1944</v>
      </c>
      <c r="C341" s="209" t="s">
        <v>2173</v>
      </c>
      <c r="D341" s="209" t="s">
        <v>1085</v>
      </c>
      <c r="E341" s="209" t="s">
        <v>1792</v>
      </c>
      <c r="F341" s="209" t="s">
        <v>1449</v>
      </c>
      <c r="G341" s="209" t="s">
        <v>1398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29" t="s">
        <v>1941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67" t="s">
        <v>1450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1944</v>
      </c>
      <c r="C342" s="209" t="s">
        <v>2173</v>
      </c>
      <c r="D342" s="209" t="s">
        <v>1085</v>
      </c>
      <c r="E342" s="209" t="s">
        <v>1948</v>
      </c>
      <c r="F342" s="209" t="s">
        <v>1451</v>
      </c>
      <c r="G342" s="209" t="s">
        <v>1398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29" t="s">
        <v>1949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2174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1944</v>
      </c>
      <c r="C343" s="209" t="s">
        <v>2173</v>
      </c>
      <c r="D343" s="209" t="s">
        <v>1085</v>
      </c>
      <c r="E343" s="209" t="s">
        <v>1793</v>
      </c>
      <c r="F343" s="209" t="s">
        <v>1452</v>
      </c>
      <c r="G343" s="209" t="s">
        <v>1398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1944</v>
      </c>
      <c r="C344" s="209" t="s">
        <v>2173</v>
      </c>
      <c r="D344" s="209" t="s">
        <v>1085</v>
      </c>
      <c r="E344" s="209" t="s">
        <v>1950</v>
      </c>
      <c r="F344" s="209" t="s">
        <v>1453</v>
      </c>
      <c r="G344" s="209" t="s">
        <v>1398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1924</v>
      </c>
      <c r="AD344" s="215" t="s">
        <v>1925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1926</v>
      </c>
      <c r="BB344" s="213" t="s">
        <v>1927</v>
      </c>
      <c r="BC344" s="213" t="s">
        <v>1928</v>
      </c>
      <c r="BD344" s="213" t="s">
        <v>140</v>
      </c>
      <c r="BE344" s="148"/>
      <c r="BF344" s="212" t="s">
        <v>1790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1791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1944</v>
      </c>
      <c r="C345" s="209" t="s">
        <v>2173</v>
      </c>
      <c r="D345" s="209" t="s">
        <v>1297</v>
      </c>
      <c r="E345" s="209" t="s">
        <v>1794</v>
      </c>
      <c r="F345" s="209" t="s">
        <v>1454</v>
      </c>
      <c r="G345" s="209" t="s">
        <v>1158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1924</v>
      </c>
      <c r="AD345" s="215" t="s">
        <v>1925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1926</v>
      </c>
      <c r="BB345" s="213" t="s">
        <v>1927</v>
      </c>
      <c r="BC345" s="213" t="s">
        <v>1928</v>
      </c>
      <c r="BD345" s="213" t="s">
        <v>140</v>
      </c>
      <c r="BE345" s="148"/>
      <c r="BF345" s="212" t="s">
        <v>1790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1791</v>
      </c>
      <c r="BZ345" s="158" t="s">
        <v>2156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1944</v>
      </c>
      <c r="C346" s="209" t="s">
        <v>2173</v>
      </c>
      <c r="D346" s="209" t="s">
        <v>1297</v>
      </c>
      <c r="E346" s="209" t="s">
        <v>1795</v>
      </c>
      <c r="F346" s="209" t="s">
        <v>1455</v>
      </c>
      <c r="G346" s="209" t="s">
        <v>1164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1924</v>
      </c>
      <c r="AD346" s="215" t="s">
        <v>1925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1926</v>
      </c>
      <c r="BB346" s="213" t="s">
        <v>1927</v>
      </c>
      <c r="BC346" s="213" t="s">
        <v>1928</v>
      </c>
      <c r="BD346" s="213" t="s">
        <v>140</v>
      </c>
      <c r="BE346" s="148"/>
      <c r="BF346" s="212" t="s">
        <v>1790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1791</v>
      </c>
      <c r="BZ346" s="158" t="s">
        <v>2161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1944</v>
      </c>
      <c r="C347" s="209" t="s">
        <v>2173</v>
      </c>
      <c r="D347" s="209" t="s">
        <v>1297</v>
      </c>
      <c r="E347" s="209" t="s">
        <v>1796</v>
      </c>
      <c r="F347" s="209" t="s">
        <v>1456</v>
      </c>
      <c r="G347" s="209" t="s">
        <v>1091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2161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1944</v>
      </c>
      <c r="C348" s="209" t="s">
        <v>2173</v>
      </c>
      <c r="D348" s="209" t="s">
        <v>1297</v>
      </c>
      <c r="E348" s="209" t="s">
        <v>1797</v>
      </c>
      <c r="F348" s="209" t="s">
        <v>1457</v>
      </c>
      <c r="G348" s="209" t="s">
        <v>1407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2160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1944</v>
      </c>
      <c r="C349" s="209" t="s">
        <v>2173</v>
      </c>
      <c r="D349" s="209" t="s">
        <v>1297</v>
      </c>
      <c r="E349" s="209" t="s">
        <v>1798</v>
      </c>
      <c r="F349" s="209" t="s">
        <v>1458</v>
      </c>
      <c r="G349" s="209" t="s">
        <v>1409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2160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1944</v>
      </c>
      <c r="C350" s="209" t="s">
        <v>2173</v>
      </c>
      <c r="D350" s="209" t="s">
        <v>1077</v>
      </c>
      <c r="E350" s="209" t="s">
        <v>1803</v>
      </c>
      <c r="F350" s="209" t="s">
        <v>1447</v>
      </c>
      <c r="G350" s="209" t="s">
        <v>1076</v>
      </c>
      <c r="H350" s="210">
        <v>812</v>
      </c>
      <c r="I350" s="211" t="s">
        <v>1078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1924</v>
      </c>
      <c r="AD350" s="215" t="s">
        <v>1925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1926</v>
      </c>
      <c r="BB350" s="213" t="s">
        <v>1927</v>
      </c>
      <c r="BC350" s="213" t="s">
        <v>1928</v>
      </c>
      <c r="BD350" s="213" t="s">
        <v>140</v>
      </c>
      <c r="BE350" s="148"/>
      <c r="BF350" s="212" t="s">
        <v>1790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1791</v>
      </c>
      <c r="BZ350" s="158" t="s">
        <v>2162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1944</v>
      </c>
      <c r="C351" s="187" t="s">
        <v>2175</v>
      </c>
      <c r="D351" s="187"/>
      <c r="E351" s="187"/>
      <c r="F351" s="187"/>
      <c r="G351" s="187" t="s">
        <v>1951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1924</v>
      </c>
      <c r="AD351" s="195" t="s">
        <v>1925</v>
      </c>
      <c r="AE351" s="196" t="s">
        <v>1788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1926</v>
      </c>
      <c r="BB351" s="193" t="s">
        <v>1927</v>
      </c>
      <c r="BC351" s="193" t="s">
        <v>1928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1944</v>
      </c>
      <c r="C352" s="209" t="s">
        <v>2175</v>
      </c>
      <c r="D352" s="209" t="s">
        <v>1085</v>
      </c>
      <c r="E352" s="209" t="s">
        <v>1799</v>
      </c>
      <c r="F352" s="209" t="s">
        <v>1470</v>
      </c>
      <c r="G352" s="209" t="s">
        <v>1430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1944</v>
      </c>
      <c r="C353" s="209" t="s">
        <v>2175</v>
      </c>
      <c r="D353" s="209" t="s">
        <v>1085</v>
      </c>
      <c r="E353" s="209" t="s">
        <v>1800</v>
      </c>
      <c r="F353" s="209" t="s">
        <v>1466</v>
      </c>
      <c r="G353" s="209" t="s">
        <v>1411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1791</v>
      </c>
      <c r="BZ353" s="167" t="s">
        <v>2155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1944</v>
      </c>
      <c r="C354" s="209" t="s">
        <v>2175</v>
      </c>
      <c r="D354" s="209" t="s">
        <v>1085</v>
      </c>
      <c r="E354" s="209" t="s">
        <v>1801</v>
      </c>
      <c r="F354" s="209" t="s">
        <v>1467</v>
      </c>
      <c r="G354" s="209" t="s">
        <v>1413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1944</v>
      </c>
      <c r="C355" s="199" t="s">
        <v>2175</v>
      </c>
      <c r="D355" s="199" t="s">
        <v>1297</v>
      </c>
      <c r="E355" s="199" t="s">
        <v>1802</v>
      </c>
      <c r="F355" s="199" t="s">
        <v>1468</v>
      </c>
      <c r="G355" s="199" t="s">
        <v>1415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1924</v>
      </c>
      <c r="AD355" s="206" t="s">
        <v>1925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1926</v>
      </c>
      <c r="BB355" s="204" t="s">
        <v>1927</v>
      </c>
      <c r="BC355" s="204" t="s">
        <v>1928</v>
      </c>
      <c r="BD355" s="204" t="s">
        <v>140</v>
      </c>
      <c r="BE355" s="166"/>
      <c r="BF355" s="203" t="s">
        <v>1790</v>
      </c>
      <c r="BG355" s="141"/>
      <c r="BH355" s="152"/>
      <c r="BI355" s="207"/>
      <c r="BJ355" s="207"/>
      <c r="BK355" s="207"/>
      <c r="BL355" s="153" t="s">
        <v>1933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1791</v>
      </c>
      <c r="BZ355" s="158" t="s">
        <v>2160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1944</v>
      </c>
      <c r="C356" s="199" t="s">
        <v>2175</v>
      </c>
      <c r="D356" s="199" t="s">
        <v>1297</v>
      </c>
      <c r="E356" s="199" t="s">
        <v>1816</v>
      </c>
      <c r="F356" s="199" t="s">
        <v>1469</v>
      </c>
      <c r="G356" s="199" t="s">
        <v>1417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1924</v>
      </c>
      <c r="AD356" s="206" t="s">
        <v>1925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1926</v>
      </c>
      <c r="BB356" s="204" t="s">
        <v>1927</v>
      </c>
      <c r="BC356" s="204" t="s">
        <v>1928</v>
      </c>
      <c r="BD356" s="204" t="s">
        <v>140</v>
      </c>
      <c r="BE356" s="166"/>
      <c r="BF356" s="203" t="s">
        <v>1790</v>
      </c>
      <c r="BG356" s="141"/>
      <c r="BH356" s="152"/>
      <c r="BI356" s="207"/>
      <c r="BJ356" s="207"/>
      <c r="BK356" s="207"/>
      <c r="BL356" s="153" t="s">
        <v>1933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1791</v>
      </c>
      <c r="BZ356" s="158" t="s">
        <v>2160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1944</v>
      </c>
      <c r="C357" s="187" t="s">
        <v>2176</v>
      </c>
      <c r="D357" s="187"/>
      <c r="E357" s="187"/>
      <c r="F357" s="187"/>
      <c r="G357" s="187" t="s">
        <v>1952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0.64102564102564108</v>
      </c>
      <c r="Y357" s="192"/>
      <c r="Z357" s="192"/>
      <c r="AA357" s="192"/>
      <c r="AB357" s="192"/>
      <c r="AC357" s="194" t="s">
        <v>1924</v>
      </c>
      <c r="AD357" s="195" t="s">
        <v>1925</v>
      </c>
      <c r="AE357" s="196" t="s">
        <v>1788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1926</v>
      </c>
      <c r="BB357" s="193" t="s">
        <v>1927</v>
      </c>
      <c r="BC357" s="193" t="s">
        <v>1928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1944</v>
      </c>
      <c r="C358" s="209" t="s">
        <v>2176</v>
      </c>
      <c r="D358" s="209" t="s">
        <v>1085</v>
      </c>
      <c r="E358" s="209" t="s">
        <v>1806</v>
      </c>
      <c r="F358" s="209" t="s">
        <v>1459</v>
      </c>
      <c r="G358" s="209" t="s">
        <v>1089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1944</v>
      </c>
      <c r="C359" s="199" t="s">
        <v>2176</v>
      </c>
      <c r="D359" s="199" t="s">
        <v>1085</v>
      </c>
      <c r="E359" s="199" t="s">
        <v>1817</v>
      </c>
      <c r="F359" s="199" t="s">
        <v>1460</v>
      </c>
      <c r="G359" s="199" t="s">
        <v>1433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1924</v>
      </c>
      <c r="AD359" s="206" t="s">
        <v>1925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1926</v>
      </c>
      <c r="BB359" s="204" t="s">
        <v>1927</v>
      </c>
      <c r="BC359" s="204" t="s">
        <v>1928</v>
      </c>
      <c r="BD359" s="204" t="s">
        <v>140</v>
      </c>
      <c r="BE359" s="166"/>
      <c r="BF359" s="203" t="s">
        <v>1790</v>
      </c>
      <c r="BG359" s="141"/>
      <c r="BH359" s="141"/>
      <c r="BI359" s="153"/>
      <c r="BJ359" s="153"/>
      <c r="BK359" s="153"/>
      <c r="BL359" s="153" t="s">
        <v>1933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1791</v>
      </c>
      <c r="BZ359" s="167" t="s">
        <v>2155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1944</v>
      </c>
      <c r="C360" s="209" t="s">
        <v>2176</v>
      </c>
      <c r="D360" s="209" t="s">
        <v>1085</v>
      </c>
      <c r="E360" s="209" t="s">
        <v>1818</v>
      </c>
      <c r="F360" s="209" t="s">
        <v>1461</v>
      </c>
      <c r="G360" s="209" t="s">
        <v>1435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1944</v>
      </c>
      <c r="C361" s="209" t="s">
        <v>2176</v>
      </c>
      <c r="D361" s="209" t="s">
        <v>1297</v>
      </c>
      <c r="E361" s="209" t="s">
        <v>1807</v>
      </c>
      <c r="F361" s="209" t="s">
        <v>1462</v>
      </c>
      <c r="G361" s="209" t="s">
        <v>1437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2160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1944</v>
      </c>
      <c r="C362" s="209" t="s">
        <v>2176</v>
      </c>
      <c r="D362" s="209" t="s">
        <v>1297</v>
      </c>
      <c r="E362" s="209" t="s">
        <v>1808</v>
      </c>
      <c r="F362" s="209" t="s">
        <v>1463</v>
      </c>
      <c r="G362" s="209" t="s">
        <v>1439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2160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1944</v>
      </c>
      <c r="C363" s="209" t="s">
        <v>2176</v>
      </c>
      <c r="D363" s="209" t="s">
        <v>1297</v>
      </c>
      <c r="E363" s="209" t="s">
        <v>1819</v>
      </c>
      <c r="F363" s="209" t="s">
        <v>1464</v>
      </c>
      <c r="G363" s="209" t="s">
        <v>1126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1924</v>
      </c>
      <c r="AD363" s="215" t="s">
        <v>1925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1926</v>
      </c>
      <c r="BB363" s="213" t="s">
        <v>1927</v>
      </c>
      <c r="BC363" s="213" t="s">
        <v>1928</v>
      </c>
      <c r="BD363" s="213" t="s">
        <v>140</v>
      </c>
      <c r="BE363" s="148"/>
      <c r="BF363" s="212" t="s">
        <v>1790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1791</v>
      </c>
      <c r="BZ363" s="158" t="s">
        <v>2156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1944</v>
      </c>
      <c r="C364" s="209" t="s">
        <v>2176</v>
      </c>
      <c r="D364" s="209" t="s">
        <v>1297</v>
      </c>
      <c r="E364" s="209" t="s">
        <v>1820</v>
      </c>
      <c r="F364" s="209" t="s">
        <v>1465</v>
      </c>
      <c r="G364" s="209" t="s">
        <v>1124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1924</v>
      </c>
      <c r="AD364" s="215" t="s">
        <v>1925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1926</v>
      </c>
      <c r="BB364" s="213" t="s">
        <v>1927</v>
      </c>
      <c r="BC364" s="213" t="s">
        <v>1928</v>
      </c>
      <c r="BD364" s="213" t="s">
        <v>140</v>
      </c>
      <c r="BE364" s="148"/>
      <c r="BF364" s="212" t="s">
        <v>1790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1791</v>
      </c>
      <c r="BZ364" s="158" t="s">
        <v>2158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1944</v>
      </c>
      <c r="C365" s="187" t="s">
        <v>2177</v>
      </c>
      <c r="D365" s="187"/>
      <c r="E365" s="187"/>
      <c r="F365" s="187"/>
      <c r="G365" s="187" t="s">
        <v>1953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1924</v>
      </c>
      <c r="AD365" s="195" t="s">
        <v>1925</v>
      </c>
      <c r="AE365" s="196" t="s">
        <v>1788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1926</v>
      </c>
      <c r="BB365" s="193" t="s">
        <v>1927</v>
      </c>
      <c r="BC365" s="193" t="s">
        <v>1928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1944</v>
      </c>
      <c r="C366" s="209" t="s">
        <v>2177</v>
      </c>
      <c r="D366" s="209" t="s">
        <v>1085</v>
      </c>
      <c r="E366" s="209" t="s">
        <v>1799</v>
      </c>
      <c r="F366" s="209" t="s">
        <v>1475</v>
      </c>
      <c r="G366" s="209" t="s">
        <v>1430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1944</v>
      </c>
      <c r="C367" s="199" t="s">
        <v>2177</v>
      </c>
      <c r="D367" s="199" t="s">
        <v>1085</v>
      </c>
      <c r="E367" s="199" t="s">
        <v>1800</v>
      </c>
      <c r="F367" s="199" t="s">
        <v>1471</v>
      </c>
      <c r="G367" s="199" t="s">
        <v>1411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1924</v>
      </c>
      <c r="AD367" s="206" t="s">
        <v>1925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1926</v>
      </c>
      <c r="BB367" s="204" t="s">
        <v>1927</v>
      </c>
      <c r="BC367" s="204" t="s">
        <v>1928</v>
      </c>
      <c r="BD367" s="204" t="s">
        <v>140</v>
      </c>
      <c r="BE367" s="166"/>
      <c r="BF367" s="203" t="s">
        <v>1790</v>
      </c>
      <c r="BG367" s="141"/>
      <c r="BH367" s="141"/>
      <c r="BI367" s="153"/>
      <c r="BJ367" s="153"/>
      <c r="BK367" s="153"/>
      <c r="BL367" s="153" t="s">
        <v>1933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1791</v>
      </c>
      <c r="BZ367" s="167" t="s">
        <v>2155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1944</v>
      </c>
      <c r="C368" s="209" t="s">
        <v>2177</v>
      </c>
      <c r="D368" s="209" t="s">
        <v>1085</v>
      </c>
      <c r="E368" s="209" t="s">
        <v>1801</v>
      </c>
      <c r="F368" s="209" t="s">
        <v>1472</v>
      </c>
      <c r="G368" s="209" t="s">
        <v>1413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1944</v>
      </c>
      <c r="C369" s="199" t="s">
        <v>2177</v>
      </c>
      <c r="D369" s="199" t="s">
        <v>1297</v>
      </c>
      <c r="E369" s="199" t="s">
        <v>1802</v>
      </c>
      <c r="F369" s="199" t="s">
        <v>1473</v>
      </c>
      <c r="G369" s="199" t="s">
        <v>1415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1924</v>
      </c>
      <c r="AD369" s="206" t="s">
        <v>1925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1926</v>
      </c>
      <c r="BB369" s="204" t="s">
        <v>1927</v>
      </c>
      <c r="BC369" s="204" t="s">
        <v>1928</v>
      </c>
      <c r="BD369" s="204" t="s">
        <v>140</v>
      </c>
      <c r="BE369" s="166"/>
      <c r="BF369" s="203" t="s">
        <v>1790</v>
      </c>
      <c r="BG369" s="141"/>
      <c r="BH369" s="152"/>
      <c r="BI369" s="207"/>
      <c r="BJ369" s="207"/>
      <c r="BK369" s="207"/>
      <c r="BL369" s="153" t="s">
        <v>1933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1791</v>
      </c>
      <c r="BZ369" s="158" t="s">
        <v>2160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1944</v>
      </c>
      <c r="C370" s="199" t="s">
        <v>2177</v>
      </c>
      <c r="D370" s="199" t="s">
        <v>1297</v>
      </c>
      <c r="E370" s="199" t="s">
        <v>1816</v>
      </c>
      <c r="F370" s="199" t="s">
        <v>1474</v>
      </c>
      <c r="G370" s="199" t="s">
        <v>1417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1924</v>
      </c>
      <c r="AD370" s="206" t="s">
        <v>1925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1926</v>
      </c>
      <c r="BB370" s="204" t="s">
        <v>1927</v>
      </c>
      <c r="BC370" s="204" t="s">
        <v>1928</v>
      </c>
      <c r="BD370" s="204" t="s">
        <v>140</v>
      </c>
      <c r="BE370" s="166"/>
      <c r="BF370" s="203" t="s">
        <v>1790</v>
      </c>
      <c r="BG370" s="141"/>
      <c r="BH370" s="152"/>
      <c r="BI370" s="207"/>
      <c r="BJ370" s="207"/>
      <c r="BK370" s="207"/>
      <c r="BL370" s="153" t="s">
        <v>1933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1791</v>
      </c>
      <c r="BZ370" s="158" t="s">
        <v>2160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1954</v>
      </c>
      <c r="C371" s="177" t="s">
        <v>2178</v>
      </c>
      <c r="D371" s="177" t="s">
        <v>1955</v>
      </c>
      <c r="E371" s="177"/>
      <c r="F371" s="177"/>
      <c r="G371" s="177" t="s">
        <v>1956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1924</v>
      </c>
      <c r="AD371" s="184" t="s">
        <v>1925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1784</v>
      </c>
      <c r="AL371" s="181">
        <v>1</v>
      </c>
      <c r="AM371" s="181"/>
      <c r="AN371" s="181"/>
      <c r="AO371" s="181"/>
      <c r="AP371" s="181" t="s">
        <v>1923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1926</v>
      </c>
      <c r="BB371" s="182" t="s">
        <v>1927</v>
      </c>
      <c r="BC371" s="182" t="s">
        <v>1928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1954</v>
      </c>
      <c r="C372" s="187" t="s">
        <v>2179</v>
      </c>
      <c r="D372" s="187"/>
      <c r="E372" s="187"/>
      <c r="F372" s="187"/>
      <c r="G372" s="187" t="s">
        <v>1957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0.62365591397849462</v>
      </c>
      <c r="Y372" s="192"/>
      <c r="Z372" s="192"/>
      <c r="AA372" s="192"/>
      <c r="AB372" s="192"/>
      <c r="AC372" s="194" t="s">
        <v>1924</v>
      </c>
      <c r="AD372" s="195" t="s">
        <v>1925</v>
      </c>
      <c r="AE372" s="196" t="s">
        <v>1788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1926</v>
      </c>
      <c r="BB372" s="193" t="s">
        <v>1927</v>
      </c>
      <c r="BC372" s="193" t="s">
        <v>1928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1954</v>
      </c>
      <c r="C373" s="209" t="s">
        <v>2179</v>
      </c>
      <c r="D373" s="209" t="s">
        <v>1085</v>
      </c>
      <c r="E373" s="209" t="s">
        <v>1789</v>
      </c>
      <c r="F373" s="209" t="s">
        <v>1539</v>
      </c>
      <c r="G373" s="209" t="s">
        <v>1478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1954</v>
      </c>
      <c r="C374" s="199" t="s">
        <v>2179</v>
      </c>
      <c r="D374" s="199" t="s">
        <v>1297</v>
      </c>
      <c r="E374" s="199" t="s">
        <v>1792</v>
      </c>
      <c r="F374" s="199" t="s">
        <v>1545</v>
      </c>
      <c r="G374" s="199" t="s">
        <v>1229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1924</v>
      </c>
      <c r="AD374" s="206" t="s">
        <v>1925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1926</v>
      </c>
      <c r="BB374" s="204" t="s">
        <v>1927</v>
      </c>
      <c r="BC374" s="204" t="s">
        <v>1928</v>
      </c>
      <c r="BD374" s="204" t="s">
        <v>140</v>
      </c>
      <c r="BE374" s="166"/>
      <c r="BF374" s="203" t="s">
        <v>1790</v>
      </c>
      <c r="BG374" s="141"/>
      <c r="BH374" s="152"/>
      <c r="BI374" s="207"/>
      <c r="BJ374" s="207"/>
      <c r="BK374" s="207"/>
      <c r="BL374" s="153" t="s">
        <v>1933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1791</v>
      </c>
      <c r="BZ374" s="158" t="s">
        <v>2157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1954</v>
      </c>
      <c r="C375" s="209" t="s">
        <v>2179</v>
      </c>
      <c r="D375" s="209" t="s">
        <v>1297</v>
      </c>
      <c r="E375" s="209" t="s">
        <v>1793</v>
      </c>
      <c r="F375" s="209" t="s">
        <v>1546</v>
      </c>
      <c r="G375" s="209" t="s">
        <v>1488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1954</v>
      </c>
      <c r="C376" s="209" t="s">
        <v>2179</v>
      </c>
      <c r="D376" s="209" t="s">
        <v>1297</v>
      </c>
      <c r="E376" s="209" t="s">
        <v>1794</v>
      </c>
      <c r="F376" s="209" t="s">
        <v>1547</v>
      </c>
      <c r="G376" s="209" t="s">
        <v>1490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2158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1954</v>
      </c>
      <c r="C377" s="209" t="s">
        <v>2179</v>
      </c>
      <c r="D377" s="209" t="s">
        <v>1297</v>
      </c>
      <c r="E377" s="209" t="s">
        <v>1958</v>
      </c>
      <c r="F377" s="209" t="s">
        <v>1548</v>
      </c>
      <c r="G377" s="209" t="s">
        <v>1490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2158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1954</v>
      </c>
      <c r="C378" s="209" t="s">
        <v>2179</v>
      </c>
      <c r="D378" s="209" t="s">
        <v>1297</v>
      </c>
      <c r="E378" s="209" t="s">
        <v>1795</v>
      </c>
      <c r="F378" s="209" t="s">
        <v>1549</v>
      </c>
      <c r="G378" s="209" t="s">
        <v>1200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03">
        <f t="shared" ca="1" si="742"/>
        <v>2</v>
      </c>
      <c r="V378" s="203">
        <f t="shared" ca="1" si="743"/>
        <v>0</v>
      </c>
      <c r="W378" s="212"/>
      <c r="X378" s="212"/>
      <c r="Y378" s="212"/>
      <c r="Z378" s="212"/>
      <c r="AA378" s="212"/>
      <c r="AB378" s="212"/>
      <c r="AC378" s="214" t="s">
        <v>1924</v>
      </c>
      <c r="AD378" s="215" t="s">
        <v>1925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0</v>
      </c>
      <c r="AO378" s="203">
        <f t="shared" ca="1" si="749"/>
        <v>1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1926</v>
      </c>
      <c r="BB378" s="213" t="s">
        <v>1927</v>
      </c>
      <c r="BC378" s="213" t="s">
        <v>1928</v>
      </c>
      <c r="BD378" s="213" t="s">
        <v>140</v>
      </c>
      <c r="BE378" s="148"/>
      <c r="BF378" s="212" t="s">
        <v>1790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1791</v>
      </c>
      <c r="BZ378" s="158" t="s">
        <v>2180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1954</v>
      </c>
      <c r="C379" s="209" t="s">
        <v>2179</v>
      </c>
      <c r="D379" s="209" t="s">
        <v>1297</v>
      </c>
      <c r="E379" s="209" t="s">
        <v>1796</v>
      </c>
      <c r="F379" s="209" t="s">
        <v>1550</v>
      </c>
      <c r="G379" s="209" t="s">
        <v>1494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203">
        <f t="shared" ca="1" si="742"/>
        <v>1</v>
      </c>
      <c r="V379" s="203">
        <f t="shared" ca="1" si="743"/>
        <v>1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0</v>
      </c>
      <c r="AT379" s="203">
        <f t="shared" ca="1" si="752"/>
        <v>1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2157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1954</v>
      </c>
      <c r="C380" s="209" t="s">
        <v>2179</v>
      </c>
      <c r="D380" s="209" t="s">
        <v>1297</v>
      </c>
      <c r="E380" s="209" t="s">
        <v>1797</v>
      </c>
      <c r="F380" s="209" t="s">
        <v>1551</v>
      </c>
      <c r="G380" s="209" t="s">
        <v>1496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1954</v>
      </c>
      <c r="C381" s="209" t="s">
        <v>2179</v>
      </c>
      <c r="D381" s="209" t="s">
        <v>1297</v>
      </c>
      <c r="E381" s="209" t="s">
        <v>1798</v>
      </c>
      <c r="F381" s="209" t="s">
        <v>1552</v>
      </c>
      <c r="G381" s="209" t="s">
        <v>1498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2157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1954</v>
      </c>
      <c r="C382" s="209" t="s">
        <v>2179</v>
      </c>
      <c r="D382" s="209" t="s">
        <v>1297</v>
      </c>
      <c r="E382" s="209" t="s">
        <v>1799</v>
      </c>
      <c r="F382" s="209" t="s">
        <v>1553</v>
      </c>
      <c r="G382" s="209" t="s">
        <v>1158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2156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1954</v>
      </c>
      <c r="C383" s="209" t="s">
        <v>2179</v>
      </c>
      <c r="D383" s="209" t="s">
        <v>1085</v>
      </c>
      <c r="E383" s="209" t="s">
        <v>1800</v>
      </c>
      <c r="F383" s="209" t="s">
        <v>1540</v>
      </c>
      <c r="G383" s="209" t="s">
        <v>1480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30" t="s">
        <v>1959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1954</v>
      </c>
      <c r="C384" s="209" t="s">
        <v>2179</v>
      </c>
      <c r="D384" s="209" t="s">
        <v>1085</v>
      </c>
      <c r="E384" s="209" t="s">
        <v>1837</v>
      </c>
      <c r="F384" s="209" t="s">
        <v>1541</v>
      </c>
      <c r="G384" s="209" t="s">
        <v>1480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 t="s">
        <v>1790</v>
      </c>
      <c r="BG384" s="117"/>
      <c r="BH384" s="155"/>
      <c r="BI384" s="229"/>
      <c r="BJ384" s="229" t="s">
        <v>1959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1954</v>
      </c>
      <c r="C385" s="209" t="s">
        <v>2179</v>
      </c>
      <c r="D385" s="209" t="s">
        <v>1297</v>
      </c>
      <c r="E385" s="209" t="s">
        <v>1801</v>
      </c>
      <c r="F385" s="209" t="s">
        <v>1542</v>
      </c>
      <c r="G385" s="209" t="s">
        <v>1483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29" t="s">
        <v>1960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2160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1954</v>
      </c>
      <c r="C386" s="209" t="s">
        <v>2179</v>
      </c>
      <c r="D386" s="209" t="s">
        <v>1297</v>
      </c>
      <c r="E386" s="209" t="s">
        <v>1931</v>
      </c>
      <c r="F386" s="209" t="s">
        <v>1543</v>
      </c>
      <c r="G386" s="209" t="s">
        <v>1483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29" t="s">
        <v>1932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2160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1954</v>
      </c>
      <c r="C387" s="209" t="s">
        <v>2179</v>
      </c>
      <c r="D387" s="209" t="s">
        <v>1297</v>
      </c>
      <c r="E387" s="209" t="s">
        <v>1802</v>
      </c>
      <c r="F387" s="209" t="s">
        <v>1544</v>
      </c>
      <c r="G387" s="209" t="s">
        <v>1164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1954</v>
      </c>
      <c r="C388" s="209" t="s">
        <v>2179</v>
      </c>
      <c r="D388" s="209" t="s">
        <v>1077</v>
      </c>
      <c r="E388" s="209" t="s">
        <v>1803</v>
      </c>
      <c r="F388" s="209" t="s">
        <v>1538</v>
      </c>
      <c r="G388" s="209" t="s">
        <v>1076</v>
      </c>
      <c r="H388" s="210">
        <v>812</v>
      </c>
      <c r="I388" s="211" t="s">
        <v>1078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1924</v>
      </c>
      <c r="AD388" s="215" t="s">
        <v>1925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1926</v>
      </c>
      <c r="BB388" s="213" t="s">
        <v>1927</v>
      </c>
      <c r="BC388" s="213" t="s">
        <v>1928</v>
      </c>
      <c r="BD388" s="213" t="s">
        <v>140</v>
      </c>
      <c r="BE388" s="148"/>
      <c r="BF388" s="212" t="s">
        <v>1790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1791</v>
      </c>
      <c r="BZ388" s="158" t="s">
        <v>2162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1954</v>
      </c>
      <c r="C389" s="187" t="s">
        <v>2181</v>
      </c>
      <c r="D389" s="187"/>
      <c r="E389" s="187"/>
      <c r="F389" s="187"/>
      <c r="G389" s="187" t="s">
        <v>1961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0.66666666666666663</v>
      </c>
      <c r="Y389" s="192"/>
      <c r="Z389" s="192"/>
      <c r="AA389" s="192"/>
      <c r="AB389" s="192"/>
      <c r="AC389" s="194" t="s">
        <v>1924</v>
      </c>
      <c r="AD389" s="195" t="s">
        <v>1925</v>
      </c>
      <c r="AE389" s="196" t="s">
        <v>1788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1926</v>
      </c>
      <c r="BB389" s="193" t="s">
        <v>1927</v>
      </c>
      <c r="BC389" s="193" t="s">
        <v>1928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1954</v>
      </c>
      <c r="C390" s="209" t="s">
        <v>2181</v>
      </c>
      <c r="D390" s="209" t="s">
        <v>1085</v>
      </c>
      <c r="E390" s="209" t="s">
        <v>1789</v>
      </c>
      <c r="F390" s="209" t="s">
        <v>1562</v>
      </c>
      <c r="G390" s="209" t="s">
        <v>1478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1954</v>
      </c>
      <c r="C391" s="209" t="s">
        <v>2181</v>
      </c>
      <c r="D391" s="209" t="s">
        <v>1297</v>
      </c>
      <c r="E391" s="209" t="s">
        <v>1796</v>
      </c>
      <c r="F391" s="209" t="s">
        <v>1568</v>
      </c>
      <c r="G391" s="209" t="s">
        <v>1494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2157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1954</v>
      </c>
      <c r="C392" s="199" t="s">
        <v>2181</v>
      </c>
      <c r="D392" s="199" t="s">
        <v>1297</v>
      </c>
      <c r="E392" s="199" t="s">
        <v>1816</v>
      </c>
      <c r="F392" s="199" t="s">
        <v>1563</v>
      </c>
      <c r="G392" s="199" t="s">
        <v>1502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63"/>
        <v>2</v>
      </c>
      <c r="V392" s="203">
        <f t="shared" ca="1" si="764"/>
        <v>0</v>
      </c>
      <c r="W392" s="203"/>
      <c r="X392" s="203"/>
      <c r="Y392" s="203"/>
      <c r="Z392" s="203"/>
      <c r="AA392" s="203"/>
      <c r="AB392" s="203"/>
      <c r="AC392" s="205" t="s">
        <v>1924</v>
      </c>
      <c r="AD392" s="206" t="s">
        <v>1925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0</v>
      </c>
      <c r="AO392" s="203">
        <f t="shared" ca="1" si="770"/>
        <v>1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1926</v>
      </c>
      <c r="BB392" s="204" t="s">
        <v>1927</v>
      </c>
      <c r="BC392" s="204" t="s">
        <v>1928</v>
      </c>
      <c r="BD392" s="204" t="s">
        <v>140</v>
      </c>
      <c r="BE392" s="166"/>
      <c r="BF392" s="203" t="s">
        <v>1790</v>
      </c>
      <c r="BG392" s="141"/>
      <c r="BH392" s="152"/>
      <c r="BI392" s="207"/>
      <c r="BJ392" s="207"/>
      <c r="BK392" s="207"/>
      <c r="BL392" s="153" t="s">
        <v>1933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1791</v>
      </c>
      <c r="BZ392" s="158" t="s">
        <v>2157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1954</v>
      </c>
      <c r="C393" s="209" t="s">
        <v>2181</v>
      </c>
      <c r="D393" s="209" t="s">
        <v>1297</v>
      </c>
      <c r="E393" s="209" t="s">
        <v>1806</v>
      </c>
      <c r="F393" s="209" t="s">
        <v>1564</v>
      </c>
      <c r="G393" s="209" t="s">
        <v>1504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1954</v>
      </c>
      <c r="C394" s="209" t="s">
        <v>2181</v>
      </c>
      <c r="D394" s="209" t="s">
        <v>1085</v>
      </c>
      <c r="E394" s="209" t="s">
        <v>1817</v>
      </c>
      <c r="F394" s="209" t="s">
        <v>1565</v>
      </c>
      <c r="G394" s="209" t="s">
        <v>1506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1924</v>
      </c>
      <c r="AD394" s="215" t="s">
        <v>1925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1926</v>
      </c>
      <c r="BB394" s="213" t="s">
        <v>1927</v>
      </c>
      <c r="BC394" s="213" t="s">
        <v>1928</v>
      </c>
      <c r="BD394" s="213" t="s">
        <v>140</v>
      </c>
      <c r="BE394" s="148"/>
      <c r="BF394" s="212" t="s">
        <v>1790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1791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1954</v>
      </c>
      <c r="C395" s="209" t="s">
        <v>2181</v>
      </c>
      <c r="D395" s="209" t="s">
        <v>1085</v>
      </c>
      <c r="E395" s="209" t="s">
        <v>1818</v>
      </c>
      <c r="F395" s="209" t="s">
        <v>1566</v>
      </c>
      <c r="G395" s="209" t="s">
        <v>1496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1924</v>
      </c>
      <c r="AD395" s="215" t="s">
        <v>1925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1926</v>
      </c>
      <c r="BB395" s="213" t="s">
        <v>1927</v>
      </c>
      <c r="BC395" s="213" t="s">
        <v>1928</v>
      </c>
      <c r="BD395" s="213" t="s">
        <v>140</v>
      </c>
      <c r="BE395" s="148"/>
      <c r="BF395" s="212" t="s">
        <v>1790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1954</v>
      </c>
      <c r="C396" s="209" t="s">
        <v>2181</v>
      </c>
      <c r="D396" s="209" t="s">
        <v>1297</v>
      </c>
      <c r="E396" s="209" t="s">
        <v>1807</v>
      </c>
      <c r="F396" s="209" t="s">
        <v>1567</v>
      </c>
      <c r="G396" s="209" t="s">
        <v>1509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1924</v>
      </c>
      <c r="AD396" s="215" t="s">
        <v>1925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1926</v>
      </c>
      <c r="BB396" s="213" t="s">
        <v>1927</v>
      </c>
      <c r="BC396" s="213" t="s">
        <v>1928</v>
      </c>
      <c r="BD396" s="213" t="s">
        <v>140</v>
      </c>
      <c r="BE396" s="148"/>
      <c r="BF396" s="212" t="s">
        <v>1790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2160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1954</v>
      </c>
      <c r="C397" s="187" t="s">
        <v>2182</v>
      </c>
      <c r="D397" s="187"/>
      <c r="E397" s="187"/>
      <c r="F397" s="187"/>
      <c r="G397" s="187" t="s">
        <v>1962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0.61538461538461542</v>
      </c>
      <c r="Y397" s="192"/>
      <c r="Z397" s="192"/>
      <c r="AA397" s="192"/>
      <c r="AB397" s="192"/>
      <c r="AC397" s="194" t="s">
        <v>1924</v>
      </c>
      <c r="AD397" s="195" t="s">
        <v>1925</v>
      </c>
      <c r="AE397" s="196" t="s">
        <v>1788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1926</v>
      </c>
      <c r="BB397" s="193" t="s">
        <v>1927</v>
      </c>
      <c r="BC397" s="193" t="s">
        <v>1928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1954</v>
      </c>
      <c r="C398" s="209" t="s">
        <v>2182</v>
      </c>
      <c r="D398" s="209" t="s">
        <v>1085</v>
      </c>
      <c r="E398" s="209" t="s">
        <v>1789</v>
      </c>
      <c r="F398" s="209" t="s">
        <v>1554</v>
      </c>
      <c r="G398" s="209" t="s">
        <v>1478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1924</v>
      </c>
      <c r="AD398" s="215" t="s">
        <v>1925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1926</v>
      </c>
      <c r="BB398" s="213" t="s">
        <v>1927</v>
      </c>
      <c r="BC398" s="213" t="s">
        <v>1928</v>
      </c>
      <c r="BD398" s="213" t="s">
        <v>140</v>
      </c>
      <c r="BE398" s="148"/>
      <c r="BF398" s="212" t="s">
        <v>1790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1954</v>
      </c>
      <c r="C399" s="209" t="s">
        <v>2182</v>
      </c>
      <c r="D399" s="209" t="s">
        <v>1297</v>
      </c>
      <c r="E399" s="209" t="s">
        <v>1796</v>
      </c>
      <c r="F399" s="209" t="s">
        <v>1561</v>
      </c>
      <c r="G399" s="209" t="s">
        <v>1494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1924</v>
      </c>
      <c r="AD399" s="215" t="s">
        <v>1925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1926</v>
      </c>
      <c r="BB399" s="213" t="s">
        <v>1927</v>
      </c>
      <c r="BC399" s="213" t="s">
        <v>1928</v>
      </c>
      <c r="BD399" s="213" t="s">
        <v>140</v>
      </c>
      <c r="BE399" s="148"/>
      <c r="BF399" s="212" t="s">
        <v>1790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1791</v>
      </c>
      <c r="BZ399" s="158" t="s">
        <v>2157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1954</v>
      </c>
      <c r="C400" s="209" t="s">
        <v>2182</v>
      </c>
      <c r="D400" s="209" t="s">
        <v>1085</v>
      </c>
      <c r="E400" s="209" t="s">
        <v>1818</v>
      </c>
      <c r="F400" s="209" t="s">
        <v>1555</v>
      </c>
      <c r="G400" s="209" t="s">
        <v>1496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1924</v>
      </c>
      <c r="AD400" s="215" t="s">
        <v>1925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1926</v>
      </c>
      <c r="BB400" s="213" t="s">
        <v>1927</v>
      </c>
      <c r="BC400" s="213" t="s">
        <v>1928</v>
      </c>
      <c r="BD400" s="213" t="s">
        <v>140</v>
      </c>
      <c r="BE400" s="148"/>
      <c r="BF400" s="212" t="s">
        <v>1790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1791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1954</v>
      </c>
      <c r="C401" s="209" t="s">
        <v>2182</v>
      </c>
      <c r="D401" s="209" t="s">
        <v>1297</v>
      </c>
      <c r="E401" s="209" t="s">
        <v>1807</v>
      </c>
      <c r="F401" s="209" t="s">
        <v>1556</v>
      </c>
      <c r="G401" s="209" t="s">
        <v>1509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1924</v>
      </c>
      <c r="AD401" s="215" t="s">
        <v>1925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1926</v>
      </c>
      <c r="BB401" s="213" t="s">
        <v>1927</v>
      </c>
      <c r="BC401" s="213" t="s">
        <v>1928</v>
      </c>
      <c r="BD401" s="213" t="s">
        <v>140</v>
      </c>
      <c r="BE401" s="148"/>
      <c r="BF401" s="212" t="s">
        <v>1790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1791</v>
      </c>
      <c r="BZ401" s="158" t="s">
        <v>2160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1954</v>
      </c>
      <c r="C402" s="209" t="s">
        <v>2182</v>
      </c>
      <c r="D402" s="209" t="s">
        <v>1297</v>
      </c>
      <c r="E402" s="209" t="s">
        <v>1808</v>
      </c>
      <c r="F402" s="209" t="s">
        <v>1557</v>
      </c>
      <c r="G402" s="209" t="s">
        <v>1525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1924</v>
      </c>
      <c r="AD402" s="215" t="s">
        <v>1925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1926</v>
      </c>
      <c r="BB402" s="213" t="s">
        <v>1927</v>
      </c>
      <c r="BC402" s="213" t="s">
        <v>1928</v>
      </c>
      <c r="BD402" s="213" t="s">
        <v>140</v>
      </c>
      <c r="BE402" s="148"/>
      <c r="BF402" s="212" t="s">
        <v>1790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1791</v>
      </c>
      <c r="BZ402" s="158" t="s">
        <v>2158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1954</v>
      </c>
      <c r="C403" s="209" t="s">
        <v>2182</v>
      </c>
      <c r="D403" s="209" t="s">
        <v>1297</v>
      </c>
      <c r="E403" s="209" t="s">
        <v>1819</v>
      </c>
      <c r="F403" s="209" t="s">
        <v>1558</v>
      </c>
      <c r="G403" s="209" t="s">
        <v>1527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1924</v>
      </c>
      <c r="AD403" s="215" t="s">
        <v>1925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1926</v>
      </c>
      <c r="BB403" s="213" t="s">
        <v>1927</v>
      </c>
      <c r="BC403" s="213" t="s">
        <v>1928</v>
      </c>
      <c r="BD403" s="213" t="s">
        <v>140</v>
      </c>
      <c r="BE403" s="148"/>
      <c r="BF403" s="212" t="s">
        <v>1790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1791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1954</v>
      </c>
      <c r="C404" s="209" t="s">
        <v>2182</v>
      </c>
      <c r="D404" s="209" t="s">
        <v>1297</v>
      </c>
      <c r="E404" s="209" t="s">
        <v>1820</v>
      </c>
      <c r="F404" s="209" t="s">
        <v>1559</v>
      </c>
      <c r="G404" s="209" t="s">
        <v>1126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1924</v>
      </c>
      <c r="AD404" s="215" t="s">
        <v>1925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1926</v>
      </c>
      <c r="BB404" s="213" t="s">
        <v>1927</v>
      </c>
      <c r="BC404" s="213" t="s">
        <v>1928</v>
      </c>
      <c r="BD404" s="213" t="s">
        <v>140</v>
      </c>
      <c r="BE404" s="148"/>
      <c r="BF404" s="212" t="s">
        <v>1790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1791</v>
      </c>
      <c r="BZ404" s="158" t="s">
        <v>2156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1954</v>
      </c>
      <c r="C405" s="209" t="s">
        <v>2182</v>
      </c>
      <c r="D405" s="209" t="s">
        <v>1297</v>
      </c>
      <c r="E405" s="209" t="s">
        <v>1821</v>
      </c>
      <c r="F405" s="209" t="s">
        <v>1560</v>
      </c>
      <c r="G405" s="209" t="s">
        <v>1124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1924</v>
      </c>
      <c r="AD405" s="215" t="s">
        <v>1925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1926</v>
      </c>
      <c r="BB405" s="213" t="s">
        <v>1927</v>
      </c>
      <c r="BC405" s="213" t="s">
        <v>1928</v>
      </c>
      <c r="BD405" s="213" t="s">
        <v>140</v>
      </c>
      <c r="BE405" s="148"/>
      <c r="BF405" s="212" t="s">
        <v>1790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2158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1954</v>
      </c>
      <c r="C406" s="187" t="s">
        <v>2183</v>
      </c>
      <c r="D406" s="187"/>
      <c r="E406" s="187"/>
      <c r="F406" s="187"/>
      <c r="G406" s="187" t="s">
        <v>1961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0.35</v>
      </c>
      <c r="Y406" s="192"/>
      <c r="Z406" s="192"/>
      <c r="AA406" s="192"/>
      <c r="AB406" s="192"/>
      <c r="AC406" s="194" t="s">
        <v>1924</v>
      </c>
      <c r="AD406" s="195" t="s">
        <v>1925</v>
      </c>
      <c r="AE406" s="196" t="s">
        <v>1788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1926</v>
      </c>
      <c r="BB406" s="193" t="s">
        <v>1927</v>
      </c>
      <c r="BC406" s="193" t="s">
        <v>1928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1954</v>
      </c>
      <c r="C407" s="209" t="s">
        <v>2183</v>
      </c>
      <c r="D407" s="209" t="s">
        <v>1085</v>
      </c>
      <c r="E407" s="209" t="s">
        <v>1789</v>
      </c>
      <c r="F407" s="209" t="s">
        <v>1569</v>
      </c>
      <c r="G407" s="209" t="s">
        <v>1478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1924</v>
      </c>
      <c r="AD407" s="215" t="s">
        <v>1925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1926</v>
      </c>
      <c r="BB407" s="213" t="s">
        <v>1927</v>
      </c>
      <c r="BC407" s="213" t="s">
        <v>1928</v>
      </c>
      <c r="BD407" s="213" t="s">
        <v>140</v>
      </c>
      <c r="BE407" s="148"/>
      <c r="BF407" s="212" t="s">
        <v>1790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1791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1954</v>
      </c>
      <c r="C408" s="209" t="s">
        <v>2183</v>
      </c>
      <c r="D408" s="209" t="s">
        <v>1297</v>
      </c>
      <c r="E408" s="209" t="s">
        <v>1796</v>
      </c>
      <c r="F408" s="209" t="s">
        <v>1575</v>
      </c>
      <c r="G408" s="209" t="s">
        <v>1494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1924</v>
      </c>
      <c r="AD408" s="215" t="s">
        <v>1925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1926</v>
      </c>
      <c r="BB408" s="213" t="s">
        <v>1927</v>
      </c>
      <c r="BC408" s="213" t="s">
        <v>1928</v>
      </c>
      <c r="BD408" s="213" t="s">
        <v>140</v>
      </c>
      <c r="BE408" s="148"/>
      <c r="BF408" s="212" t="s">
        <v>1790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1791</v>
      </c>
      <c r="BZ408" s="158" t="s">
        <v>2157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1954</v>
      </c>
      <c r="C409" s="199" t="s">
        <v>2183</v>
      </c>
      <c r="D409" s="199" t="s">
        <v>1297</v>
      </c>
      <c r="E409" s="199" t="s">
        <v>1816</v>
      </c>
      <c r="F409" s="199" t="s">
        <v>1570</v>
      </c>
      <c r="G409" s="199" t="s">
        <v>1502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03">
        <f t="shared" ca="1" si="801"/>
        <v>2</v>
      </c>
      <c r="V409" s="203">
        <f t="shared" ca="1" si="802"/>
        <v>0</v>
      </c>
      <c r="W409" s="203"/>
      <c r="X409" s="203"/>
      <c r="Y409" s="203"/>
      <c r="Z409" s="203"/>
      <c r="AA409" s="203"/>
      <c r="AB409" s="203"/>
      <c r="AC409" s="205" t="s">
        <v>1924</v>
      </c>
      <c r="AD409" s="206" t="s">
        <v>1925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0</v>
      </c>
      <c r="AO409" s="203">
        <f t="shared" ca="1" si="808"/>
        <v>1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1926</v>
      </c>
      <c r="BB409" s="204" t="s">
        <v>1927</v>
      </c>
      <c r="BC409" s="204" t="s">
        <v>1928</v>
      </c>
      <c r="BD409" s="204" t="s">
        <v>140</v>
      </c>
      <c r="BE409" s="166"/>
      <c r="BF409" s="203" t="s">
        <v>1790</v>
      </c>
      <c r="BG409" s="141"/>
      <c r="BH409" s="152"/>
      <c r="BI409" s="207"/>
      <c r="BJ409" s="207"/>
      <c r="BK409" s="207"/>
      <c r="BL409" s="153" t="s">
        <v>1933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1791</v>
      </c>
      <c r="BZ409" s="158" t="s">
        <v>2157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1954</v>
      </c>
      <c r="C410" s="209" t="s">
        <v>2183</v>
      </c>
      <c r="D410" s="209" t="s">
        <v>1297</v>
      </c>
      <c r="E410" s="209" t="s">
        <v>1806</v>
      </c>
      <c r="F410" s="209" t="s">
        <v>1571</v>
      </c>
      <c r="G410" s="209" t="s">
        <v>1504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1924</v>
      </c>
      <c r="AD410" s="215" t="s">
        <v>1925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1926</v>
      </c>
      <c r="BB410" s="213" t="s">
        <v>1927</v>
      </c>
      <c r="BC410" s="213" t="s">
        <v>1928</v>
      </c>
      <c r="BD410" s="213" t="s">
        <v>140</v>
      </c>
      <c r="BE410" s="148"/>
      <c r="BF410" s="212" t="s">
        <v>1790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2158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1954</v>
      </c>
      <c r="C411" s="209" t="s">
        <v>2183</v>
      </c>
      <c r="D411" s="209" t="s">
        <v>1085</v>
      </c>
      <c r="E411" s="209" t="s">
        <v>1817</v>
      </c>
      <c r="F411" s="209" t="s">
        <v>1572</v>
      </c>
      <c r="G411" s="209" t="s">
        <v>1506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1924</v>
      </c>
      <c r="AD411" s="215" t="s">
        <v>1925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1926</v>
      </c>
      <c r="BB411" s="213" t="s">
        <v>1927</v>
      </c>
      <c r="BC411" s="213" t="s">
        <v>1928</v>
      </c>
      <c r="BD411" s="213" t="s">
        <v>140</v>
      </c>
      <c r="BE411" s="148"/>
      <c r="BF411" s="212" t="s">
        <v>1790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1791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1954</v>
      </c>
      <c r="C412" s="209" t="s">
        <v>2183</v>
      </c>
      <c r="D412" s="209" t="s">
        <v>1085</v>
      </c>
      <c r="E412" s="209" t="s">
        <v>1818</v>
      </c>
      <c r="F412" s="209" t="s">
        <v>1573</v>
      </c>
      <c r="G412" s="209" t="s">
        <v>1496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1924</v>
      </c>
      <c r="AD412" s="215" t="s">
        <v>1925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1926</v>
      </c>
      <c r="BB412" s="213" t="s">
        <v>1927</v>
      </c>
      <c r="BC412" s="213" t="s">
        <v>1928</v>
      </c>
      <c r="BD412" s="213" t="s">
        <v>140</v>
      </c>
      <c r="BE412" s="148"/>
      <c r="BF412" s="212" t="s">
        <v>1790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1791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1954</v>
      </c>
      <c r="C413" s="209" t="s">
        <v>2183</v>
      </c>
      <c r="D413" s="209" t="s">
        <v>1297</v>
      </c>
      <c r="E413" s="209" t="s">
        <v>1807</v>
      </c>
      <c r="F413" s="209" t="s">
        <v>1574</v>
      </c>
      <c r="G413" s="209" t="s">
        <v>1509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1924</v>
      </c>
      <c r="AD413" s="215" t="s">
        <v>1925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1791</v>
      </c>
      <c r="BZ413" s="158" t="s">
        <v>2160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1963</v>
      </c>
      <c r="C414" s="177" t="s">
        <v>2184</v>
      </c>
      <c r="D414" s="177" t="s">
        <v>1964</v>
      </c>
      <c r="E414" s="177"/>
      <c r="F414" s="177"/>
      <c r="G414" s="177" t="s">
        <v>1965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1924</v>
      </c>
      <c r="AD414" s="184" t="s">
        <v>1925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1784</v>
      </c>
      <c r="AL414" s="181">
        <v>1</v>
      </c>
      <c r="AM414" s="181"/>
      <c r="AN414" s="181"/>
      <c r="AO414" s="181"/>
      <c r="AP414" s="181" t="s">
        <v>1923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1926</v>
      </c>
      <c r="BB414" s="182" t="s">
        <v>1927</v>
      </c>
      <c r="BC414" s="182" t="s">
        <v>1928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1963</v>
      </c>
      <c r="C415" s="187" t="s">
        <v>2185</v>
      </c>
      <c r="D415" s="187"/>
      <c r="E415" s="187"/>
      <c r="F415" s="187"/>
      <c r="G415" s="187" t="s">
        <v>1966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0</v>
      </c>
      <c r="X415" s="192">
        <f ca="1">SUMIFS(T:T,C:C,C415,AE:AE,"")/SUMIFS(L:L,C:C,C415,AE:AE,"",AB:AB,"")</f>
        <v>0.65789473684210531</v>
      </c>
      <c r="Y415" s="192"/>
      <c r="Z415" s="192"/>
      <c r="AA415" s="192"/>
      <c r="AB415" s="192"/>
      <c r="AC415" s="194" t="s">
        <v>1924</v>
      </c>
      <c r="AD415" s="195" t="s">
        <v>1925</v>
      </c>
      <c r="AE415" s="196" t="s">
        <v>1788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1926</v>
      </c>
      <c r="BB415" s="193" t="s">
        <v>1927</v>
      </c>
      <c r="BC415" s="193" t="s">
        <v>1928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1963</v>
      </c>
      <c r="C416" s="209" t="s">
        <v>2185</v>
      </c>
      <c r="D416" s="209" t="s">
        <v>1085</v>
      </c>
      <c r="E416" s="209" t="s">
        <v>1789</v>
      </c>
      <c r="F416" s="209" t="s">
        <v>1601</v>
      </c>
      <c r="G416" s="209" t="s">
        <v>1578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1924</v>
      </c>
      <c r="AD416" s="215" t="s">
        <v>1925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1926</v>
      </c>
      <c r="BB416" s="213" t="s">
        <v>1927</v>
      </c>
      <c r="BC416" s="213" t="s">
        <v>1928</v>
      </c>
      <c r="BD416" s="213" t="s">
        <v>140</v>
      </c>
      <c r="BE416" s="148"/>
      <c r="BF416" s="212" t="s">
        <v>1790</v>
      </c>
      <c r="BG416" s="117"/>
      <c r="BH416" s="155"/>
      <c r="BI416" s="216"/>
      <c r="BJ416" s="216"/>
      <c r="BK416" s="216"/>
      <c r="BL416" s="149" t="s">
        <v>1933</v>
      </c>
      <c r="BM416" s="149"/>
      <c r="BN416" s="149"/>
      <c r="BO416" s="149"/>
      <c r="BP416" s="149"/>
      <c r="BQ416" s="150" t="s">
        <v>2186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1791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1963</v>
      </c>
      <c r="C417" s="209" t="s">
        <v>2185</v>
      </c>
      <c r="D417" s="209" t="s">
        <v>1297</v>
      </c>
      <c r="E417" s="209" t="s">
        <v>1792</v>
      </c>
      <c r="F417" s="209" t="s">
        <v>1602</v>
      </c>
      <c r="G417" s="209" t="s">
        <v>1158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1924</v>
      </c>
      <c r="AD417" s="215" t="s">
        <v>1925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1926</v>
      </c>
      <c r="BB417" s="213" t="s">
        <v>1927</v>
      </c>
      <c r="BC417" s="213" t="s">
        <v>1928</v>
      </c>
      <c r="BD417" s="213" t="s">
        <v>140</v>
      </c>
      <c r="BE417" s="148"/>
      <c r="BF417" s="212" t="s">
        <v>1790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1791</v>
      </c>
      <c r="BZ417" s="158" t="s">
        <v>2156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1963</v>
      </c>
      <c r="C418" s="209" t="s">
        <v>2185</v>
      </c>
      <c r="D418" s="209" t="s">
        <v>1297</v>
      </c>
      <c r="E418" s="209" t="s">
        <v>1793</v>
      </c>
      <c r="F418" s="209" t="s">
        <v>1603</v>
      </c>
      <c r="G418" s="209" t="s">
        <v>1498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1924</v>
      </c>
      <c r="AD418" s="215" t="s">
        <v>1925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 t="s">
        <v>1790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1791</v>
      </c>
      <c r="BZ418" s="158" t="s">
        <v>2157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1963</v>
      </c>
      <c r="C419" s="209" t="s">
        <v>2185</v>
      </c>
      <c r="D419" s="209" t="s">
        <v>1297</v>
      </c>
      <c r="E419" s="209" t="s">
        <v>1794</v>
      </c>
      <c r="F419" s="209" t="s">
        <v>1604</v>
      </c>
      <c r="G419" s="209" t="s">
        <v>1582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1924</v>
      </c>
      <c r="AD419" s="215" t="s">
        <v>1925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1926</v>
      </c>
      <c r="BB419" s="213" t="s">
        <v>1927</v>
      </c>
      <c r="BC419" s="213" t="s">
        <v>1928</v>
      </c>
      <c r="BD419" s="213" t="s">
        <v>140</v>
      </c>
      <c r="BE419" s="148"/>
      <c r="BF419" s="212" t="s">
        <v>1790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1791</v>
      </c>
      <c r="BZ419" s="158" t="s">
        <v>2157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1963</v>
      </c>
      <c r="C420" s="209" t="s">
        <v>2185</v>
      </c>
      <c r="D420" s="209" t="s">
        <v>1297</v>
      </c>
      <c r="E420" s="209" t="s">
        <v>1958</v>
      </c>
      <c r="F420" s="209" t="s">
        <v>1605</v>
      </c>
      <c r="G420" s="209" t="s">
        <v>1582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6</v>
      </c>
      <c r="U420" s="203">
        <f t="shared" ca="1" si="823"/>
        <v>8</v>
      </c>
      <c r="V420" s="203">
        <f t="shared" ca="1" si="824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15" t="s">
        <v>1925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5</v>
      </c>
      <c r="AT420" s="203">
        <f t="shared" ca="1" si="833"/>
        <v>2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2157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1963</v>
      </c>
      <c r="C421" s="209" t="s">
        <v>2185</v>
      </c>
      <c r="D421" s="209" t="s">
        <v>1297</v>
      </c>
      <c r="E421" s="209" t="s">
        <v>1795</v>
      </c>
      <c r="F421" s="209" t="s">
        <v>1606</v>
      </c>
      <c r="G421" s="209" t="s">
        <v>1585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1924</v>
      </c>
      <c r="AD421" s="215" t="s">
        <v>1925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1926</v>
      </c>
      <c r="BB421" s="213" t="s">
        <v>1927</v>
      </c>
      <c r="BC421" s="213" t="s">
        <v>1928</v>
      </c>
      <c r="BD421" s="213" t="s">
        <v>140</v>
      </c>
      <c r="BE421" s="148"/>
      <c r="BF421" s="212" t="s">
        <v>1790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1791</v>
      </c>
      <c r="BZ421" s="158" t="s">
        <v>2161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1963</v>
      </c>
      <c r="C422" s="209" t="s">
        <v>2185</v>
      </c>
      <c r="D422" s="209" t="s">
        <v>1077</v>
      </c>
      <c r="E422" s="209" t="s">
        <v>1803</v>
      </c>
      <c r="F422" s="209" t="s">
        <v>1600</v>
      </c>
      <c r="G422" s="209" t="s">
        <v>1076</v>
      </c>
      <c r="H422" s="210">
        <v>812</v>
      </c>
      <c r="I422" s="211" t="s">
        <v>1078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1924</v>
      </c>
      <c r="AD422" s="215" t="s">
        <v>1925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2162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1963</v>
      </c>
      <c r="C423" s="187" t="s">
        <v>2187</v>
      </c>
      <c r="D423" s="187"/>
      <c r="E423" s="187"/>
      <c r="F423" s="187"/>
      <c r="G423" s="187" t="s">
        <v>1967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0</v>
      </c>
      <c r="X423" s="192">
        <f ca="1">SUMIFS(T:T,C:C,C423,AE:AE,"")/SUMIFS(L:L,C:C,C423,AE:AE,"",AB:AB,"")</f>
        <v>0.7</v>
      </c>
      <c r="Y423" s="192"/>
      <c r="Z423" s="192"/>
      <c r="AA423" s="192"/>
      <c r="AB423" s="192"/>
      <c r="AC423" s="194" t="s">
        <v>1924</v>
      </c>
      <c r="AD423" s="195" t="s">
        <v>1925</v>
      </c>
      <c r="AE423" s="196" t="s">
        <v>1788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1926</v>
      </c>
      <c r="BB423" s="193" t="s">
        <v>1927</v>
      </c>
      <c r="BC423" s="193" t="s">
        <v>1928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1963</v>
      </c>
      <c r="C424" s="209" t="s">
        <v>2187</v>
      </c>
      <c r="D424" s="209" t="s">
        <v>1085</v>
      </c>
      <c r="E424" s="209" t="s">
        <v>1796</v>
      </c>
      <c r="F424" s="209" t="s">
        <v>1607</v>
      </c>
      <c r="G424" s="209" t="s">
        <v>1578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1924</v>
      </c>
      <c r="AD424" s="215" t="s">
        <v>1925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55"/>
      <c r="BI424" s="216"/>
      <c r="BJ424" s="216"/>
      <c r="BK424" s="216"/>
      <c r="BL424" s="149" t="s">
        <v>1933</v>
      </c>
      <c r="BM424" s="149"/>
      <c r="BN424" s="149"/>
      <c r="BO424" s="149"/>
      <c r="BP424" s="149"/>
      <c r="BQ424" s="150" t="s">
        <v>2186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1963</v>
      </c>
      <c r="C425" s="209" t="s">
        <v>2187</v>
      </c>
      <c r="D425" s="209" t="s">
        <v>1297</v>
      </c>
      <c r="E425" s="209" t="s">
        <v>1797</v>
      </c>
      <c r="F425" s="209" t="s">
        <v>1608</v>
      </c>
      <c r="G425" s="209" t="s">
        <v>1593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203">
        <f t="shared" ca="1" si="840"/>
        <v>8</v>
      </c>
      <c r="V425" s="203">
        <f t="shared" ca="1" si="841"/>
        <v>0</v>
      </c>
      <c r="W425" s="212"/>
      <c r="X425" s="212"/>
      <c r="Y425" s="212"/>
      <c r="Z425" s="212"/>
      <c r="AA425" s="212"/>
      <c r="AB425" s="212"/>
      <c r="AC425" s="214" t="s">
        <v>1924</v>
      </c>
      <c r="AD425" s="215" t="s">
        <v>1925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5</v>
      </c>
      <c r="AT425" s="203">
        <f t="shared" ca="1" si="850"/>
        <v>2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1926</v>
      </c>
      <c r="BB425" s="213" t="s">
        <v>1927</v>
      </c>
      <c r="BC425" s="213" t="s">
        <v>1928</v>
      </c>
      <c r="BD425" s="213" t="s">
        <v>140</v>
      </c>
      <c r="BE425" s="148"/>
      <c r="BF425" s="212" t="s">
        <v>1790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1791</v>
      </c>
      <c r="BZ425" s="158" t="s">
        <v>2157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1963</v>
      </c>
      <c r="C426" s="209" t="s">
        <v>2187</v>
      </c>
      <c r="D426" s="209" t="s">
        <v>1297</v>
      </c>
      <c r="E426" s="209" t="s">
        <v>1798</v>
      </c>
      <c r="F426" s="209" t="s">
        <v>1609</v>
      </c>
      <c r="G426" s="209" t="s">
        <v>1126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1924</v>
      </c>
      <c r="AD426" s="215" t="s">
        <v>1925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 t="s">
        <v>1790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1791</v>
      </c>
      <c r="BZ426" s="158" t="s">
        <v>2156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1963</v>
      </c>
      <c r="C427" s="209" t="s">
        <v>2187</v>
      </c>
      <c r="D427" s="209" t="s">
        <v>1297</v>
      </c>
      <c r="E427" s="209" t="s">
        <v>1799</v>
      </c>
      <c r="F427" s="209" t="s">
        <v>1610</v>
      </c>
      <c r="G427" s="209" t="s">
        <v>1124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1924</v>
      </c>
      <c r="AD427" s="215" t="s">
        <v>1925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2158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1963</v>
      </c>
      <c r="C428" s="187" t="s">
        <v>2188</v>
      </c>
      <c r="D428" s="187"/>
      <c r="E428" s="187"/>
      <c r="F428" s="187"/>
      <c r="G428" s="187" t="s">
        <v>1967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0</v>
      </c>
      <c r="X428" s="192">
        <f ca="1">SUMIFS(T:T,C:C,C428,AE:AE,"")/SUMIFS(L:L,C:C,C428,AE:AE,"",AB:AB,"")</f>
        <v>0.3</v>
      </c>
      <c r="Y428" s="192"/>
      <c r="Z428" s="192"/>
      <c r="AA428" s="192"/>
      <c r="AB428" s="192"/>
      <c r="AC428" s="194" t="s">
        <v>1924</v>
      </c>
      <c r="AD428" s="195" t="s">
        <v>1925</v>
      </c>
      <c r="AE428" s="196" t="s">
        <v>1788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1926</v>
      </c>
      <c r="BB428" s="193" t="s">
        <v>1927</v>
      </c>
      <c r="BC428" s="193" t="s">
        <v>1928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1963</v>
      </c>
      <c r="C429" s="199" t="s">
        <v>2188</v>
      </c>
      <c r="D429" s="199" t="s">
        <v>1085</v>
      </c>
      <c r="E429" s="199" t="s">
        <v>1796</v>
      </c>
      <c r="F429" s="199" t="s">
        <v>1611</v>
      </c>
      <c r="G429" s="199" t="s">
        <v>1578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1924</v>
      </c>
      <c r="AD429" s="206" t="s">
        <v>1925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1926</v>
      </c>
      <c r="BB429" s="204" t="s">
        <v>1927</v>
      </c>
      <c r="BC429" s="204" t="s">
        <v>1928</v>
      </c>
      <c r="BD429" s="204" t="s">
        <v>140</v>
      </c>
      <c r="BE429" s="166"/>
      <c r="BF429" s="203" t="s">
        <v>1790</v>
      </c>
      <c r="BG429" s="141"/>
      <c r="BH429" s="152"/>
      <c r="BI429" s="207"/>
      <c r="BJ429" s="207"/>
      <c r="BK429" s="207"/>
      <c r="BL429" s="153" t="s">
        <v>1933</v>
      </c>
      <c r="BM429" s="153"/>
      <c r="BN429" s="153"/>
      <c r="BO429" s="153"/>
      <c r="BP429" s="153"/>
      <c r="BQ429" s="150" t="s">
        <v>2186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1791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1963</v>
      </c>
      <c r="C430" s="209" t="s">
        <v>2188</v>
      </c>
      <c r="D430" s="209" t="s">
        <v>1297</v>
      </c>
      <c r="E430" s="209" t="s">
        <v>1797</v>
      </c>
      <c r="F430" s="209" t="s">
        <v>1612</v>
      </c>
      <c r="G430" s="209" t="s">
        <v>1593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203">
        <f t="shared" ca="1" si="856"/>
        <v>13</v>
      </c>
      <c r="V430" s="203">
        <f t="shared" ca="1" si="857"/>
        <v>0</v>
      </c>
      <c r="W430" s="212"/>
      <c r="X430" s="212"/>
      <c r="Y430" s="212"/>
      <c r="Z430" s="212"/>
      <c r="AA430" s="212"/>
      <c r="AB430" s="212"/>
      <c r="AC430" s="214" t="s">
        <v>1924</v>
      </c>
      <c r="AD430" s="215" t="s">
        <v>1925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0</v>
      </c>
      <c r="AT430" s="203">
        <f t="shared" ca="1" si="866"/>
        <v>7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1926</v>
      </c>
      <c r="BB430" s="213" t="s">
        <v>1927</v>
      </c>
      <c r="BC430" s="213" t="s">
        <v>1928</v>
      </c>
      <c r="BD430" s="213" t="s">
        <v>140</v>
      </c>
      <c r="BE430" s="148"/>
      <c r="BF430" s="212" t="s">
        <v>1790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1791</v>
      </c>
      <c r="BZ430" s="158" t="s">
        <v>2157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1963</v>
      </c>
      <c r="C431" s="209" t="s">
        <v>2188</v>
      </c>
      <c r="D431" s="209" t="s">
        <v>1297</v>
      </c>
      <c r="E431" s="209" t="s">
        <v>1798</v>
      </c>
      <c r="F431" s="209" t="s">
        <v>1613</v>
      </c>
      <c r="G431" s="209" t="s">
        <v>1126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1924</v>
      </c>
      <c r="AD431" s="215" t="s">
        <v>1925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 t="s">
        <v>1790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1791</v>
      </c>
      <c r="BZ431" s="158" t="s">
        <v>2156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1963</v>
      </c>
      <c r="C432" s="209" t="s">
        <v>2188</v>
      </c>
      <c r="D432" s="209" t="s">
        <v>1297</v>
      </c>
      <c r="E432" s="209" t="s">
        <v>1799</v>
      </c>
      <c r="F432" s="209" t="s">
        <v>1614</v>
      </c>
      <c r="G432" s="209" t="s">
        <v>1124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1924</v>
      </c>
      <c r="AD432" s="215" t="s">
        <v>1925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2158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1968</v>
      </c>
      <c r="C433" s="177" t="s">
        <v>2189</v>
      </c>
      <c r="D433" s="177" t="s">
        <v>1969</v>
      </c>
      <c r="E433" s="177"/>
      <c r="F433" s="177"/>
      <c r="G433" s="177" t="s">
        <v>1970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0.53703703703703709</v>
      </c>
      <c r="Y433" s="181"/>
      <c r="Z433" s="181"/>
      <c r="AA433" s="181"/>
      <c r="AB433" s="181"/>
      <c r="AC433" s="228" t="s">
        <v>1924</v>
      </c>
      <c r="AD433" s="184" t="s">
        <v>1925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1971</v>
      </c>
      <c r="AL433" s="181">
        <v>1</v>
      </c>
      <c r="AM433" s="181"/>
      <c r="AN433" s="181"/>
      <c r="AO433" s="181"/>
      <c r="AP433" s="181" t="s">
        <v>1923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1926</v>
      </c>
      <c r="BB433" s="182" t="s">
        <v>1927</v>
      </c>
      <c r="BC433" s="182" t="s">
        <v>1928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1968</v>
      </c>
      <c r="C434" s="199" t="s">
        <v>2189</v>
      </c>
      <c r="D434" s="199" t="s">
        <v>1085</v>
      </c>
      <c r="E434" s="199" t="s">
        <v>1789</v>
      </c>
      <c r="F434" s="199" t="s">
        <v>1656</v>
      </c>
      <c r="G434" s="199" t="s">
        <v>1195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1924</v>
      </c>
      <c r="AD434" s="206" t="s">
        <v>1925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1926</v>
      </c>
      <c r="BB434" s="204" t="s">
        <v>1927</v>
      </c>
      <c r="BC434" s="204" t="s">
        <v>1928</v>
      </c>
      <c r="BD434" s="204" t="s">
        <v>140</v>
      </c>
      <c r="BE434" s="166"/>
      <c r="BF434" s="203" t="s">
        <v>1790</v>
      </c>
      <c r="BG434" s="141"/>
      <c r="BH434" s="152"/>
      <c r="BI434" s="207"/>
      <c r="BJ434" s="207"/>
      <c r="BK434" s="207"/>
      <c r="BL434" s="153" t="s">
        <v>1933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1791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1968</v>
      </c>
      <c r="C435" s="199" t="s">
        <v>2189</v>
      </c>
      <c r="D435" s="199" t="s">
        <v>1085</v>
      </c>
      <c r="E435" s="199" t="s">
        <v>1792</v>
      </c>
      <c r="F435" s="199" t="s">
        <v>1665</v>
      </c>
      <c r="G435" s="199" t="s">
        <v>1666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1924</v>
      </c>
      <c r="AD435" s="206" t="s">
        <v>1925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1926</v>
      </c>
      <c r="BB435" s="204" t="s">
        <v>1927</v>
      </c>
      <c r="BC435" s="204" t="s">
        <v>1928</v>
      </c>
      <c r="BD435" s="204" t="s">
        <v>140</v>
      </c>
      <c r="BE435" s="166"/>
      <c r="BF435" s="203" t="s">
        <v>1790</v>
      </c>
      <c r="BG435" s="141"/>
      <c r="BH435" s="152"/>
      <c r="BI435" s="207"/>
      <c r="BJ435" s="207"/>
      <c r="BK435" s="207"/>
      <c r="BL435" s="153" t="s">
        <v>1933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1791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1968</v>
      </c>
      <c r="C436" s="209" t="s">
        <v>2189</v>
      </c>
      <c r="D436" s="209" t="s">
        <v>1297</v>
      </c>
      <c r="E436" s="209" t="s">
        <v>1793</v>
      </c>
      <c r="F436" s="209" t="s">
        <v>1667</v>
      </c>
      <c r="G436" s="209" t="s">
        <v>1650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03">
        <f t="shared" ca="1" si="877"/>
        <v>2</v>
      </c>
      <c r="V436" s="203">
        <f t="shared" ca="1" si="878"/>
        <v>1</v>
      </c>
      <c r="W436" s="212"/>
      <c r="X436" s="212"/>
      <c r="Y436" s="212"/>
      <c r="Z436" s="212"/>
      <c r="AA436" s="212"/>
      <c r="AB436" s="212"/>
      <c r="AC436" s="214" t="s">
        <v>1924</v>
      </c>
      <c r="AD436" s="215" t="s">
        <v>1925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1</v>
      </c>
      <c r="AT436" s="203">
        <f t="shared" ca="1" si="890"/>
        <v>1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 t="s">
        <v>1790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1791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1968</v>
      </c>
      <c r="C437" s="209" t="s">
        <v>2189</v>
      </c>
      <c r="D437" s="209" t="s">
        <v>1297</v>
      </c>
      <c r="E437" s="209" t="s">
        <v>1794</v>
      </c>
      <c r="F437" s="209" t="s">
        <v>1668</v>
      </c>
      <c r="G437" s="209" t="s">
        <v>1650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203">
        <f t="shared" ca="1" si="877"/>
        <v>3</v>
      </c>
      <c r="V437" s="203">
        <f t="shared" ca="1" si="878"/>
        <v>0</v>
      </c>
      <c r="W437" s="212"/>
      <c r="X437" s="212"/>
      <c r="Y437" s="212"/>
      <c r="Z437" s="212"/>
      <c r="AA437" s="212"/>
      <c r="AB437" s="212"/>
      <c r="AC437" s="214" t="s">
        <v>1924</v>
      </c>
      <c r="AD437" s="215" t="s">
        <v>1925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0</v>
      </c>
      <c r="AT437" s="203">
        <f t="shared" ca="1" si="890"/>
        <v>2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1926</v>
      </c>
      <c r="BB437" s="213" t="s">
        <v>1927</v>
      </c>
      <c r="BC437" s="213" t="s">
        <v>1928</v>
      </c>
      <c r="BD437" s="213" t="s">
        <v>140</v>
      </c>
      <c r="BE437" s="148"/>
      <c r="BF437" s="212" t="s">
        <v>1790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1791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1968</v>
      </c>
      <c r="C438" s="209" t="s">
        <v>2189</v>
      </c>
      <c r="D438" s="209" t="s">
        <v>1297</v>
      </c>
      <c r="E438" s="209" t="s">
        <v>1795</v>
      </c>
      <c r="F438" s="209" t="s">
        <v>1669</v>
      </c>
      <c r="G438" s="209" t="s">
        <v>1158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1924</v>
      </c>
      <c r="AD438" s="215" t="s">
        <v>1925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 t="s">
        <v>1790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1791</v>
      </c>
      <c r="BZ438" s="158" t="s">
        <v>2156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1968</v>
      </c>
      <c r="C439" s="199" t="s">
        <v>2189</v>
      </c>
      <c r="D439" s="199" t="s">
        <v>1297</v>
      </c>
      <c r="E439" s="199" t="s">
        <v>1796</v>
      </c>
      <c r="F439" s="199" t="s">
        <v>1670</v>
      </c>
      <c r="G439" s="199" t="s">
        <v>1671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877"/>
        <v>2</v>
      </c>
      <c r="V439" s="203">
        <f t="shared" ca="1" si="878"/>
        <v>0</v>
      </c>
      <c r="W439" s="203"/>
      <c r="X439" s="203"/>
      <c r="Y439" s="203"/>
      <c r="Z439" s="203"/>
      <c r="AA439" s="203"/>
      <c r="AB439" s="203"/>
      <c r="AC439" s="205" t="s">
        <v>1924</v>
      </c>
      <c r="AD439" s="206" t="s">
        <v>1925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0</v>
      </c>
      <c r="AO439" s="203">
        <f t="shared" ca="1" si="886"/>
        <v>1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0</v>
      </c>
      <c r="AT439" s="203">
        <f t="shared" ca="1" si="890"/>
        <v>1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1926</v>
      </c>
      <c r="BB439" s="204" t="s">
        <v>1927</v>
      </c>
      <c r="BC439" s="204" t="s">
        <v>1928</v>
      </c>
      <c r="BD439" s="204" t="s">
        <v>140</v>
      </c>
      <c r="BE439" s="166"/>
      <c r="BF439" s="203" t="s">
        <v>1790</v>
      </c>
      <c r="BG439" s="141"/>
      <c r="BH439" s="152"/>
      <c r="BI439" s="207"/>
      <c r="BJ439" s="207"/>
      <c r="BK439" s="207"/>
      <c r="BL439" s="153" t="s">
        <v>1933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1791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1968</v>
      </c>
      <c r="C440" s="209" t="s">
        <v>2189</v>
      </c>
      <c r="D440" s="209" t="s">
        <v>1297</v>
      </c>
      <c r="E440" s="209" t="s">
        <v>1797</v>
      </c>
      <c r="F440" s="209" t="s">
        <v>1672</v>
      </c>
      <c r="G440" s="209" t="s">
        <v>1623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1924</v>
      </c>
      <c r="AD440" s="215" t="s">
        <v>1925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1968</v>
      </c>
      <c r="C441" s="209" t="s">
        <v>2189</v>
      </c>
      <c r="D441" s="209" t="s">
        <v>1297</v>
      </c>
      <c r="E441" s="209" t="s">
        <v>1798</v>
      </c>
      <c r="F441" s="209" t="s">
        <v>1673</v>
      </c>
      <c r="G441" s="209" t="s">
        <v>1625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877"/>
        <v>2</v>
      </c>
      <c r="V441" s="203">
        <f t="shared" ca="1" si="878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15" t="s">
        <v>1925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0</v>
      </c>
      <c r="AO441" s="203">
        <f t="shared" ca="1" si="886"/>
        <v>1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 t="s">
        <v>1790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1791</v>
      </c>
      <c r="BZ441" s="158" t="s">
        <v>2157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1968</v>
      </c>
      <c r="C442" s="209" t="s">
        <v>2189</v>
      </c>
      <c r="D442" s="209" t="s">
        <v>1297</v>
      </c>
      <c r="E442" s="209" t="s">
        <v>1799</v>
      </c>
      <c r="F442" s="209" t="s">
        <v>1674</v>
      </c>
      <c r="G442" s="209" t="s">
        <v>1627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1924</v>
      </c>
      <c r="AD442" s="215" t="s">
        <v>1925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1926</v>
      </c>
      <c r="BB442" s="213" t="s">
        <v>1927</v>
      </c>
      <c r="BC442" s="213" t="s">
        <v>1928</v>
      </c>
      <c r="BD442" s="213" t="s">
        <v>140</v>
      </c>
      <c r="BE442" s="148"/>
      <c r="BF442" s="212" t="s">
        <v>1790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1791</v>
      </c>
      <c r="BZ442" s="158" t="s">
        <v>2158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1968</v>
      </c>
      <c r="C443" s="209" t="s">
        <v>2189</v>
      </c>
      <c r="D443" s="209" t="s">
        <v>1297</v>
      </c>
      <c r="E443" s="209" t="s">
        <v>1800</v>
      </c>
      <c r="F443" s="209" t="s">
        <v>1657</v>
      </c>
      <c r="G443" s="209" t="s">
        <v>1629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</v>
      </c>
      <c r="U443" s="203">
        <f t="shared" ca="1" si="877"/>
        <v>1</v>
      </c>
      <c r="V443" s="203">
        <f t="shared" ca="1" si="878"/>
        <v>1</v>
      </c>
      <c r="W443" s="212"/>
      <c r="X443" s="212"/>
      <c r="Y443" s="212"/>
      <c r="Z443" s="212"/>
      <c r="AA443" s="212"/>
      <c r="AB443" s="212"/>
      <c r="AC443" s="214" t="s">
        <v>1924</v>
      </c>
      <c r="AD443" s="215" t="s">
        <v>1925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0</v>
      </c>
      <c r="AT443" s="203">
        <f t="shared" ca="1" si="890"/>
        <v>1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2157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1968</v>
      </c>
      <c r="C444" s="209" t="s">
        <v>2189</v>
      </c>
      <c r="D444" s="209" t="s">
        <v>1297</v>
      </c>
      <c r="E444" s="209" t="s">
        <v>1801</v>
      </c>
      <c r="F444" s="209" t="s">
        <v>1658</v>
      </c>
      <c r="G444" s="209" t="s">
        <v>1631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1924</v>
      </c>
      <c r="AD444" s="215" t="s">
        <v>1925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1926</v>
      </c>
      <c r="BB444" s="213" t="s">
        <v>1927</v>
      </c>
      <c r="BC444" s="213" t="s">
        <v>1928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1791</v>
      </c>
      <c r="BZ444" s="158" t="s">
        <v>2190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1968</v>
      </c>
      <c r="C445" s="209" t="s">
        <v>2189</v>
      </c>
      <c r="D445" s="209" t="s">
        <v>1297</v>
      </c>
      <c r="E445" s="209" t="s">
        <v>1802</v>
      </c>
      <c r="F445" s="209" t="s">
        <v>1659</v>
      </c>
      <c r="G445" s="209" t="s">
        <v>1652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1924</v>
      </c>
      <c r="AD445" s="215" t="s">
        <v>1925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1926</v>
      </c>
      <c r="BB445" s="213" t="s">
        <v>1927</v>
      </c>
      <c r="BC445" s="213" t="s">
        <v>1928</v>
      </c>
      <c r="BD445" s="213" t="s">
        <v>140</v>
      </c>
      <c r="BE445" s="148"/>
      <c r="BF445" s="212" t="s">
        <v>1790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1791</v>
      </c>
      <c r="BZ445" s="158" t="s">
        <v>2157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1968</v>
      </c>
      <c r="C446" s="209" t="s">
        <v>2189</v>
      </c>
      <c r="D446" s="209" t="s">
        <v>1297</v>
      </c>
      <c r="E446" s="209" t="s">
        <v>1816</v>
      </c>
      <c r="F446" s="209" t="s">
        <v>1660</v>
      </c>
      <c r="G446" s="209" t="s">
        <v>1642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1924</v>
      </c>
      <c r="AD446" s="215" t="s">
        <v>1925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1926</v>
      </c>
      <c r="BB446" s="213" t="s">
        <v>1927</v>
      </c>
      <c r="BC446" s="213" t="s">
        <v>1928</v>
      </c>
      <c r="BD446" s="213" t="s">
        <v>140</v>
      </c>
      <c r="BE446" s="148"/>
      <c r="BF446" s="212" t="s">
        <v>1790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1791</v>
      </c>
      <c r="BZ446" s="158" t="s">
        <v>2161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1968</v>
      </c>
      <c r="C447" s="209" t="s">
        <v>2189</v>
      </c>
      <c r="D447" s="209" t="s">
        <v>1297</v>
      </c>
      <c r="E447" s="209" t="s">
        <v>1806</v>
      </c>
      <c r="F447" s="209" t="s">
        <v>1661</v>
      </c>
      <c r="G447" s="209" t="s">
        <v>1158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1924</v>
      </c>
      <c r="AD447" s="215" t="s">
        <v>1925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1926</v>
      </c>
      <c r="BB447" s="213" t="s">
        <v>1927</v>
      </c>
      <c r="BC447" s="213" t="s">
        <v>1928</v>
      </c>
      <c r="BD447" s="213" t="s">
        <v>140</v>
      </c>
      <c r="BE447" s="148"/>
      <c r="BF447" s="212" t="s">
        <v>1790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1791</v>
      </c>
      <c r="BZ447" s="158" t="s">
        <v>2156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1968</v>
      </c>
      <c r="C448" s="209" t="s">
        <v>2189</v>
      </c>
      <c r="D448" s="209" t="s">
        <v>1297</v>
      </c>
      <c r="E448" s="209" t="s">
        <v>1817</v>
      </c>
      <c r="F448" s="209" t="s">
        <v>1662</v>
      </c>
      <c r="G448" s="209" t="s">
        <v>1642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1924</v>
      </c>
      <c r="AD448" s="215" t="s">
        <v>1925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1926</v>
      </c>
      <c r="BB448" s="213" t="s">
        <v>1927</v>
      </c>
      <c r="BC448" s="213" t="s">
        <v>1928</v>
      </c>
      <c r="BD448" s="213" t="s">
        <v>140</v>
      </c>
      <c r="BE448" s="148"/>
      <c r="BF448" s="212" t="s">
        <v>1790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1791</v>
      </c>
      <c r="BZ448" s="158" t="s">
        <v>2161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1968</v>
      </c>
      <c r="C449" s="209" t="s">
        <v>2189</v>
      </c>
      <c r="D449" s="209" t="s">
        <v>1297</v>
      </c>
      <c r="E449" s="209" t="s">
        <v>1807</v>
      </c>
      <c r="F449" s="209" t="s">
        <v>1664</v>
      </c>
      <c r="G449" s="209" t="s">
        <v>1126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1924</v>
      </c>
      <c r="AD449" s="215" t="s">
        <v>1925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1926</v>
      </c>
      <c r="BB449" s="213" t="s">
        <v>1927</v>
      </c>
      <c r="BC449" s="213" t="s">
        <v>1928</v>
      </c>
      <c r="BD449" s="213" t="s">
        <v>140</v>
      </c>
      <c r="BE449" s="148"/>
      <c r="BF449" s="212" t="s">
        <v>1790</v>
      </c>
      <c r="BG449" s="117" t="s">
        <v>1972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1791</v>
      </c>
      <c r="BZ449" s="158" t="s">
        <v>2156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1968</v>
      </c>
      <c r="C450" s="209" t="s">
        <v>2189</v>
      </c>
      <c r="D450" s="209" t="s">
        <v>1297</v>
      </c>
      <c r="E450" s="209" t="s">
        <v>1818</v>
      </c>
      <c r="F450" s="209" t="s">
        <v>1663</v>
      </c>
      <c r="G450" s="209" t="s">
        <v>1124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1924</v>
      </c>
      <c r="AD450" s="215" t="s">
        <v>1925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1926</v>
      </c>
      <c r="BB450" s="213" t="s">
        <v>1927</v>
      </c>
      <c r="BC450" s="213" t="s">
        <v>1928</v>
      </c>
      <c r="BD450" s="213" t="s">
        <v>140</v>
      </c>
      <c r="BE450" s="148"/>
      <c r="BF450" s="212" t="s">
        <v>1790</v>
      </c>
      <c r="BG450" s="117" t="s">
        <v>1973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1791</v>
      </c>
      <c r="BZ450" s="158" t="s">
        <v>2158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1968</v>
      </c>
      <c r="C451" s="209" t="s">
        <v>2189</v>
      </c>
      <c r="D451" s="209" t="s">
        <v>1077</v>
      </c>
      <c r="E451" s="209" t="s">
        <v>1803</v>
      </c>
      <c r="F451" s="209" t="s">
        <v>1655</v>
      </c>
      <c r="G451" s="209" t="s">
        <v>1076</v>
      </c>
      <c r="H451" s="210">
        <v>812</v>
      </c>
      <c r="I451" s="211" t="s">
        <v>1078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1924</v>
      </c>
      <c r="AD451" s="215" t="s">
        <v>1925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1926</v>
      </c>
      <c r="BB451" s="213" t="s">
        <v>1927</v>
      </c>
      <c r="BC451" s="213" t="s">
        <v>1928</v>
      </c>
      <c r="BD451" s="213" t="s">
        <v>140</v>
      </c>
      <c r="BE451" s="148"/>
      <c r="BF451" s="212" t="s">
        <v>1790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1791</v>
      </c>
      <c r="BZ451" s="158" t="s">
        <v>2162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1974</v>
      </c>
      <c r="C452" s="177" t="s">
        <v>2191</v>
      </c>
      <c r="D452" s="177" t="s">
        <v>1975</v>
      </c>
      <c r="E452" s="177"/>
      <c r="F452" s="177"/>
      <c r="G452" s="177" t="s">
        <v>1976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0.47142857142857142</v>
      </c>
      <c r="Y452" s="181"/>
      <c r="Z452" s="181"/>
      <c r="AA452" s="181"/>
      <c r="AB452" s="181"/>
      <c r="AC452" s="228" t="s">
        <v>1924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1971</v>
      </c>
      <c r="AL452" s="181">
        <v>1</v>
      </c>
      <c r="AM452" s="181"/>
      <c r="AN452" s="181"/>
      <c r="AO452" s="181"/>
      <c r="AP452" s="181" t="s">
        <v>1923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1926</v>
      </c>
      <c r="BB452" s="182" t="s">
        <v>1927</v>
      </c>
      <c r="BC452" s="182" t="s">
        <v>1928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1974</v>
      </c>
      <c r="C453" s="199" t="s">
        <v>2191</v>
      </c>
      <c r="D453" s="199" t="s">
        <v>1085</v>
      </c>
      <c r="E453" s="199" t="s">
        <v>1789</v>
      </c>
      <c r="F453" s="199" t="s">
        <v>1702</v>
      </c>
      <c r="G453" s="199" t="s">
        <v>1677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1924</v>
      </c>
      <c r="AD453" s="206" t="s">
        <v>1925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1926</v>
      </c>
      <c r="BB453" s="204" t="s">
        <v>1927</v>
      </c>
      <c r="BC453" s="204" t="s">
        <v>1928</v>
      </c>
      <c r="BD453" s="204" t="s">
        <v>140</v>
      </c>
      <c r="BE453" s="166"/>
      <c r="BF453" s="203" t="s">
        <v>1790</v>
      </c>
      <c r="BG453" s="141"/>
      <c r="BH453" s="152"/>
      <c r="BI453" s="207"/>
      <c r="BJ453" s="207"/>
      <c r="BK453" s="207"/>
      <c r="BL453" s="153" t="s">
        <v>1933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1791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1974</v>
      </c>
      <c r="C454" s="199" t="s">
        <v>2191</v>
      </c>
      <c r="D454" s="199" t="s">
        <v>1085</v>
      </c>
      <c r="E454" s="199" t="s">
        <v>1792</v>
      </c>
      <c r="F454" s="199" t="s">
        <v>1708</v>
      </c>
      <c r="G454" s="199" t="s">
        <v>1709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1924</v>
      </c>
      <c r="AD454" s="206" t="s">
        <v>1925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1926</v>
      </c>
      <c r="BB454" s="204" t="s">
        <v>1927</v>
      </c>
      <c r="BC454" s="204" t="s">
        <v>1928</v>
      </c>
      <c r="BD454" s="204" t="s">
        <v>140</v>
      </c>
      <c r="BE454" s="166"/>
      <c r="BF454" s="203" t="s">
        <v>1790</v>
      </c>
      <c r="BG454" s="141"/>
      <c r="BH454" s="152"/>
      <c r="BI454" s="207"/>
      <c r="BJ454" s="207"/>
      <c r="BK454" s="207"/>
      <c r="BL454" s="153" t="s">
        <v>1933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1791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1974</v>
      </c>
      <c r="C455" s="209" t="s">
        <v>2191</v>
      </c>
      <c r="D455" s="209" t="s">
        <v>1085</v>
      </c>
      <c r="E455" s="209" t="s">
        <v>1793</v>
      </c>
      <c r="F455" s="209" t="s">
        <v>1710</v>
      </c>
      <c r="G455" s="209" t="s">
        <v>1691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1924</v>
      </c>
      <c r="AD455" s="215" t="s">
        <v>1925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1926</v>
      </c>
      <c r="BB455" s="213" t="s">
        <v>1927</v>
      </c>
      <c r="BC455" s="213" t="s">
        <v>1928</v>
      </c>
      <c r="BD455" s="213" t="s">
        <v>140</v>
      </c>
      <c r="BE455" s="148"/>
      <c r="BF455" s="212" t="s">
        <v>1790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1791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1974</v>
      </c>
      <c r="C456" s="209" t="s">
        <v>2191</v>
      </c>
      <c r="D456" s="209" t="s">
        <v>1297</v>
      </c>
      <c r="E456" s="209" t="s">
        <v>1794</v>
      </c>
      <c r="F456" s="209" t="s">
        <v>1711</v>
      </c>
      <c r="G456" s="209" t="s">
        <v>1158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1924</v>
      </c>
      <c r="AD456" s="215" t="s">
        <v>1925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1926</v>
      </c>
      <c r="BB456" s="213" t="s">
        <v>1927</v>
      </c>
      <c r="BC456" s="213" t="s">
        <v>1928</v>
      </c>
      <c r="BD456" s="213" t="s">
        <v>140</v>
      </c>
      <c r="BE456" s="148"/>
      <c r="BF456" s="212" t="s">
        <v>1790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1791</v>
      </c>
      <c r="BZ456" s="158" t="s">
        <v>2156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1974</v>
      </c>
      <c r="C457" s="209" t="s">
        <v>2191</v>
      </c>
      <c r="D457" s="209" t="s">
        <v>1297</v>
      </c>
      <c r="E457" s="209" t="s">
        <v>1795</v>
      </c>
      <c r="F457" s="209" t="s">
        <v>1712</v>
      </c>
      <c r="G457" s="209" t="s">
        <v>1713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1924</v>
      </c>
      <c r="AD457" s="215" t="s">
        <v>1925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1926</v>
      </c>
      <c r="BB457" s="213" t="s">
        <v>1927</v>
      </c>
      <c r="BC457" s="213" t="s">
        <v>1928</v>
      </c>
      <c r="BD457" s="213" t="s">
        <v>140</v>
      </c>
      <c r="BE457" s="148"/>
      <c r="BF457" s="212" t="s">
        <v>1790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1791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1974</v>
      </c>
      <c r="C458" s="209" t="s">
        <v>2191</v>
      </c>
      <c r="D458" s="209" t="s">
        <v>1297</v>
      </c>
      <c r="E458" s="209" t="s">
        <v>1796</v>
      </c>
      <c r="F458" s="209" t="s">
        <v>1714</v>
      </c>
      <c r="G458" s="209" t="s">
        <v>1713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1924</v>
      </c>
      <c r="AD458" s="215" t="s">
        <v>1925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1926</v>
      </c>
      <c r="BB458" s="213" t="s">
        <v>1927</v>
      </c>
      <c r="BC458" s="213" t="s">
        <v>1928</v>
      </c>
      <c r="BD458" s="213" t="s">
        <v>140</v>
      </c>
      <c r="BE458" s="148"/>
      <c r="BF458" s="212" t="s">
        <v>1790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1791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1974</v>
      </c>
      <c r="C459" s="209" t="s">
        <v>2191</v>
      </c>
      <c r="D459" s="209" t="s">
        <v>1297</v>
      </c>
      <c r="E459" s="209" t="s">
        <v>1797</v>
      </c>
      <c r="F459" s="209" t="s">
        <v>1715</v>
      </c>
      <c r="G459" s="209" t="s">
        <v>1650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203">
        <f t="shared" ca="1" si="903"/>
        <v>1</v>
      </c>
      <c r="V459" s="203">
        <f t="shared" ca="1" si="904"/>
        <v>1</v>
      </c>
      <c r="W459" s="212"/>
      <c r="X459" s="212"/>
      <c r="Y459" s="212"/>
      <c r="Z459" s="212"/>
      <c r="AA459" s="212"/>
      <c r="AB459" s="212"/>
      <c r="AC459" s="214" t="s">
        <v>1924</v>
      </c>
      <c r="AD459" s="215" t="s">
        <v>1925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0</v>
      </c>
      <c r="AT459" s="203">
        <f t="shared" ca="1" si="916"/>
        <v>1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1926</v>
      </c>
      <c r="BB459" s="213" t="s">
        <v>1927</v>
      </c>
      <c r="BC459" s="213" t="s">
        <v>1928</v>
      </c>
      <c r="BD459" s="213" t="s">
        <v>140</v>
      </c>
      <c r="BE459" s="148"/>
      <c r="BF459" s="212" t="s">
        <v>1790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1791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1974</v>
      </c>
      <c r="C460" s="209" t="s">
        <v>2191</v>
      </c>
      <c r="D460" s="209" t="s">
        <v>1297</v>
      </c>
      <c r="E460" s="209" t="s">
        <v>1798</v>
      </c>
      <c r="F460" s="209" t="s">
        <v>1716</v>
      </c>
      <c r="G460" s="209" t="s">
        <v>1650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3</v>
      </c>
      <c r="U460" s="203">
        <f t="shared" ca="1" si="903"/>
        <v>1</v>
      </c>
      <c r="V460" s="203">
        <f t="shared" ca="1" si="904"/>
        <v>1</v>
      </c>
      <c r="W460" s="212"/>
      <c r="X460" s="212"/>
      <c r="Y460" s="212"/>
      <c r="Z460" s="212"/>
      <c r="AA460" s="212"/>
      <c r="AB460" s="212"/>
      <c r="AC460" s="214" t="s">
        <v>1924</v>
      </c>
      <c r="AD460" s="215" t="s">
        <v>1925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1926</v>
      </c>
      <c r="BB460" s="213" t="s">
        <v>1927</v>
      </c>
      <c r="BC460" s="213" t="s">
        <v>1928</v>
      </c>
      <c r="BD460" s="213" t="s">
        <v>140</v>
      </c>
      <c r="BE460" s="148"/>
      <c r="BF460" s="212" t="s">
        <v>1790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1791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1974</v>
      </c>
      <c r="C461" s="209" t="s">
        <v>2191</v>
      </c>
      <c r="D461" s="209" t="s">
        <v>1297</v>
      </c>
      <c r="E461" s="209" t="s">
        <v>1799</v>
      </c>
      <c r="F461" s="209" t="s">
        <v>1717</v>
      </c>
      <c r="G461" s="209" t="s">
        <v>1642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1924</v>
      </c>
      <c r="AD461" s="215" t="s">
        <v>1925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1926</v>
      </c>
      <c r="BB461" s="213" t="s">
        <v>1927</v>
      </c>
      <c r="BC461" s="213" t="s">
        <v>1928</v>
      </c>
      <c r="BD461" s="213" t="s">
        <v>140</v>
      </c>
      <c r="BE461" s="148"/>
      <c r="BF461" s="212" t="s">
        <v>1790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1791</v>
      </c>
      <c r="BZ461" s="158" t="s">
        <v>2161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1974</v>
      </c>
      <c r="C462" s="209" t="s">
        <v>2191</v>
      </c>
      <c r="D462" s="209" t="s">
        <v>1297</v>
      </c>
      <c r="E462" s="209" t="s">
        <v>1800</v>
      </c>
      <c r="F462" s="209" t="s">
        <v>1703</v>
      </c>
      <c r="G462" s="209" t="s">
        <v>1704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1924</v>
      </c>
      <c r="AD462" s="215" t="s">
        <v>1925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1926</v>
      </c>
      <c r="BB462" s="213" t="s">
        <v>1927</v>
      </c>
      <c r="BC462" s="213" t="s">
        <v>1928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1791</v>
      </c>
      <c r="BZ462" s="158" t="s">
        <v>2161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1974</v>
      </c>
      <c r="C463" s="209" t="s">
        <v>2191</v>
      </c>
      <c r="D463" s="209" t="s">
        <v>1297</v>
      </c>
      <c r="E463" s="209" t="s">
        <v>1801</v>
      </c>
      <c r="F463" s="209" t="s">
        <v>1705</v>
      </c>
      <c r="G463" s="209" t="s">
        <v>1126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1924</v>
      </c>
      <c r="AD463" s="215" t="s">
        <v>1925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1926</v>
      </c>
      <c r="BB463" s="213" t="s">
        <v>1927</v>
      </c>
      <c r="BC463" s="213" t="s">
        <v>1928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58" t="s">
        <v>2156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1974</v>
      </c>
      <c r="C464" s="209" t="s">
        <v>2191</v>
      </c>
      <c r="D464" s="209" t="s">
        <v>1297</v>
      </c>
      <c r="E464" s="209" t="s">
        <v>1802</v>
      </c>
      <c r="F464" s="209" t="s">
        <v>1706</v>
      </c>
      <c r="G464" s="209" t="s">
        <v>1124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1924</v>
      </c>
      <c r="AD464" s="215" t="s">
        <v>1925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1926</v>
      </c>
      <c r="BB464" s="213" t="s">
        <v>1927</v>
      </c>
      <c r="BC464" s="213" t="s">
        <v>1928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58" t="s">
        <v>2158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1974</v>
      </c>
      <c r="C465" s="209" t="s">
        <v>2191</v>
      </c>
      <c r="D465" s="209" t="s">
        <v>1297</v>
      </c>
      <c r="E465" s="209" t="s">
        <v>1816</v>
      </c>
      <c r="F465" s="209" t="s">
        <v>1707</v>
      </c>
      <c r="G465" s="209" t="s">
        <v>1704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1924</v>
      </c>
      <c r="AD465" s="215" t="s">
        <v>1925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1926</v>
      </c>
      <c r="BB465" s="213" t="s">
        <v>1927</v>
      </c>
      <c r="BC465" s="213" t="s">
        <v>1928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58" t="s">
        <v>2161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1974</v>
      </c>
      <c r="C466" s="209" t="s">
        <v>2191</v>
      </c>
      <c r="D466" s="209" t="s">
        <v>1077</v>
      </c>
      <c r="E466" s="209" t="s">
        <v>1803</v>
      </c>
      <c r="F466" s="209" t="s">
        <v>1701</v>
      </c>
      <c r="G466" s="209" t="s">
        <v>1076</v>
      </c>
      <c r="H466" s="210">
        <v>812</v>
      </c>
      <c r="I466" s="211" t="s">
        <v>1078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1924</v>
      </c>
      <c r="AD466" s="215" t="s">
        <v>1925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1926</v>
      </c>
      <c r="BB466" s="213" t="s">
        <v>1927</v>
      </c>
      <c r="BC466" s="213" t="s">
        <v>1928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1791</v>
      </c>
      <c r="BZ466" s="158" t="s">
        <v>2162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1977</v>
      </c>
      <c r="C467" s="177" t="s">
        <v>2193</v>
      </c>
      <c r="D467" s="177" t="s">
        <v>1978</v>
      </c>
      <c r="E467" s="177"/>
      <c r="F467" s="177"/>
      <c r="G467" s="177" t="s">
        <v>1979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0.39743589743589741</v>
      </c>
      <c r="Y467" s="181"/>
      <c r="Z467" s="181"/>
      <c r="AA467" s="181"/>
      <c r="AB467" s="181"/>
      <c r="AC467" s="228" t="s">
        <v>1924</v>
      </c>
      <c r="AD467" s="184" t="s">
        <v>1925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1971</v>
      </c>
      <c r="AL467" s="181">
        <v>1</v>
      </c>
      <c r="AM467" s="181"/>
      <c r="AN467" s="181"/>
      <c r="AO467" s="181"/>
      <c r="AP467" s="181" t="s">
        <v>1923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1926</v>
      </c>
      <c r="BB467" s="182" t="s">
        <v>1927</v>
      </c>
      <c r="BC467" s="182" t="s">
        <v>1928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1977</v>
      </c>
      <c r="C468" s="209" t="s">
        <v>2193</v>
      </c>
      <c r="D468" s="209" t="s">
        <v>1085</v>
      </c>
      <c r="E468" s="209" t="s">
        <v>1789</v>
      </c>
      <c r="F468" s="209" t="s">
        <v>1742</v>
      </c>
      <c r="G468" s="209" t="s">
        <v>1677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1924</v>
      </c>
      <c r="AD468" s="215" t="s">
        <v>1925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1926</v>
      </c>
      <c r="BB468" s="213" t="s">
        <v>1927</v>
      </c>
      <c r="BC468" s="213" t="s">
        <v>1928</v>
      </c>
      <c r="BD468" s="213" t="s">
        <v>140</v>
      </c>
      <c r="BE468" s="148"/>
      <c r="BF468" s="212" t="s">
        <v>1790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1791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1977</v>
      </c>
      <c r="C469" s="209" t="s">
        <v>2193</v>
      </c>
      <c r="D469" s="209" t="s">
        <v>1297</v>
      </c>
      <c r="E469" s="209" t="s">
        <v>1792</v>
      </c>
      <c r="F469" s="209" t="s">
        <v>1747</v>
      </c>
      <c r="G469" s="209" t="s">
        <v>1158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1924</v>
      </c>
      <c r="AD469" s="215" t="s">
        <v>1925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1926</v>
      </c>
      <c r="BB469" s="213" t="s">
        <v>1927</v>
      </c>
      <c r="BC469" s="213" t="s">
        <v>1928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58" t="s">
        <v>2156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1977</v>
      </c>
      <c r="C470" s="209" t="s">
        <v>2193</v>
      </c>
      <c r="D470" s="209" t="s">
        <v>1297</v>
      </c>
      <c r="E470" s="209" t="s">
        <v>1793</v>
      </c>
      <c r="F470" s="209" t="s">
        <v>1748</v>
      </c>
      <c r="G470" s="209" t="s">
        <v>1278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1924</v>
      </c>
      <c r="AD470" s="215" t="s">
        <v>1925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1926</v>
      </c>
      <c r="BB470" s="213" t="s">
        <v>1927</v>
      </c>
      <c r="BC470" s="213" t="s">
        <v>1928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58" t="s">
        <v>2158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1977</v>
      </c>
      <c r="C471" s="209" t="s">
        <v>2193</v>
      </c>
      <c r="D471" s="209" t="s">
        <v>1297</v>
      </c>
      <c r="E471" s="209" t="s">
        <v>1794</v>
      </c>
      <c r="F471" s="209" t="s">
        <v>1749</v>
      </c>
      <c r="G471" s="209" t="s">
        <v>1283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1924</v>
      </c>
      <c r="AD471" s="215" t="s">
        <v>1925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1926</v>
      </c>
      <c r="BB471" s="213" t="s">
        <v>1927</v>
      </c>
      <c r="BC471" s="213" t="s">
        <v>1928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58" t="s">
        <v>2161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1977</v>
      </c>
      <c r="C472" s="209" t="s">
        <v>2193</v>
      </c>
      <c r="D472" s="209" t="s">
        <v>1297</v>
      </c>
      <c r="E472" s="209" t="s">
        <v>1795</v>
      </c>
      <c r="F472" s="209" t="s">
        <v>1750</v>
      </c>
      <c r="G472" s="209" t="s">
        <v>1281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1924</v>
      </c>
      <c r="AD472" s="215" t="s">
        <v>1925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1926</v>
      </c>
      <c r="BB472" s="213" t="s">
        <v>1927</v>
      </c>
      <c r="BC472" s="213" t="s">
        <v>1928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1791</v>
      </c>
      <c r="BZ472" s="158" t="s">
        <v>2158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1977</v>
      </c>
      <c r="C473" s="209" t="s">
        <v>2193</v>
      </c>
      <c r="D473" s="209" t="s">
        <v>1297</v>
      </c>
      <c r="E473" s="209" t="s">
        <v>1796</v>
      </c>
      <c r="F473" s="209" t="s">
        <v>1751</v>
      </c>
      <c r="G473" s="209" t="s">
        <v>1274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1924</v>
      </c>
      <c r="AD473" s="215" t="s">
        <v>1925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1926</v>
      </c>
      <c r="BB473" s="213" t="s">
        <v>1927</v>
      </c>
      <c r="BC473" s="213" t="s">
        <v>1928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1791</v>
      </c>
      <c r="BZ473" s="158" t="s">
        <v>2159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1977</v>
      </c>
      <c r="C474" s="209" t="s">
        <v>2193</v>
      </c>
      <c r="D474" s="209" t="s">
        <v>1297</v>
      </c>
      <c r="E474" s="209" t="s">
        <v>1797</v>
      </c>
      <c r="F474" s="209" t="s">
        <v>1752</v>
      </c>
      <c r="G474" s="209" t="s">
        <v>1285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1924</v>
      </c>
      <c r="AD474" s="215" t="s">
        <v>1925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1926</v>
      </c>
      <c r="BB474" s="213" t="s">
        <v>1927</v>
      </c>
      <c r="BC474" s="213" t="s">
        <v>1928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1791</v>
      </c>
      <c r="BZ474" s="158" t="s">
        <v>2161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1977</v>
      </c>
      <c r="C475" s="209" t="s">
        <v>2193</v>
      </c>
      <c r="D475" s="209" t="s">
        <v>1297</v>
      </c>
      <c r="E475" s="209" t="s">
        <v>1980</v>
      </c>
      <c r="F475" s="209" t="s">
        <v>1753</v>
      </c>
      <c r="G475" s="209" t="s">
        <v>1285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1924</v>
      </c>
      <c r="AD475" s="215" t="s">
        <v>1925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1926</v>
      </c>
      <c r="BB475" s="213" t="s">
        <v>1927</v>
      </c>
      <c r="BC475" s="213" t="s">
        <v>1928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58" t="s">
        <v>2161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1977</v>
      </c>
      <c r="C476" s="209" t="s">
        <v>2193</v>
      </c>
      <c r="D476" s="209" t="s">
        <v>1297</v>
      </c>
      <c r="E476" s="209" t="s">
        <v>1798</v>
      </c>
      <c r="F476" s="209" t="s">
        <v>1754</v>
      </c>
      <c r="G476" s="209" t="s">
        <v>1285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1924</v>
      </c>
      <c r="AD476" s="215" t="s">
        <v>1925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1926</v>
      </c>
      <c r="BB476" s="213" t="s">
        <v>1927</v>
      </c>
      <c r="BC476" s="213" t="s">
        <v>1928</v>
      </c>
      <c r="BD476" s="213" t="s">
        <v>140</v>
      </c>
      <c r="BE476" s="148"/>
      <c r="BF476" s="212" t="s">
        <v>1790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58" t="s">
        <v>2161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1977</v>
      </c>
      <c r="C477" s="199" t="s">
        <v>2193</v>
      </c>
      <c r="D477" s="199" t="s">
        <v>1297</v>
      </c>
      <c r="E477" s="199" t="s">
        <v>1799</v>
      </c>
      <c r="F477" s="199" t="s">
        <v>1755</v>
      </c>
      <c r="G477" s="199" t="s">
        <v>1740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1924</v>
      </c>
      <c r="AD477" s="206" t="s">
        <v>1925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1926</v>
      </c>
      <c r="BB477" s="204" t="s">
        <v>1927</v>
      </c>
      <c r="BC477" s="204" t="s">
        <v>1928</v>
      </c>
      <c r="BD477" s="204" t="s">
        <v>140</v>
      </c>
      <c r="BE477" s="166"/>
      <c r="BF477" s="203" t="s">
        <v>1790</v>
      </c>
      <c r="BG477" s="141"/>
      <c r="BH477" s="152"/>
      <c r="BI477" s="207"/>
      <c r="BJ477" s="207"/>
      <c r="BK477" s="207"/>
      <c r="BL477" s="153" t="s">
        <v>1933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1791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1977</v>
      </c>
      <c r="C478" s="209" t="s">
        <v>2193</v>
      </c>
      <c r="D478" s="209" t="s">
        <v>1297</v>
      </c>
      <c r="E478" s="209" t="s">
        <v>1800</v>
      </c>
      <c r="F478" s="209" t="s">
        <v>1743</v>
      </c>
      <c r="G478" s="209" t="s">
        <v>1721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1924</v>
      </c>
      <c r="AD478" s="215" t="s">
        <v>1925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1926</v>
      </c>
      <c r="BB478" s="213" t="s">
        <v>1927</v>
      </c>
      <c r="BC478" s="213" t="s">
        <v>1928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1791</v>
      </c>
      <c r="BZ478" s="158" t="s">
        <v>2156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1977</v>
      </c>
      <c r="C479" s="209" t="s">
        <v>2193</v>
      </c>
      <c r="D479" s="209" t="s">
        <v>1297</v>
      </c>
      <c r="E479" s="209" t="s">
        <v>1801</v>
      </c>
      <c r="F479" s="209" t="s">
        <v>1744</v>
      </c>
      <c r="G479" s="209" t="s">
        <v>1704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1924</v>
      </c>
      <c r="AD479" s="215" t="s">
        <v>1925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1926</v>
      </c>
      <c r="BB479" s="213" t="s">
        <v>1927</v>
      </c>
      <c r="BC479" s="213" t="s">
        <v>1928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1791</v>
      </c>
      <c r="BZ479" s="158" t="s">
        <v>2161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1977</v>
      </c>
      <c r="C480" s="209" t="s">
        <v>2193</v>
      </c>
      <c r="D480" s="209" t="s">
        <v>1077</v>
      </c>
      <c r="E480" s="209" t="s">
        <v>1803</v>
      </c>
      <c r="F480" s="209" t="s">
        <v>1741</v>
      </c>
      <c r="G480" s="209" t="s">
        <v>1076</v>
      </c>
      <c r="H480" s="210">
        <v>812</v>
      </c>
      <c r="I480" s="211" t="s">
        <v>1078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1924</v>
      </c>
      <c r="AD480" s="215" t="s">
        <v>1925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1926</v>
      </c>
      <c r="BB480" s="213" t="s">
        <v>1927</v>
      </c>
      <c r="BC480" s="213" t="s">
        <v>1928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58" t="s">
        <v>2162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1977</v>
      </c>
      <c r="C481" s="209" t="s">
        <v>2193</v>
      </c>
      <c r="D481" s="209" t="s">
        <v>1297</v>
      </c>
      <c r="E481" s="209" t="s">
        <v>1802</v>
      </c>
      <c r="F481" s="209" t="s">
        <v>1745</v>
      </c>
      <c r="G481" s="209" t="s">
        <v>1126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1924</v>
      </c>
      <c r="AD481" s="215" t="s">
        <v>1925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1926</v>
      </c>
      <c r="BB481" s="213" t="s">
        <v>1927</v>
      </c>
      <c r="BC481" s="213" t="s">
        <v>1928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1791</v>
      </c>
      <c r="BZ481" s="158" t="s">
        <v>2156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1977</v>
      </c>
      <c r="C482" s="209" t="s">
        <v>2193</v>
      </c>
      <c r="D482" s="209" t="s">
        <v>1297</v>
      </c>
      <c r="E482" s="209" t="s">
        <v>1816</v>
      </c>
      <c r="F482" s="209" t="s">
        <v>1746</v>
      </c>
      <c r="G482" s="209" t="s">
        <v>1124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1924</v>
      </c>
      <c r="AD482" s="215" t="s">
        <v>1925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1926</v>
      </c>
      <c r="BB482" s="213" t="s">
        <v>1927</v>
      </c>
      <c r="BC482" s="213" t="s">
        <v>1928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1791</v>
      </c>
      <c r="BZ482" s="158" t="s">
        <v>2158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1847</v>
      </c>
      <c r="C483" s="177" t="s">
        <v>2126</v>
      </c>
      <c r="D483" s="177" t="s">
        <v>1848</v>
      </c>
      <c r="E483" s="177"/>
      <c r="F483" s="177"/>
      <c r="G483" s="177" t="s">
        <v>1849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0.25</v>
      </c>
      <c r="Y483" s="181"/>
      <c r="Z483" s="181"/>
      <c r="AA483" s="181"/>
      <c r="AB483" s="181"/>
      <c r="AC483" s="228" t="s">
        <v>1981</v>
      </c>
      <c r="AD483" s="184" t="s">
        <v>1925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1784</v>
      </c>
      <c r="AL483" s="181">
        <v>4</v>
      </c>
      <c r="AM483" s="181"/>
      <c r="AN483" s="181"/>
      <c r="AO483" s="181"/>
      <c r="AP483" s="181" t="s">
        <v>1923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1982</v>
      </c>
      <c r="BB483" s="182" t="s">
        <v>1983</v>
      </c>
      <c r="BC483" s="182" t="s">
        <v>1984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1847</v>
      </c>
      <c r="C484" s="209" t="s">
        <v>2126</v>
      </c>
      <c r="D484" s="209" t="s">
        <v>955</v>
      </c>
      <c r="E484" s="209" t="s">
        <v>1789</v>
      </c>
      <c r="F484" s="209" t="s">
        <v>953</v>
      </c>
      <c r="G484" s="209" t="s">
        <v>954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1981</v>
      </c>
      <c r="AD484" s="226" t="s">
        <v>1925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1982</v>
      </c>
      <c r="BB484" s="213" t="s">
        <v>1983</v>
      </c>
      <c r="BC484" s="213" t="s">
        <v>1984</v>
      </c>
      <c r="BD484" s="213" t="s">
        <v>140</v>
      </c>
      <c r="BE484" s="148"/>
      <c r="BF484" s="212" t="s">
        <v>1790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1791</v>
      </c>
      <c r="BZ484" s="158" t="s">
        <v>2194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1847</v>
      </c>
      <c r="C485" s="209" t="s">
        <v>2126</v>
      </c>
      <c r="D485" s="209" t="s">
        <v>955</v>
      </c>
      <c r="E485" s="209" t="s">
        <v>1792</v>
      </c>
      <c r="F485" s="209" t="s">
        <v>959</v>
      </c>
      <c r="G485" s="209" t="s">
        <v>960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1981</v>
      </c>
      <c r="AD485" s="226" t="s">
        <v>1925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1982</v>
      </c>
      <c r="BB485" s="213" t="s">
        <v>1983</v>
      </c>
      <c r="BC485" s="213" t="s">
        <v>1984</v>
      </c>
      <c r="BD485" s="213" t="s">
        <v>140</v>
      </c>
      <c r="BE485" s="148"/>
      <c r="BF485" s="212" t="s">
        <v>1790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58" t="s">
        <v>2195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1847</v>
      </c>
      <c r="C486" s="209" t="s">
        <v>2126</v>
      </c>
      <c r="D486" s="209" t="s">
        <v>955</v>
      </c>
      <c r="E486" s="209" t="s">
        <v>1793</v>
      </c>
      <c r="F486" s="209" t="s">
        <v>964</v>
      </c>
      <c r="G486" s="209" t="s">
        <v>965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1981</v>
      </c>
      <c r="AD486" s="226" t="s">
        <v>1925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1982</v>
      </c>
      <c r="BB486" s="213" t="s">
        <v>1983</v>
      </c>
      <c r="BC486" s="213" t="s">
        <v>1984</v>
      </c>
      <c r="BD486" s="213" t="s">
        <v>140</v>
      </c>
      <c r="BE486" s="148"/>
      <c r="BF486" s="212" t="s">
        <v>1790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58" t="s">
        <v>2196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1847</v>
      </c>
      <c r="C487" s="209" t="s">
        <v>2126</v>
      </c>
      <c r="D487" s="209" t="s">
        <v>955</v>
      </c>
      <c r="E487" s="209" t="s">
        <v>1794</v>
      </c>
      <c r="F487" s="209" t="s">
        <v>969</v>
      </c>
      <c r="G487" s="209" t="s">
        <v>970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1981</v>
      </c>
      <c r="AD487" s="226" t="s">
        <v>1925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1982</v>
      </c>
      <c r="BB487" s="213" t="s">
        <v>1983</v>
      </c>
      <c r="BC487" s="213" t="s">
        <v>1984</v>
      </c>
      <c r="BD487" s="213" t="s">
        <v>140</v>
      </c>
      <c r="BE487" s="148"/>
      <c r="BF487" s="212" t="s">
        <v>1790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58" t="s">
        <v>2197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1847</v>
      </c>
      <c r="C488" s="177" t="s">
        <v>2131</v>
      </c>
      <c r="D488" s="177" t="s">
        <v>1850</v>
      </c>
      <c r="E488" s="177"/>
      <c r="F488" s="177"/>
      <c r="G488" s="177" t="s">
        <v>1851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6.2500000000000003E-3</v>
      </c>
      <c r="Y488" s="181"/>
      <c r="Z488" s="181"/>
      <c r="AA488" s="181"/>
      <c r="AB488" s="181"/>
      <c r="AC488" s="228" t="s">
        <v>1981</v>
      </c>
      <c r="AD488" s="184" t="s">
        <v>1925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1784</v>
      </c>
      <c r="AL488" s="181">
        <v>4</v>
      </c>
      <c r="AM488" s="181"/>
      <c r="AN488" s="181"/>
      <c r="AO488" s="181"/>
      <c r="AP488" s="181" t="s">
        <v>1923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1982</v>
      </c>
      <c r="BB488" s="182" t="s">
        <v>1983</v>
      </c>
      <c r="BC488" s="182" t="s">
        <v>1984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1847</v>
      </c>
      <c r="C489" s="199" t="s">
        <v>2131</v>
      </c>
      <c r="D489" s="199" t="s">
        <v>980</v>
      </c>
      <c r="E489" s="199" t="s">
        <v>1852</v>
      </c>
      <c r="F489" s="199" t="s">
        <v>978</v>
      </c>
      <c r="G489" s="199" t="s">
        <v>979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1981</v>
      </c>
      <c r="AD489" s="225" t="s">
        <v>1985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1982</v>
      </c>
      <c r="BB489" s="204" t="s">
        <v>1983</v>
      </c>
      <c r="BC489" s="204" t="s">
        <v>1984</v>
      </c>
      <c r="BD489" s="204" t="s">
        <v>140</v>
      </c>
      <c r="BE489" s="166"/>
      <c r="BF489" s="212" t="s">
        <v>1790</v>
      </c>
      <c r="BG489" s="141"/>
      <c r="BH489" s="141"/>
      <c r="BI489" s="153"/>
      <c r="BJ489" s="153"/>
      <c r="BK489" s="153" t="s">
        <v>1854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1791</v>
      </c>
      <c r="BZ489" s="167" t="s">
        <v>2198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1847</v>
      </c>
      <c r="C490" s="209" t="s">
        <v>2131</v>
      </c>
      <c r="D490" s="209" t="s">
        <v>976</v>
      </c>
      <c r="E490" s="209" t="s">
        <v>1855</v>
      </c>
      <c r="F490" s="209" t="s">
        <v>974</v>
      </c>
      <c r="G490" s="209" t="s">
        <v>975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977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1981</v>
      </c>
      <c r="AD490" s="226" t="s">
        <v>1925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1982</v>
      </c>
      <c r="BB490" s="213" t="s">
        <v>1983</v>
      </c>
      <c r="BC490" s="213" t="s">
        <v>1984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1847</v>
      </c>
      <c r="C491" s="209" t="s">
        <v>2131</v>
      </c>
      <c r="D491" s="209" t="s">
        <v>13</v>
      </c>
      <c r="E491" s="209" t="s">
        <v>1789</v>
      </c>
      <c r="F491" s="209" t="s">
        <v>986</v>
      </c>
      <c r="G491" s="209" t="s">
        <v>987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1981</v>
      </c>
      <c r="AD491" s="226" t="s">
        <v>1925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1982</v>
      </c>
      <c r="BB491" s="213" t="s">
        <v>1983</v>
      </c>
      <c r="BC491" s="213" t="s">
        <v>1984</v>
      </c>
      <c r="BD491" s="213" t="s">
        <v>140</v>
      </c>
      <c r="BE491" s="148"/>
      <c r="BF491" s="212" t="s">
        <v>1790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1791</v>
      </c>
      <c r="BZ491" s="158" t="s">
        <v>2161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1847</v>
      </c>
      <c r="C492" s="209" t="s">
        <v>2131</v>
      </c>
      <c r="D492" s="209" t="s">
        <v>984</v>
      </c>
      <c r="E492" s="209" t="s">
        <v>1824</v>
      </c>
      <c r="F492" s="209" t="s">
        <v>982</v>
      </c>
      <c r="G492" s="209" t="s">
        <v>983</v>
      </c>
      <c r="H492" s="210"/>
      <c r="I492" s="211" t="s">
        <v>985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977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1981</v>
      </c>
      <c r="AD492" s="226" t="s">
        <v>1925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1982</v>
      </c>
      <c r="BB492" s="213" t="s">
        <v>1983</v>
      </c>
      <c r="BC492" s="213" t="s">
        <v>1984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1847</v>
      </c>
      <c r="C493" s="177" t="s">
        <v>2133</v>
      </c>
      <c r="D493" s="177" t="s">
        <v>1856</v>
      </c>
      <c r="E493" s="177"/>
      <c r="F493" s="177"/>
      <c r="G493" s="177" t="s">
        <v>1857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</v>
      </c>
      <c r="Y493" s="181"/>
      <c r="Z493" s="181"/>
      <c r="AA493" s="181"/>
      <c r="AB493" s="181"/>
      <c r="AC493" s="228" t="s">
        <v>1981</v>
      </c>
      <c r="AD493" s="184" t="s">
        <v>1925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1784</v>
      </c>
      <c r="AL493" s="181">
        <v>4</v>
      </c>
      <c r="AM493" s="181"/>
      <c r="AN493" s="181"/>
      <c r="AO493" s="181"/>
      <c r="AP493" s="181" t="s">
        <v>1923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1982</v>
      </c>
      <c r="BB493" s="182" t="s">
        <v>1983</v>
      </c>
      <c r="BC493" s="182" t="s">
        <v>1984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1847</v>
      </c>
      <c r="C494" s="209" t="s">
        <v>2133</v>
      </c>
      <c r="D494" s="209" t="s">
        <v>13</v>
      </c>
      <c r="E494" s="209" t="s">
        <v>1789</v>
      </c>
      <c r="F494" s="209" t="s">
        <v>991</v>
      </c>
      <c r="G494" s="209" t="s">
        <v>992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03">
        <f t="shared" ref="U494:U495" ca="1" si="1013">+L494-T494</f>
        <v>8</v>
      </c>
      <c r="V494" s="203">
        <f t="shared" ref="V494:V495" ca="1" si="1014">ROUNDDOWN(T494/J494,0)</f>
        <v>0</v>
      </c>
      <c r="W494" s="212"/>
      <c r="X494" s="212"/>
      <c r="Y494" s="212"/>
      <c r="Z494" s="212"/>
      <c r="AA494" s="212"/>
      <c r="AB494" s="212"/>
      <c r="AC494" s="214" t="s">
        <v>1981</v>
      </c>
      <c r="AD494" s="226" t="s">
        <v>1925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0</v>
      </c>
      <c r="AO494" s="203">
        <f t="shared" ref="AO494:AO495" ca="1" si="1022">+AM494-AN494</f>
        <v>4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1982</v>
      </c>
      <c r="BB494" s="213" t="s">
        <v>1983</v>
      </c>
      <c r="BC494" s="213" t="s">
        <v>1984</v>
      </c>
      <c r="BD494" s="213" t="s">
        <v>140</v>
      </c>
      <c r="BE494" s="148"/>
      <c r="BF494" s="212" t="s">
        <v>1790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1791</v>
      </c>
      <c r="BZ494" s="158" t="s">
        <v>2199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1847</v>
      </c>
      <c r="C495" s="209" t="s">
        <v>2133</v>
      </c>
      <c r="D495" s="209" t="s">
        <v>13</v>
      </c>
      <c r="E495" s="209" t="s">
        <v>1792</v>
      </c>
      <c r="F495" s="209" t="s">
        <v>996</v>
      </c>
      <c r="G495" s="209" t="s">
        <v>997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03">
        <f t="shared" ca="1" si="1013"/>
        <v>8</v>
      </c>
      <c r="V495" s="203">
        <f t="shared" ca="1" si="1014"/>
        <v>0</v>
      </c>
      <c r="W495" s="212"/>
      <c r="X495" s="212"/>
      <c r="Y495" s="212"/>
      <c r="Z495" s="212"/>
      <c r="AA495" s="212"/>
      <c r="AB495" s="212"/>
      <c r="AC495" s="214" t="s">
        <v>1981</v>
      </c>
      <c r="AD495" s="226" t="s">
        <v>1925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0</v>
      </c>
      <c r="AO495" s="203">
        <f t="shared" ca="1" si="1022"/>
        <v>4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1982</v>
      </c>
      <c r="BB495" s="213" t="s">
        <v>1983</v>
      </c>
      <c r="BC495" s="213" t="s">
        <v>1984</v>
      </c>
      <c r="BD495" s="213" t="s">
        <v>140</v>
      </c>
      <c r="BE495" s="148"/>
      <c r="BF495" s="212" t="s">
        <v>1790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1791</v>
      </c>
      <c r="BZ495" s="158" t="s">
        <v>2199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1986</v>
      </c>
      <c r="C496" s="177" t="s">
        <v>2135</v>
      </c>
      <c r="D496" s="177" t="s">
        <v>1859</v>
      </c>
      <c r="E496" s="177"/>
      <c r="F496" s="177"/>
      <c r="G496" s="177" t="s">
        <v>1860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1987</v>
      </c>
      <c r="AD496" s="184" t="s">
        <v>1925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1784</v>
      </c>
      <c r="AL496" s="181">
        <v>2</v>
      </c>
      <c r="AM496" s="181"/>
      <c r="AN496" s="181"/>
      <c r="AO496" s="181"/>
      <c r="AP496" s="181" t="s">
        <v>1923</v>
      </c>
      <c r="AQ496" s="181">
        <v>2</v>
      </c>
      <c r="AR496" s="181"/>
      <c r="AS496" s="181"/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1988</v>
      </c>
      <c r="BB496" s="182" t="s">
        <v>1989</v>
      </c>
      <c r="BC496" s="182" t="s">
        <v>1990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1986</v>
      </c>
      <c r="C497" s="177" t="s">
        <v>2136</v>
      </c>
      <c r="D497" s="177" t="s">
        <v>1859</v>
      </c>
      <c r="E497" s="177"/>
      <c r="F497" s="177"/>
      <c r="G497" s="177" t="s">
        <v>1861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1991</v>
      </c>
      <c r="AD497" s="184" t="s">
        <v>1925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1784</v>
      </c>
      <c r="AL497" s="181">
        <v>1</v>
      </c>
      <c r="AM497" s="181"/>
      <c r="AN497" s="181"/>
      <c r="AO497" s="181"/>
      <c r="AP497" s="181" t="s">
        <v>1923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1992</v>
      </c>
      <c r="BB497" s="182" t="s">
        <v>1993</v>
      </c>
      <c r="BC497" s="182" t="s">
        <v>1994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1847</v>
      </c>
      <c r="C498" s="177" t="s">
        <v>2137</v>
      </c>
      <c r="D498" s="177" t="s">
        <v>1862</v>
      </c>
      <c r="E498" s="177"/>
      <c r="F498" s="177"/>
      <c r="G498" s="177" t="s">
        <v>1863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1991</v>
      </c>
      <c r="AD498" s="184" t="s">
        <v>1925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1784</v>
      </c>
      <c r="AL498" s="181">
        <v>1</v>
      </c>
      <c r="AM498" s="181"/>
      <c r="AN498" s="181"/>
      <c r="AO498" s="181"/>
      <c r="AP498" s="181" t="s">
        <v>1923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1992</v>
      </c>
      <c r="BB498" s="182" t="s">
        <v>1993</v>
      </c>
      <c r="BC498" s="182" t="s">
        <v>1994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1847</v>
      </c>
      <c r="C499" s="209" t="s">
        <v>2137</v>
      </c>
      <c r="D499" s="209" t="s">
        <v>955</v>
      </c>
      <c r="E499" s="209" t="s">
        <v>1789</v>
      </c>
      <c r="F499" s="209" t="s">
        <v>998</v>
      </c>
      <c r="G499" s="209" t="s">
        <v>999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1991</v>
      </c>
      <c r="AD499" s="226" t="s">
        <v>1925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1992</v>
      </c>
      <c r="BB499" s="213" t="s">
        <v>1993</v>
      </c>
      <c r="BC499" s="213" t="s">
        <v>1994</v>
      </c>
      <c r="BD499" s="213" t="s">
        <v>140</v>
      </c>
      <c r="BE499" s="148"/>
      <c r="BF499" s="212" t="s">
        <v>1790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1791</v>
      </c>
      <c r="BZ499" s="158" t="s">
        <v>2200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 hidden="1">
      <c r="A500" s="162">
        <v>151</v>
      </c>
      <c r="B500" s="177" t="s">
        <v>1847</v>
      </c>
      <c r="C500" s="177" t="s">
        <v>2201</v>
      </c>
      <c r="D500" s="177" t="s">
        <v>1995</v>
      </c>
      <c r="E500" s="177"/>
      <c r="F500" s="177"/>
      <c r="G500" s="177" t="s">
        <v>1996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1997</v>
      </c>
      <c r="AD500" s="184" t="s">
        <v>1925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1784</v>
      </c>
      <c r="AL500" s="181">
        <v>2</v>
      </c>
      <c r="AM500" s="181"/>
      <c r="AN500" s="181"/>
      <c r="AO500" s="181"/>
      <c r="AP500" s="181" t="s">
        <v>1923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1998</v>
      </c>
      <c r="BB500" s="182" t="s">
        <v>1999</v>
      </c>
      <c r="BC500" s="182" t="s">
        <v>2000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1847</v>
      </c>
      <c r="C501" s="177" t="s">
        <v>2202</v>
      </c>
      <c r="D501" s="177" t="s">
        <v>2001</v>
      </c>
      <c r="E501" s="177"/>
      <c r="F501" s="177"/>
      <c r="G501" s="177" t="s">
        <v>2002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1924</v>
      </c>
      <c r="AD501" s="184" t="s">
        <v>1925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1784</v>
      </c>
      <c r="AL501" s="181">
        <v>1</v>
      </c>
      <c r="AM501" s="181"/>
      <c r="AN501" s="181"/>
      <c r="AO501" s="181"/>
      <c r="AP501" s="181" t="s">
        <v>1923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1926</v>
      </c>
      <c r="BB501" s="182" t="s">
        <v>1927</v>
      </c>
      <c r="BC501" s="182" t="s">
        <v>1928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1847</v>
      </c>
      <c r="C502" s="209" t="s">
        <v>2202</v>
      </c>
      <c r="D502" s="209" t="s">
        <v>13</v>
      </c>
      <c r="E502" s="209" t="s">
        <v>1789</v>
      </c>
      <c r="F502" s="209" t="s">
        <v>1003</v>
      </c>
      <c r="G502" s="209" t="s">
        <v>1629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1924</v>
      </c>
      <c r="AD502" s="226" t="s">
        <v>1925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1926</v>
      </c>
      <c r="BB502" s="213" t="s">
        <v>1927</v>
      </c>
      <c r="BC502" s="213" t="s">
        <v>1928</v>
      </c>
      <c r="BD502" s="213" t="s">
        <v>140</v>
      </c>
      <c r="BE502" s="148"/>
      <c r="BF502" s="212" t="s">
        <v>1790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1791</v>
      </c>
      <c r="BZ502" s="158" t="s">
        <v>2157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1847</v>
      </c>
      <c r="C503" s="209" t="s">
        <v>2202</v>
      </c>
      <c r="D503" s="209" t="s">
        <v>984</v>
      </c>
      <c r="E503" s="209" t="s">
        <v>1824</v>
      </c>
      <c r="F503" s="209" t="s">
        <v>1001</v>
      </c>
      <c r="G503" s="209" t="s">
        <v>1002</v>
      </c>
      <c r="H503" s="210"/>
      <c r="I503" s="211" t="s">
        <v>985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977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1924</v>
      </c>
      <c r="AD503" s="226" t="s">
        <v>1925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1926</v>
      </c>
      <c r="BB503" s="213" t="s">
        <v>1927</v>
      </c>
      <c r="BC503" s="213" t="s">
        <v>1928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1847</v>
      </c>
      <c r="C504" s="177" t="s">
        <v>2203</v>
      </c>
      <c r="D504" s="177" t="s">
        <v>2003</v>
      </c>
      <c r="E504" s="177"/>
      <c r="F504" s="177"/>
      <c r="G504" s="177" t="s">
        <v>2004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0</v>
      </c>
      <c r="X504" s="181">
        <f ca="1">SUMIFS(T:T,C:C,C504,AE:AE,"")/SUMIFS(L:L,C:C,C504,AE:AE,"",AB:AB,"")</f>
        <v>0</v>
      </c>
      <c r="Y504" s="181"/>
      <c r="Z504" s="181"/>
      <c r="AA504" s="181"/>
      <c r="AB504" s="181"/>
      <c r="AC504" s="228" t="s">
        <v>1981</v>
      </c>
      <c r="AD504" s="184" t="s">
        <v>1925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1784</v>
      </c>
      <c r="AL504" s="181">
        <v>4</v>
      </c>
      <c r="AM504" s="181"/>
      <c r="AN504" s="181"/>
      <c r="AO504" s="181"/>
      <c r="AP504" s="181" t="s">
        <v>1923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1982</v>
      </c>
      <c r="BB504" s="182" t="s">
        <v>1983</v>
      </c>
      <c r="BC504" s="182" t="s">
        <v>1984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1847</v>
      </c>
      <c r="C505" s="199" t="s">
        <v>2203</v>
      </c>
      <c r="D505" s="199" t="s">
        <v>1008</v>
      </c>
      <c r="E505" s="199" t="s">
        <v>1869</v>
      </c>
      <c r="F505" s="199" t="s">
        <v>1007</v>
      </c>
      <c r="G505" s="199" t="s">
        <v>1004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03">
        <f t="shared" ref="U505" ca="1" si="1068">+L505-T505</f>
        <v>8</v>
      </c>
      <c r="V505" s="203">
        <f t="shared" ref="V505" ca="1" si="1069">ROUNDDOWN(T505/J505,0)</f>
        <v>0</v>
      </c>
      <c r="W505" s="203"/>
      <c r="X505" s="203"/>
      <c r="Y505" s="203"/>
      <c r="Z505" s="203"/>
      <c r="AA505" s="203"/>
      <c r="AB505" s="203"/>
      <c r="AC505" s="231" t="s">
        <v>1981</v>
      </c>
      <c r="AD505" s="225" t="s">
        <v>1925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0</v>
      </c>
      <c r="AO505" s="203">
        <f ca="1">+AM505-AN505</f>
        <v>4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1982</v>
      </c>
      <c r="BB505" s="204" t="s">
        <v>1983</v>
      </c>
      <c r="BC505" s="204" t="s">
        <v>1984</v>
      </c>
      <c r="BD505" s="204" t="s">
        <v>140</v>
      </c>
      <c r="BE505" s="166"/>
      <c r="BF505" s="203" t="s">
        <v>1790</v>
      </c>
      <c r="BG505" s="141"/>
      <c r="BH505" s="141"/>
      <c r="BI505" s="153"/>
      <c r="BJ505" s="153"/>
      <c r="BK505" s="153"/>
      <c r="BL505" s="153" t="s">
        <v>1933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1791</v>
      </c>
      <c r="BZ505" s="167" t="s">
        <v>2196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1864</v>
      </c>
      <c r="C506" s="177" t="s">
        <v>2138</v>
      </c>
      <c r="D506" s="177" t="s">
        <v>1865</v>
      </c>
      <c r="E506" s="177"/>
      <c r="F506" s="177"/>
      <c r="G506" s="177" t="s">
        <v>1866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0.16666666666666666</v>
      </c>
      <c r="Y506" s="181"/>
      <c r="Z506" s="181"/>
      <c r="AA506" s="181"/>
      <c r="AB506" s="181"/>
      <c r="AC506" s="228" t="s">
        <v>1924</v>
      </c>
      <c r="AD506" s="184" t="s">
        <v>1925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1784</v>
      </c>
      <c r="AL506" s="181">
        <v>1</v>
      </c>
      <c r="AM506" s="181"/>
      <c r="AN506" s="181"/>
      <c r="AO506" s="181"/>
      <c r="AP506" s="181" t="s">
        <v>1923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1926</v>
      </c>
      <c r="BB506" s="182" t="s">
        <v>1927</v>
      </c>
      <c r="BC506" s="182" t="s">
        <v>1928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1864</v>
      </c>
      <c r="C507" s="209" t="s">
        <v>2138</v>
      </c>
      <c r="D507" s="209" t="s">
        <v>1017</v>
      </c>
      <c r="E507" s="209" t="s">
        <v>1824</v>
      </c>
      <c r="F507" s="209" t="s">
        <v>1015</v>
      </c>
      <c r="G507" s="209" t="s">
        <v>1016</v>
      </c>
      <c r="H507" s="210"/>
      <c r="I507" s="211" t="s">
        <v>1018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977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1924</v>
      </c>
      <c r="AD507" s="226" t="s">
        <v>1925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1926</v>
      </c>
      <c r="BB507" s="213" t="s">
        <v>1927</v>
      </c>
      <c r="BC507" s="213" t="s">
        <v>1928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1864</v>
      </c>
      <c r="C508" s="199" t="s">
        <v>2138</v>
      </c>
      <c r="D508" s="199" t="s">
        <v>1011</v>
      </c>
      <c r="E508" s="199" t="s">
        <v>1803</v>
      </c>
      <c r="F508" s="199" t="s">
        <v>1009</v>
      </c>
      <c r="G508" s="199" t="s">
        <v>1010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1924</v>
      </c>
      <c r="AD508" s="225" t="s">
        <v>1925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1926</v>
      </c>
      <c r="BB508" s="204" t="s">
        <v>1927</v>
      </c>
      <c r="BC508" s="204" t="s">
        <v>1928</v>
      </c>
      <c r="BD508" s="204" t="s">
        <v>140</v>
      </c>
      <c r="BE508" s="166"/>
      <c r="BF508" s="203" t="s">
        <v>1790</v>
      </c>
      <c r="BG508" s="141"/>
      <c r="BH508" s="141"/>
      <c r="BI508" s="153"/>
      <c r="BJ508" s="153"/>
      <c r="BK508" s="153"/>
      <c r="BL508" s="153" t="s">
        <v>1933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1791</v>
      </c>
      <c r="BZ508" s="167" t="s">
        <v>2192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1864</v>
      </c>
      <c r="C509" s="209" t="s">
        <v>2138</v>
      </c>
      <c r="D509" s="209" t="s">
        <v>13</v>
      </c>
      <c r="E509" s="209" t="s">
        <v>1789</v>
      </c>
      <c r="F509" s="209" t="s">
        <v>1019</v>
      </c>
      <c r="G509" s="209" t="s">
        <v>1020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1924</v>
      </c>
      <c r="AD509" s="226" t="s">
        <v>1925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1926</v>
      </c>
      <c r="BB509" s="213" t="s">
        <v>1927</v>
      </c>
      <c r="BC509" s="213" t="s">
        <v>1928</v>
      </c>
      <c r="BD509" s="213" t="s">
        <v>140</v>
      </c>
      <c r="BE509" s="148"/>
      <c r="BF509" s="212" t="s">
        <v>1790</v>
      </c>
      <c r="BG509" s="117"/>
      <c r="BH509" s="117"/>
      <c r="BI509" s="149"/>
      <c r="BJ509" s="149" t="s">
        <v>2005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1791</v>
      </c>
      <c r="BZ509" s="158" t="s">
        <v>2160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1864</v>
      </c>
      <c r="C510" s="177" t="s">
        <v>2139</v>
      </c>
      <c r="D510" s="177" t="s">
        <v>1867</v>
      </c>
      <c r="E510" s="177"/>
      <c r="F510" s="177"/>
      <c r="G510" s="177" t="s">
        <v>1868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1924</v>
      </c>
      <c r="AD510" s="184" t="s">
        <v>1925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1784</v>
      </c>
      <c r="AL510" s="181">
        <v>1</v>
      </c>
      <c r="AM510" s="181"/>
      <c r="AN510" s="181"/>
      <c r="AO510" s="181"/>
      <c r="AP510" s="181" t="s">
        <v>1923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1926</v>
      </c>
      <c r="BB510" s="182" t="s">
        <v>1927</v>
      </c>
      <c r="BC510" s="182" t="s">
        <v>1928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1864</v>
      </c>
      <c r="C511" s="209" t="s">
        <v>2139</v>
      </c>
      <c r="D511" s="209" t="s">
        <v>1008</v>
      </c>
      <c r="E511" s="209" t="s">
        <v>1869</v>
      </c>
      <c r="F511" s="209" t="s">
        <v>1032</v>
      </c>
      <c r="G511" s="209" t="s">
        <v>1033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1924</v>
      </c>
      <c r="AD511" s="226" t="s">
        <v>1925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1926</v>
      </c>
      <c r="BB511" s="213" t="s">
        <v>1927</v>
      </c>
      <c r="BC511" s="213" t="s">
        <v>1928</v>
      </c>
      <c r="BD511" s="213" t="s">
        <v>140</v>
      </c>
      <c r="BE511" s="148"/>
      <c r="BF511" s="212" t="s">
        <v>1790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58" t="s">
        <v>2204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1864</v>
      </c>
      <c r="C512" s="209" t="s">
        <v>2139</v>
      </c>
      <c r="D512" s="209" t="s">
        <v>1026</v>
      </c>
      <c r="E512" s="209" t="s">
        <v>1870</v>
      </c>
      <c r="F512" s="209" t="s">
        <v>1024</v>
      </c>
      <c r="G512" s="209" t="s">
        <v>1025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1924</v>
      </c>
      <c r="AD512" s="226" t="s">
        <v>2006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1926</v>
      </c>
      <c r="BB512" s="213" t="s">
        <v>1927</v>
      </c>
      <c r="BC512" s="213" t="s">
        <v>1928</v>
      </c>
      <c r="BD512" s="213" t="s">
        <v>140</v>
      </c>
      <c r="BE512" s="148"/>
      <c r="BF512" s="212" t="s">
        <v>1790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1791</v>
      </c>
      <c r="BZ512" s="158" t="s">
        <v>2205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1864</v>
      </c>
      <c r="C513" s="209" t="s">
        <v>2139</v>
      </c>
      <c r="D513" s="209" t="s">
        <v>13</v>
      </c>
      <c r="E513" s="209" t="s">
        <v>1789</v>
      </c>
      <c r="F513" s="209" t="s">
        <v>1030</v>
      </c>
      <c r="G513" s="209" t="s">
        <v>1031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1924</v>
      </c>
      <c r="AD513" s="226" t="s">
        <v>1925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1926</v>
      </c>
      <c r="BB513" s="213" t="s">
        <v>1927</v>
      </c>
      <c r="BC513" s="213" t="s">
        <v>1928</v>
      </c>
      <c r="BD513" s="213" t="s">
        <v>140</v>
      </c>
      <c r="BE513" s="148"/>
      <c r="BF513" s="212" t="s">
        <v>1790</v>
      </c>
      <c r="BG513" s="117"/>
      <c r="BH513" s="117"/>
      <c r="BI513" s="149"/>
      <c r="BJ513" s="149" t="s">
        <v>2005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58" t="s">
        <v>2160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1864</v>
      </c>
      <c r="C514" s="177" t="s">
        <v>2142</v>
      </c>
      <c r="D514" s="177" t="s">
        <v>1872</v>
      </c>
      <c r="E514" s="177"/>
      <c r="F514" s="177"/>
      <c r="G514" s="177" t="s">
        <v>1873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0.15</v>
      </c>
      <c r="Y514" s="181"/>
      <c r="Z514" s="181"/>
      <c r="AA514" s="181"/>
      <c r="AB514" s="181"/>
      <c r="AC514" s="228" t="s">
        <v>1924</v>
      </c>
      <c r="AD514" s="184" t="s">
        <v>1925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1784</v>
      </c>
      <c r="AL514" s="181">
        <v>1</v>
      </c>
      <c r="AM514" s="181"/>
      <c r="AN514" s="181"/>
      <c r="AO514" s="181"/>
      <c r="AP514" s="181" t="s">
        <v>1923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1926</v>
      </c>
      <c r="BB514" s="182" t="s">
        <v>1927</v>
      </c>
      <c r="BC514" s="182" t="s">
        <v>1928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1864</v>
      </c>
      <c r="C515" s="209" t="s">
        <v>2142</v>
      </c>
      <c r="D515" s="209" t="s">
        <v>1874</v>
      </c>
      <c r="E515" s="209" t="s">
        <v>1824</v>
      </c>
      <c r="F515" s="209" t="s">
        <v>1036</v>
      </c>
      <c r="G515" s="209" t="s">
        <v>1875</v>
      </c>
      <c r="H515" s="210"/>
      <c r="I515" s="211" t="s">
        <v>1018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977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1924</v>
      </c>
      <c r="AD515" s="226" t="s">
        <v>1925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1926</v>
      </c>
      <c r="BB515" s="213" t="s">
        <v>1927</v>
      </c>
      <c r="BC515" s="213" t="s">
        <v>1928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1864</v>
      </c>
      <c r="C516" s="209" t="s">
        <v>2142</v>
      </c>
      <c r="D516" s="209" t="s">
        <v>1008</v>
      </c>
      <c r="E516" s="209" t="s">
        <v>1869</v>
      </c>
      <c r="F516" s="209" t="s">
        <v>1040</v>
      </c>
      <c r="G516" s="209" t="s">
        <v>1041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03">
        <f t="shared" ca="1" si="1135"/>
        <v>4</v>
      </c>
      <c r="V516" s="203">
        <f t="shared" ca="1" si="1136"/>
        <v>0</v>
      </c>
      <c r="W516" s="212"/>
      <c r="X516" s="212"/>
      <c r="Y516" s="212"/>
      <c r="Z516" s="212"/>
      <c r="AA516" s="212"/>
      <c r="AB516" s="212"/>
      <c r="AC516" s="214" t="s">
        <v>1924</v>
      </c>
      <c r="AD516" s="226" t="s">
        <v>1925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0</v>
      </c>
      <c r="AO516" s="203">
        <f t="shared" ca="1" si="1144"/>
        <v>2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0</v>
      </c>
      <c r="AT516" s="203">
        <f t="shared" ca="1" si="1148"/>
        <v>2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1926</v>
      </c>
      <c r="BB516" s="213" t="s">
        <v>1927</v>
      </c>
      <c r="BC516" s="213" t="s">
        <v>1928</v>
      </c>
      <c r="BD516" s="213" t="s">
        <v>140</v>
      </c>
      <c r="BE516" s="148"/>
      <c r="BF516" s="212" t="s">
        <v>1790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1791</v>
      </c>
      <c r="BZ516" s="158" t="s">
        <v>2206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1864</v>
      </c>
      <c r="C517" s="209" t="s">
        <v>2142</v>
      </c>
      <c r="D517" s="209" t="s">
        <v>1008</v>
      </c>
      <c r="E517" s="209" t="s">
        <v>1876</v>
      </c>
      <c r="F517" s="209" t="s">
        <v>1044</v>
      </c>
      <c r="G517" s="209" t="s">
        <v>1045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03">
        <f t="shared" ca="1" si="1135"/>
        <v>2</v>
      </c>
      <c r="V517" s="203">
        <f t="shared" ca="1" si="1136"/>
        <v>0</v>
      </c>
      <c r="W517" s="212"/>
      <c r="X517" s="212"/>
      <c r="Y517" s="212"/>
      <c r="Z517" s="212"/>
      <c r="AA517" s="212"/>
      <c r="AB517" s="212"/>
      <c r="AC517" s="214" t="s">
        <v>1924</v>
      </c>
      <c r="AD517" s="226" t="s">
        <v>1925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0</v>
      </c>
      <c r="AO517" s="203">
        <f t="shared" ca="1" si="1144"/>
        <v>1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1926</v>
      </c>
      <c r="BB517" s="213" t="s">
        <v>1927</v>
      </c>
      <c r="BC517" s="213" t="s">
        <v>1928</v>
      </c>
      <c r="BD517" s="213" t="s">
        <v>140</v>
      </c>
      <c r="BE517" s="148"/>
      <c r="BF517" s="212" t="s">
        <v>1790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1791</v>
      </c>
      <c r="BZ517" s="158" t="s">
        <v>2207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1864</v>
      </c>
      <c r="C518" s="209" t="s">
        <v>2142</v>
      </c>
      <c r="D518" s="209" t="s">
        <v>1038</v>
      </c>
      <c r="E518" s="209" t="s">
        <v>1824</v>
      </c>
      <c r="F518" s="209" t="s">
        <v>1036</v>
      </c>
      <c r="G518" s="209" t="s">
        <v>1037</v>
      </c>
      <c r="H518" s="210" t="s">
        <v>1039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977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1924</v>
      </c>
      <c r="AD518" s="226" t="s">
        <v>1925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1926</v>
      </c>
      <c r="BB518" s="213" t="s">
        <v>1927</v>
      </c>
      <c r="BC518" s="213" t="s">
        <v>1928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1864</v>
      </c>
      <c r="C519" s="177" t="s">
        <v>2145</v>
      </c>
      <c r="D519" s="177" t="s">
        <v>1877</v>
      </c>
      <c r="E519" s="177"/>
      <c r="F519" s="177"/>
      <c r="G519" s="177" t="s">
        <v>1878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0.25</v>
      </c>
      <c r="Y519" s="181"/>
      <c r="Z519" s="181"/>
      <c r="AA519" s="181"/>
      <c r="AB519" s="181"/>
      <c r="AC519" s="228" t="s">
        <v>1924</v>
      </c>
      <c r="AD519" s="184" t="s">
        <v>1925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1784</v>
      </c>
      <c r="AL519" s="181">
        <v>1</v>
      </c>
      <c r="AM519" s="181"/>
      <c r="AN519" s="181"/>
      <c r="AO519" s="181"/>
      <c r="AP519" s="181" t="s">
        <v>1923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1926</v>
      </c>
      <c r="BB519" s="182" t="s">
        <v>1927</v>
      </c>
      <c r="BC519" s="182" t="s">
        <v>1928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1864</v>
      </c>
      <c r="C520" s="209" t="s">
        <v>2145</v>
      </c>
      <c r="D520" s="209" t="s">
        <v>1017</v>
      </c>
      <c r="E520" s="209" t="s">
        <v>1824</v>
      </c>
      <c r="F520" s="209" t="s">
        <v>1053</v>
      </c>
      <c r="G520" s="209" t="s">
        <v>1054</v>
      </c>
      <c r="H520" s="210"/>
      <c r="I520" s="211" t="s">
        <v>1018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977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1924</v>
      </c>
      <c r="AD520" s="226" t="s">
        <v>1925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1926</v>
      </c>
      <c r="BB520" s="213" t="s">
        <v>1927</v>
      </c>
      <c r="BC520" s="213" t="s">
        <v>1928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1864</v>
      </c>
      <c r="C521" s="209" t="s">
        <v>2145</v>
      </c>
      <c r="D521" s="209" t="s">
        <v>1011</v>
      </c>
      <c r="E521" s="209" t="s">
        <v>1803</v>
      </c>
      <c r="F521" s="209" t="s">
        <v>1048</v>
      </c>
      <c r="G521" s="209" t="s">
        <v>1049</v>
      </c>
      <c r="H521" s="210">
        <v>761</v>
      </c>
      <c r="I521" s="211" t="s">
        <v>1050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1924</v>
      </c>
      <c r="AD521" s="226" t="s">
        <v>1925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1926</v>
      </c>
      <c r="BB521" s="213" t="s">
        <v>1927</v>
      </c>
      <c r="BC521" s="213" t="s">
        <v>1928</v>
      </c>
      <c r="BD521" s="213" t="s">
        <v>140</v>
      </c>
      <c r="BE521" s="148"/>
      <c r="BF521" s="212" t="s">
        <v>1790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1791</v>
      </c>
      <c r="BZ521" s="158" t="s">
        <v>2208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1864</v>
      </c>
      <c r="C522" s="209" t="s">
        <v>2145</v>
      </c>
      <c r="D522" s="209" t="s">
        <v>13</v>
      </c>
      <c r="E522" s="209" t="s">
        <v>1789</v>
      </c>
      <c r="F522" s="209" t="s">
        <v>1057</v>
      </c>
      <c r="G522" s="209" t="s">
        <v>1058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1924</v>
      </c>
      <c r="AD522" s="226" t="s">
        <v>1925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1926</v>
      </c>
      <c r="BB522" s="213" t="s">
        <v>1927</v>
      </c>
      <c r="BC522" s="213" t="s">
        <v>1928</v>
      </c>
      <c r="BD522" s="213" t="s">
        <v>140</v>
      </c>
      <c r="BE522" s="148"/>
      <c r="BF522" s="212" t="s">
        <v>1790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1791</v>
      </c>
      <c r="BZ522" s="158" t="s">
        <v>2180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1864</v>
      </c>
      <c r="C523" s="209" t="s">
        <v>2145</v>
      </c>
      <c r="D523" s="209" t="s">
        <v>13</v>
      </c>
      <c r="E523" s="209" t="s">
        <v>1792</v>
      </c>
      <c r="F523" s="209" t="s">
        <v>1062</v>
      </c>
      <c r="G523" s="209" t="s">
        <v>1063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1924</v>
      </c>
      <c r="AD523" s="226" t="s">
        <v>1925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1926</v>
      </c>
      <c r="BB523" s="213" t="s">
        <v>1927</v>
      </c>
      <c r="BC523" s="213" t="s">
        <v>1928</v>
      </c>
      <c r="BD523" s="213" t="s">
        <v>140</v>
      </c>
      <c r="BE523" s="148"/>
      <c r="BF523" s="212" t="s">
        <v>1790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1791</v>
      </c>
      <c r="BZ523" s="158" t="s">
        <v>2157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1864</v>
      </c>
      <c r="C524" s="209" t="s">
        <v>2145</v>
      </c>
      <c r="D524" s="209" t="s">
        <v>13</v>
      </c>
      <c r="E524" s="209" t="s">
        <v>1793</v>
      </c>
      <c r="F524" s="209" t="s">
        <v>1065</v>
      </c>
      <c r="G524" s="209" t="s">
        <v>1066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1924</v>
      </c>
      <c r="AD524" s="226" t="s">
        <v>1925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1926</v>
      </c>
      <c r="BB524" s="213" t="s">
        <v>1927</v>
      </c>
      <c r="BC524" s="213" t="s">
        <v>1928</v>
      </c>
      <c r="BD524" s="213" t="s">
        <v>140</v>
      </c>
      <c r="BE524" s="148"/>
      <c r="BF524" s="212" t="s">
        <v>1790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1791</v>
      </c>
      <c r="BZ524" s="158" t="s">
        <v>2157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 hidden="1">
      <c r="A525" s="117"/>
      <c r="B525" s="209" t="s">
        <v>1864</v>
      </c>
      <c r="C525" s="209" t="s">
        <v>2145</v>
      </c>
      <c r="D525" s="209" t="s">
        <v>1056</v>
      </c>
      <c r="E525" s="209" t="s">
        <v>1879</v>
      </c>
      <c r="F525" s="209" t="s">
        <v>1055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977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1924</v>
      </c>
      <c r="AD525" s="226" t="s">
        <v>1925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1926</v>
      </c>
      <c r="BB525" s="213" t="s">
        <v>1927</v>
      </c>
      <c r="BC525" s="213" t="s">
        <v>1928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1864</v>
      </c>
      <c r="C526" s="177" t="s">
        <v>2147</v>
      </c>
      <c r="D526" s="177" t="s">
        <v>1880</v>
      </c>
      <c r="E526" s="177"/>
      <c r="F526" s="177"/>
      <c r="G526" s="177" t="s">
        <v>1881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1924</v>
      </c>
      <c r="AD526" s="184" t="s">
        <v>1925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1784</v>
      </c>
      <c r="AL526" s="181">
        <v>1</v>
      </c>
      <c r="AM526" s="181"/>
      <c r="AN526" s="181"/>
      <c r="AO526" s="181"/>
      <c r="AP526" s="181" t="s">
        <v>1923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1926</v>
      </c>
      <c r="BB526" s="182" t="s">
        <v>1927</v>
      </c>
      <c r="BC526" s="182" t="s">
        <v>1928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1864</v>
      </c>
      <c r="C527" s="209" t="s">
        <v>2147</v>
      </c>
      <c r="D527" s="209" t="s">
        <v>1017</v>
      </c>
      <c r="E527" s="209" t="s">
        <v>1824</v>
      </c>
      <c r="F527" s="209" t="s">
        <v>1068</v>
      </c>
      <c r="G527" s="209" t="s">
        <v>1054</v>
      </c>
      <c r="H527" s="210"/>
      <c r="I527" s="211" t="s">
        <v>1018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977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1924</v>
      </c>
      <c r="AD527" s="226" t="s">
        <v>1925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1926</v>
      </c>
      <c r="BB527" s="213" t="s">
        <v>1927</v>
      </c>
      <c r="BC527" s="213" t="s">
        <v>1928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1864</v>
      </c>
      <c r="C528" s="209" t="s">
        <v>2147</v>
      </c>
      <c r="D528" s="209" t="s">
        <v>1011</v>
      </c>
      <c r="E528" s="209" t="s">
        <v>1803</v>
      </c>
      <c r="F528" s="209" t="s">
        <v>1067</v>
      </c>
      <c r="G528" s="209" t="s">
        <v>1049</v>
      </c>
      <c r="H528" s="210">
        <v>604</v>
      </c>
      <c r="I528" s="211" t="s">
        <v>1050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1924</v>
      </c>
      <c r="AD528" s="226" t="s">
        <v>1925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1926</v>
      </c>
      <c r="BB528" s="213" t="s">
        <v>1927</v>
      </c>
      <c r="BC528" s="213" t="s">
        <v>1928</v>
      </c>
      <c r="BD528" s="213" t="s">
        <v>140</v>
      </c>
      <c r="BE528" s="148"/>
      <c r="BF528" s="212" t="s">
        <v>1790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58" t="s">
        <v>2208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1864</v>
      </c>
      <c r="C529" s="209" t="s">
        <v>2147</v>
      </c>
      <c r="D529" s="209" t="s">
        <v>13</v>
      </c>
      <c r="E529" s="209" t="s">
        <v>1789</v>
      </c>
      <c r="F529" s="209" t="s">
        <v>1070</v>
      </c>
      <c r="G529" s="209" t="s">
        <v>1071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1924</v>
      </c>
      <c r="AD529" s="226" t="s">
        <v>1925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1926</v>
      </c>
      <c r="BB529" s="213" t="s">
        <v>1927</v>
      </c>
      <c r="BC529" s="213" t="s">
        <v>1928</v>
      </c>
      <c r="BD529" s="213" t="s">
        <v>140</v>
      </c>
      <c r="BE529" s="148"/>
      <c r="BF529" s="212" t="s">
        <v>1790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1791</v>
      </c>
      <c r="BZ529" s="167" t="s">
        <v>2192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 hidden="1">
      <c r="A530" s="117"/>
      <c r="B530" s="209" t="s">
        <v>1864</v>
      </c>
      <c r="C530" s="209" t="s">
        <v>2147</v>
      </c>
      <c r="D530" s="209" t="s">
        <v>1056</v>
      </c>
      <c r="E530" s="209" t="s">
        <v>1879</v>
      </c>
      <c r="F530" s="209" t="s">
        <v>1069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977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1924</v>
      </c>
      <c r="AD530" s="226" t="s">
        <v>1925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1926</v>
      </c>
      <c r="BB530" s="213" t="s">
        <v>1927</v>
      </c>
      <c r="BC530" s="213" t="s">
        <v>1928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1864</v>
      </c>
      <c r="C531" s="177" t="s">
        <v>2148</v>
      </c>
      <c r="D531" s="177" t="s">
        <v>1882</v>
      </c>
      <c r="E531" s="177"/>
      <c r="F531" s="177"/>
      <c r="G531" s="177" t="s">
        <v>1883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1924</v>
      </c>
      <c r="AD531" s="184" t="s">
        <v>1925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1784</v>
      </c>
      <c r="AL531" s="181">
        <v>1</v>
      </c>
      <c r="AM531" s="181"/>
      <c r="AN531" s="181"/>
      <c r="AO531" s="181"/>
      <c r="AP531" s="181" t="s">
        <v>1923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1926</v>
      </c>
      <c r="BB531" s="182" t="s">
        <v>1927</v>
      </c>
      <c r="BC531" s="182" t="s">
        <v>1928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1864</v>
      </c>
      <c r="C532" s="209" t="s">
        <v>2148</v>
      </c>
      <c r="D532" s="209" t="s">
        <v>1074</v>
      </c>
      <c r="E532" s="209" t="s">
        <v>1884</v>
      </c>
      <c r="F532" s="209" t="s">
        <v>1072</v>
      </c>
      <c r="G532" s="209" t="s">
        <v>1073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1924</v>
      </c>
      <c r="AD532" s="226" t="s">
        <v>1925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1926</v>
      </c>
      <c r="BB532" s="213" t="s">
        <v>1927</v>
      </c>
      <c r="BC532" s="213" t="s">
        <v>1928</v>
      </c>
      <c r="BD532" s="213" t="s">
        <v>140</v>
      </c>
      <c r="BE532" s="148"/>
      <c r="BF532" s="212" t="s">
        <v>1790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58" t="s">
        <v>2194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1986</v>
      </c>
      <c r="C533" s="177" t="s">
        <v>2149</v>
      </c>
      <c r="D533" s="177" t="s">
        <v>1885</v>
      </c>
      <c r="E533" s="177"/>
      <c r="F533" s="177"/>
      <c r="G533" s="177" t="s">
        <v>1886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2007</v>
      </c>
      <c r="AD533" s="184" t="s">
        <v>1925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1784</v>
      </c>
      <c r="AL533" s="181">
        <v>21</v>
      </c>
      <c r="AM533" s="181"/>
      <c r="AN533" s="181"/>
      <c r="AO533" s="181"/>
      <c r="AP533" s="181" t="s">
        <v>1923</v>
      </c>
      <c r="AQ533" s="181">
        <v>21</v>
      </c>
      <c r="AR533" s="181"/>
      <c r="AS533" s="181"/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2008</v>
      </c>
      <c r="BB533" s="182" t="s">
        <v>2009</v>
      </c>
      <c r="BC533" s="182" t="s">
        <v>2010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1986</v>
      </c>
      <c r="C534" s="177" t="s">
        <v>2209</v>
      </c>
      <c r="D534" s="177" t="s">
        <v>1885</v>
      </c>
      <c r="E534" s="177"/>
      <c r="F534" s="177"/>
      <c r="G534" s="177" t="s">
        <v>1886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1924</v>
      </c>
      <c r="AD534" s="184" t="s">
        <v>1925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1784</v>
      </c>
      <c r="AL534" s="181">
        <v>1</v>
      </c>
      <c r="AM534" s="181"/>
      <c r="AN534" s="181"/>
      <c r="AO534" s="181"/>
      <c r="AP534" s="181" t="s">
        <v>1923</v>
      </c>
      <c r="AQ534" s="181">
        <v>1</v>
      </c>
      <c r="AR534" s="181"/>
      <c r="AS534" s="181"/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1926</v>
      </c>
      <c r="BB534" s="182" t="s">
        <v>1927</v>
      </c>
      <c r="BC534" s="182" t="s">
        <v>1928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1986</v>
      </c>
      <c r="C535" s="177" t="s">
        <v>2210</v>
      </c>
      <c r="D535" s="177" t="s">
        <v>1885</v>
      </c>
      <c r="E535" s="177"/>
      <c r="F535" s="177"/>
      <c r="G535" s="177" t="s">
        <v>1886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1924</v>
      </c>
      <c r="AD535" s="184" t="s">
        <v>1925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1784</v>
      </c>
      <c r="AL535" s="181">
        <v>1</v>
      </c>
      <c r="AM535" s="181"/>
      <c r="AN535" s="181"/>
      <c r="AO535" s="181"/>
      <c r="AP535" s="181" t="s">
        <v>1923</v>
      </c>
      <c r="AQ535" s="181">
        <v>1</v>
      </c>
      <c r="AR535" s="181"/>
      <c r="AS535" s="181"/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1926</v>
      </c>
      <c r="BB535" s="182" t="s">
        <v>1927</v>
      </c>
      <c r="BC535" s="182" t="s">
        <v>1928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1986</v>
      </c>
      <c r="C536" s="177" t="s">
        <v>2211</v>
      </c>
      <c r="D536" s="177" t="s">
        <v>1885</v>
      </c>
      <c r="E536" s="177"/>
      <c r="F536" s="177"/>
      <c r="G536" s="177" t="s">
        <v>1886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1924</v>
      </c>
      <c r="AD536" s="184" t="s">
        <v>1925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1784</v>
      </c>
      <c r="AL536" s="181">
        <v>1</v>
      </c>
      <c r="AM536" s="181"/>
      <c r="AN536" s="181"/>
      <c r="AO536" s="181"/>
      <c r="AP536" s="181" t="s">
        <v>1923</v>
      </c>
      <c r="AQ536" s="181">
        <v>1</v>
      </c>
      <c r="AR536" s="181"/>
      <c r="AS536" s="181"/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1926</v>
      </c>
      <c r="BB536" s="182" t="s">
        <v>1927</v>
      </c>
      <c r="BC536" s="182" t="s">
        <v>1928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1986</v>
      </c>
      <c r="C537" s="177" t="s">
        <v>2152</v>
      </c>
      <c r="D537" s="177" t="s">
        <v>1887</v>
      </c>
      <c r="E537" s="177"/>
      <c r="F537" s="177"/>
      <c r="G537" s="177" t="s">
        <v>1888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1924</v>
      </c>
      <c r="AD537" s="184" t="s">
        <v>1925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1784</v>
      </c>
      <c r="AL537" s="181">
        <v>1</v>
      </c>
      <c r="AM537" s="181"/>
      <c r="AN537" s="181"/>
      <c r="AO537" s="181"/>
      <c r="AP537" s="181" t="s">
        <v>1923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1926</v>
      </c>
      <c r="BB537" s="182" t="s">
        <v>1927</v>
      </c>
      <c r="BC537" s="182" t="s">
        <v>1928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1986</v>
      </c>
      <c r="C538" s="177" t="s">
        <v>1893</v>
      </c>
      <c r="D538" s="177" t="s">
        <v>1894</v>
      </c>
      <c r="E538" s="177"/>
      <c r="F538" s="177"/>
      <c r="G538" s="177" t="s">
        <v>1895</v>
      </c>
      <c r="H538" s="178"/>
      <c r="I538" s="179" t="s">
        <v>1896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1924</v>
      </c>
      <c r="AD538" s="184" t="s">
        <v>1925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1784</v>
      </c>
      <c r="AL538" s="181">
        <v>1</v>
      </c>
      <c r="AM538" s="181"/>
      <c r="AN538" s="181"/>
      <c r="AO538" s="181"/>
      <c r="AP538" s="181" t="s">
        <v>1923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1926</v>
      </c>
      <c r="BB538" s="182" t="s">
        <v>1927</v>
      </c>
      <c r="BC538" s="182" t="s">
        <v>1928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1986</v>
      </c>
      <c r="C539" s="177" t="s">
        <v>1897</v>
      </c>
      <c r="D539" s="177" t="s">
        <v>1898</v>
      </c>
      <c r="E539" s="177"/>
      <c r="F539" s="177"/>
      <c r="G539" s="177" t="s">
        <v>1899</v>
      </c>
      <c r="H539" s="178"/>
      <c r="I539" s="179" t="s">
        <v>1900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1924</v>
      </c>
      <c r="AD539" s="184" t="s">
        <v>1925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1784</v>
      </c>
      <c r="AL539" s="181">
        <v>1</v>
      </c>
      <c r="AM539" s="181"/>
      <c r="AN539" s="181"/>
      <c r="AO539" s="181"/>
      <c r="AP539" s="181" t="s">
        <v>1923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1926</v>
      </c>
      <c r="BB539" s="182" t="s">
        <v>1927</v>
      </c>
      <c r="BC539" s="182" t="s">
        <v>1928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1986</v>
      </c>
      <c r="C540" s="177" t="s">
        <v>2011</v>
      </c>
      <c r="D540" s="177" t="s">
        <v>2012</v>
      </c>
      <c r="E540" s="177"/>
      <c r="F540" s="177"/>
      <c r="G540" s="177" t="s">
        <v>1891</v>
      </c>
      <c r="H540" s="178"/>
      <c r="I540" s="179" t="s">
        <v>1904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1991</v>
      </c>
      <c r="AD540" s="184" t="s">
        <v>1925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1784</v>
      </c>
      <c r="AL540" s="181">
        <v>1</v>
      </c>
      <c r="AM540" s="181"/>
      <c r="AN540" s="181"/>
      <c r="AO540" s="181"/>
      <c r="AP540" s="181" t="s">
        <v>1923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1992</v>
      </c>
      <c r="BB540" s="182" t="s">
        <v>1993</v>
      </c>
      <c r="BC540" s="182" t="s">
        <v>1994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1986</v>
      </c>
      <c r="C541" s="177" t="s">
        <v>1901</v>
      </c>
      <c r="D541" s="177" t="s">
        <v>1902</v>
      </c>
      <c r="E541" s="177"/>
      <c r="F541" s="177"/>
      <c r="G541" s="177" t="s">
        <v>1903</v>
      </c>
      <c r="H541" s="178"/>
      <c r="I541" s="179" t="s">
        <v>1904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1997</v>
      </c>
      <c r="AD541" s="184" t="s">
        <v>1925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1784</v>
      </c>
      <c r="AL541" s="181">
        <v>2</v>
      </c>
      <c r="AM541" s="181"/>
      <c r="AN541" s="181"/>
      <c r="AO541" s="181"/>
      <c r="AP541" s="181" t="s">
        <v>1923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1998</v>
      </c>
      <c r="BB541" s="182" t="s">
        <v>1999</v>
      </c>
      <c r="BC541" s="182" t="s">
        <v>2000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1986</v>
      </c>
      <c r="C542" s="177" t="s">
        <v>1905</v>
      </c>
      <c r="D542" s="177" t="s">
        <v>1902</v>
      </c>
      <c r="E542" s="177"/>
      <c r="F542" s="177"/>
      <c r="G542" s="177" t="s">
        <v>1906</v>
      </c>
      <c r="H542" s="178"/>
      <c r="I542" s="179" t="s">
        <v>1904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2013</v>
      </c>
      <c r="AD542" s="184" t="s">
        <v>1925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1784</v>
      </c>
      <c r="AL542" s="181">
        <v>28</v>
      </c>
      <c r="AM542" s="181"/>
      <c r="AN542" s="181"/>
      <c r="AO542" s="181"/>
      <c r="AP542" s="181" t="s">
        <v>1923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2014</v>
      </c>
      <c r="BB542" s="182" t="s">
        <v>2015</v>
      </c>
      <c r="BC542" s="182" t="s">
        <v>2016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1986</v>
      </c>
      <c r="C543" s="177" t="s">
        <v>1907</v>
      </c>
      <c r="D543" s="177" t="s">
        <v>1908</v>
      </c>
      <c r="E543" s="177"/>
      <c r="F543" s="177"/>
      <c r="G543" s="177" t="s">
        <v>1909</v>
      </c>
      <c r="H543" s="178"/>
      <c r="I543" s="179" t="s">
        <v>1913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2017</v>
      </c>
      <c r="AD543" s="184" t="s">
        <v>1925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1784</v>
      </c>
      <c r="AL543" s="181">
        <v>26</v>
      </c>
      <c r="AM543" s="181"/>
      <c r="AN543" s="181"/>
      <c r="AO543" s="181"/>
      <c r="AP543" s="181" t="s">
        <v>1923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2018</v>
      </c>
      <c r="BB543" s="182" t="s">
        <v>2019</v>
      </c>
      <c r="BC543" s="182" t="s">
        <v>2020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1986</v>
      </c>
      <c r="C544" s="177" t="s">
        <v>1911</v>
      </c>
      <c r="D544" s="177" t="s">
        <v>1908</v>
      </c>
      <c r="E544" s="177"/>
      <c r="F544" s="177"/>
      <c r="G544" s="177" t="s">
        <v>1912</v>
      </c>
      <c r="H544" s="178"/>
      <c r="I544" s="179" t="s">
        <v>1913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2021</v>
      </c>
      <c r="AD544" s="184" t="s">
        <v>1925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1784</v>
      </c>
      <c r="AL544" s="181">
        <v>52</v>
      </c>
      <c r="AM544" s="181"/>
      <c r="AN544" s="181"/>
      <c r="AO544" s="181"/>
      <c r="AP544" s="181" t="s">
        <v>1923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2022</v>
      </c>
      <c r="BB544" s="182" t="s">
        <v>2023</v>
      </c>
      <c r="BC544" s="182" t="s">
        <v>2024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1986</v>
      </c>
      <c r="C545" s="177" t="s">
        <v>1914</v>
      </c>
      <c r="D545" s="177" t="s">
        <v>1908</v>
      </c>
      <c r="E545" s="177"/>
      <c r="F545" s="177"/>
      <c r="G545" s="177" t="s">
        <v>1915</v>
      </c>
      <c r="H545" s="178"/>
      <c r="I545" s="179" t="s">
        <v>1913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2025</v>
      </c>
      <c r="AD545" s="184" t="s">
        <v>1925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1784</v>
      </c>
      <c r="AL545" s="181">
        <v>3</v>
      </c>
      <c r="AM545" s="181"/>
      <c r="AN545" s="181"/>
      <c r="AO545" s="181"/>
      <c r="AP545" s="181" t="s">
        <v>1923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2026</v>
      </c>
      <c r="BB545" s="182" t="s">
        <v>2027</v>
      </c>
      <c r="BC545" s="182" t="s">
        <v>2028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1986</v>
      </c>
      <c r="C546" s="177" t="s">
        <v>1916</v>
      </c>
      <c r="D546" s="177" t="s">
        <v>1074</v>
      </c>
      <c r="E546" s="177"/>
      <c r="F546" s="177"/>
      <c r="G546" s="177" t="s">
        <v>1915</v>
      </c>
      <c r="H546" s="178"/>
      <c r="I546" s="179" t="s">
        <v>1917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1987</v>
      </c>
      <c r="AD546" s="184" t="s">
        <v>1925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1784</v>
      </c>
      <c r="AL546" s="181">
        <v>2</v>
      </c>
      <c r="AM546" s="181"/>
      <c r="AN546" s="181"/>
      <c r="AO546" s="181"/>
      <c r="AP546" s="181" t="s">
        <v>1923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1988</v>
      </c>
      <c r="BB546" s="182" t="s">
        <v>1989</v>
      </c>
      <c r="BC546" s="182" t="s">
        <v>1990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1986</v>
      </c>
      <c r="C547" s="177" t="s">
        <v>1918</v>
      </c>
      <c r="D547" s="177" t="s">
        <v>1074</v>
      </c>
      <c r="E547" s="177"/>
      <c r="F547" s="177"/>
      <c r="G547" s="177" t="s">
        <v>1909</v>
      </c>
      <c r="H547" s="178"/>
      <c r="I547" s="179" t="s">
        <v>1917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2029</v>
      </c>
      <c r="AD547" s="184" t="s">
        <v>1925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1784</v>
      </c>
      <c r="AL547" s="181">
        <v>36</v>
      </c>
      <c r="AM547" s="181"/>
      <c r="AN547" s="181"/>
      <c r="AO547" s="181"/>
      <c r="AP547" s="181" t="s">
        <v>1923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2030</v>
      </c>
      <c r="BB547" s="182" t="s">
        <v>2031</v>
      </c>
      <c r="BC547" s="182" t="s">
        <v>2032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1986</v>
      </c>
      <c r="C548" s="177" t="s">
        <v>1919</v>
      </c>
      <c r="D548" s="177" t="s">
        <v>1074</v>
      </c>
      <c r="E548" s="177"/>
      <c r="F548" s="177"/>
      <c r="G548" s="177" t="s">
        <v>1912</v>
      </c>
      <c r="H548" s="178"/>
      <c r="I548" s="179" t="s">
        <v>1917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2033</v>
      </c>
      <c r="AD548" s="184" t="s">
        <v>1925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1784</v>
      </c>
      <c r="AL548" s="181">
        <v>96</v>
      </c>
      <c r="AM548" s="181"/>
      <c r="AN548" s="181"/>
      <c r="AO548" s="181"/>
      <c r="AP548" s="181" t="s">
        <v>1923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2034</v>
      </c>
      <c r="BB548" s="182" t="s">
        <v>2035</v>
      </c>
      <c r="BC548" s="182" t="s">
        <v>2036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1781</v>
      </c>
      <c r="C549" s="177" t="s">
        <v>2098</v>
      </c>
      <c r="D549" s="177" t="s">
        <v>1782</v>
      </c>
      <c r="E549" s="177"/>
      <c r="F549" s="177"/>
      <c r="G549" s="177" t="s">
        <v>1783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1785</v>
      </c>
      <c r="AD549" s="184" t="s">
        <v>1786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1784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1781</v>
      </c>
      <c r="C550" s="187" t="s">
        <v>2099</v>
      </c>
      <c r="D550" s="187"/>
      <c r="E550" s="187"/>
      <c r="F550" s="187"/>
      <c r="G550" s="187" t="s">
        <v>1787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</v>
      </c>
      <c r="Y550" s="192"/>
      <c r="Z550" s="192"/>
      <c r="AA550" s="192"/>
      <c r="AB550" s="192"/>
      <c r="AC550" s="194" t="s">
        <v>1785</v>
      </c>
      <c r="AD550" s="195" t="s">
        <v>1786</v>
      </c>
      <c r="AE550" s="196" t="s">
        <v>1788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1781</v>
      </c>
      <c r="C551" s="199" t="s">
        <v>2099</v>
      </c>
      <c r="D551" s="199" t="s">
        <v>1085</v>
      </c>
      <c r="E551" s="199" t="s">
        <v>1789</v>
      </c>
      <c r="F551" s="199" t="s">
        <v>1083</v>
      </c>
      <c r="G551" s="199" t="s">
        <v>1084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1785</v>
      </c>
      <c r="AD551" s="206" t="s">
        <v>1786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1790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1791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1781</v>
      </c>
      <c r="C552" s="199" t="s">
        <v>2099</v>
      </c>
      <c r="D552" s="199" t="s">
        <v>13</v>
      </c>
      <c r="E552" s="199" t="s">
        <v>1792</v>
      </c>
      <c r="F552" s="199" t="s">
        <v>1092</v>
      </c>
      <c r="G552" s="199" t="s">
        <v>1093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1785</v>
      </c>
      <c r="AD552" s="206" t="s">
        <v>1786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1790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1791</v>
      </c>
      <c r="BZ552" s="141" t="s">
        <v>2101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1781</v>
      </c>
      <c r="C553" s="199" t="s">
        <v>2099</v>
      </c>
      <c r="D553" s="199" t="s">
        <v>13</v>
      </c>
      <c r="E553" s="199" t="s">
        <v>1793</v>
      </c>
      <c r="F553" s="199" t="s">
        <v>1096</v>
      </c>
      <c r="G553" s="199" t="s">
        <v>1097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1785</v>
      </c>
      <c r="AD553" s="206" t="s">
        <v>1786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1790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1791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1781</v>
      </c>
      <c r="C554" s="199" t="s">
        <v>2099</v>
      </c>
      <c r="D554" s="199" t="s">
        <v>13</v>
      </c>
      <c r="E554" s="199" t="s">
        <v>1794</v>
      </c>
      <c r="F554" s="199" t="s">
        <v>1098</v>
      </c>
      <c r="G554" s="199" t="s">
        <v>1099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1785</v>
      </c>
      <c r="AD554" s="206" t="s">
        <v>1786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2102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1781</v>
      </c>
      <c r="C555" s="199" t="s">
        <v>2099</v>
      </c>
      <c r="D555" s="199" t="s">
        <v>13</v>
      </c>
      <c r="E555" s="199" t="s">
        <v>1795</v>
      </c>
      <c r="F555" s="199" t="s">
        <v>1102</v>
      </c>
      <c r="G555" s="199" t="s">
        <v>1031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1785</v>
      </c>
      <c r="AD555" s="206" t="s">
        <v>1786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1790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1791</v>
      </c>
      <c r="BZ555" s="141" t="s">
        <v>2100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1781</v>
      </c>
      <c r="C556" s="199" t="s">
        <v>2099</v>
      </c>
      <c r="D556" s="199" t="s">
        <v>13</v>
      </c>
      <c r="E556" s="199" t="s">
        <v>1796</v>
      </c>
      <c r="F556" s="199" t="s">
        <v>1103</v>
      </c>
      <c r="G556" s="199" t="s">
        <v>1031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1785</v>
      </c>
      <c r="AD556" s="206" t="s">
        <v>1786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1790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1791</v>
      </c>
      <c r="BZ556" s="141" t="s">
        <v>2100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1781</v>
      </c>
      <c r="C557" s="199" t="s">
        <v>2099</v>
      </c>
      <c r="D557" s="199" t="s">
        <v>13</v>
      </c>
      <c r="E557" s="199" t="s">
        <v>1797</v>
      </c>
      <c r="F557" s="199" t="s">
        <v>1104</v>
      </c>
      <c r="G557" s="199" t="s">
        <v>1105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1785</v>
      </c>
      <c r="AD557" s="206" t="s">
        <v>1786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1790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1791</v>
      </c>
      <c r="BZ557" s="141" t="s">
        <v>2102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1781</v>
      </c>
      <c r="C558" s="199" t="s">
        <v>2099</v>
      </c>
      <c r="D558" s="199" t="s">
        <v>13</v>
      </c>
      <c r="E558" s="199" t="s">
        <v>1798</v>
      </c>
      <c r="F558" s="199" t="s">
        <v>1106</v>
      </c>
      <c r="G558" s="199" t="s">
        <v>1107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1785</v>
      </c>
      <c r="AD558" s="206" t="s">
        <v>1786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1791</v>
      </c>
      <c r="BZ558" s="141" t="s">
        <v>2103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1781</v>
      </c>
      <c r="C559" s="199" t="s">
        <v>2099</v>
      </c>
      <c r="D559" s="199" t="s">
        <v>13</v>
      </c>
      <c r="E559" s="199" t="s">
        <v>1799</v>
      </c>
      <c r="F559" s="199" t="s">
        <v>1109</v>
      </c>
      <c r="G559" s="199" t="s">
        <v>1110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1785</v>
      </c>
      <c r="AD559" s="206" t="s">
        <v>1786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1790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1791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1781</v>
      </c>
      <c r="C560" s="199" t="s">
        <v>2099</v>
      </c>
      <c r="D560" s="199" t="s">
        <v>13</v>
      </c>
      <c r="E560" s="199" t="s">
        <v>1800</v>
      </c>
      <c r="F560" s="199" t="s">
        <v>1086</v>
      </c>
      <c r="G560" s="199" t="s">
        <v>1087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1785</v>
      </c>
      <c r="AD560" s="206" t="s">
        <v>1786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1790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1791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1781</v>
      </c>
      <c r="C561" s="199" t="s">
        <v>2099</v>
      </c>
      <c r="D561" s="199" t="s">
        <v>13</v>
      </c>
      <c r="E561" s="199" t="s">
        <v>1801</v>
      </c>
      <c r="F561" s="199" t="s">
        <v>1088</v>
      </c>
      <c r="G561" s="199" t="s">
        <v>1089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1785</v>
      </c>
      <c r="AD561" s="206" t="s">
        <v>1786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1790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1791</v>
      </c>
      <c r="BZ561" s="141" t="s">
        <v>2100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1781</v>
      </c>
      <c r="C562" s="199" t="s">
        <v>2099</v>
      </c>
      <c r="D562" s="199" t="s">
        <v>13</v>
      </c>
      <c r="E562" s="199" t="s">
        <v>1802</v>
      </c>
      <c r="F562" s="199" t="s">
        <v>1090</v>
      </c>
      <c r="G562" s="199" t="s">
        <v>1091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203">
        <f t="shared" ca="1" si="1253"/>
        <v>10</v>
      </c>
      <c r="V562" s="203">
        <f t="shared" ca="1" si="1254"/>
        <v>0</v>
      </c>
      <c r="W562" s="203"/>
      <c r="X562" s="203"/>
      <c r="Y562" s="203"/>
      <c r="Z562" s="203"/>
      <c r="AA562" s="203"/>
      <c r="AB562" s="203"/>
      <c r="AC562" s="205" t="s">
        <v>1785</v>
      </c>
      <c r="AD562" s="206" t="s">
        <v>1786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0</v>
      </c>
      <c r="AY562" s="203">
        <f t="shared" ca="1" si="1269"/>
        <v>10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1790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1791</v>
      </c>
      <c r="BZ562" s="141" t="s">
        <v>2104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1781</v>
      </c>
      <c r="C563" s="199" t="s">
        <v>2099</v>
      </c>
      <c r="D563" s="199" t="s">
        <v>1077</v>
      </c>
      <c r="E563" s="199" t="s">
        <v>1803</v>
      </c>
      <c r="F563" s="199" t="s">
        <v>1075</v>
      </c>
      <c r="G563" s="199" t="s">
        <v>1076</v>
      </c>
      <c r="H563" s="200">
        <v>812</v>
      </c>
      <c r="I563" s="201" t="s">
        <v>1078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1785</v>
      </c>
      <c r="AD563" s="206" t="s">
        <v>1786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1790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1791</v>
      </c>
      <c r="BZ563" s="141" t="s">
        <v>2105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1781</v>
      </c>
      <c r="C564" s="199" t="s">
        <v>2099</v>
      </c>
      <c r="D564" s="199" t="s">
        <v>1077</v>
      </c>
      <c r="E564" s="199" t="s">
        <v>1804</v>
      </c>
      <c r="F564" s="199" t="s">
        <v>1080</v>
      </c>
      <c r="G564" s="199" t="s">
        <v>1081</v>
      </c>
      <c r="H564" s="200">
        <v>737</v>
      </c>
      <c r="I564" s="201" t="s">
        <v>1078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1785</v>
      </c>
      <c r="AD564" s="206" t="s">
        <v>1786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1790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1791</v>
      </c>
      <c r="BZ564" s="141" t="s">
        <v>2106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1781</v>
      </c>
      <c r="C565" s="187" t="s">
        <v>2107</v>
      </c>
      <c r="D565" s="187"/>
      <c r="E565" s="187"/>
      <c r="F565" s="187"/>
      <c r="G565" s="187" t="s">
        <v>1805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1785</v>
      </c>
      <c r="AD565" s="195" t="s">
        <v>1786</v>
      </c>
      <c r="AE565" s="196" t="s">
        <v>1788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1781</v>
      </c>
      <c r="C566" s="199" t="s">
        <v>2107</v>
      </c>
      <c r="D566" s="199" t="s">
        <v>1085</v>
      </c>
      <c r="E566" s="199" t="s">
        <v>1806</v>
      </c>
      <c r="F566" s="199" t="s">
        <v>1111</v>
      </c>
      <c r="G566" s="199" t="s">
        <v>1084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1785</v>
      </c>
      <c r="AD566" s="206" t="s">
        <v>1786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1790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1791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1781</v>
      </c>
      <c r="C567" s="199" t="s">
        <v>2107</v>
      </c>
      <c r="D567" s="199" t="s">
        <v>13</v>
      </c>
      <c r="E567" s="199" t="s">
        <v>1807</v>
      </c>
      <c r="F567" s="199" t="s">
        <v>1112</v>
      </c>
      <c r="G567" s="199" t="s">
        <v>1097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1785</v>
      </c>
      <c r="AD567" s="206" t="s">
        <v>1786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1790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1791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1781</v>
      </c>
      <c r="C568" s="199" t="s">
        <v>2107</v>
      </c>
      <c r="D568" s="199" t="s">
        <v>13</v>
      </c>
      <c r="E568" s="199" t="s">
        <v>1808</v>
      </c>
      <c r="F568" s="199" t="s">
        <v>1113</v>
      </c>
      <c r="G568" s="199" t="s">
        <v>1114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1785</v>
      </c>
      <c r="AD568" s="206" t="s">
        <v>1786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1790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1791</v>
      </c>
      <c r="BZ568" s="141" t="s">
        <v>2102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1781</v>
      </c>
      <c r="C569" s="199" t="s">
        <v>2107</v>
      </c>
      <c r="D569" s="199" t="s">
        <v>13</v>
      </c>
      <c r="E569" s="199" t="s">
        <v>1809</v>
      </c>
      <c r="F569" s="199" t="s">
        <v>1115</v>
      </c>
      <c r="G569" s="199" t="s">
        <v>1116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1785</v>
      </c>
      <c r="AD569" s="206" t="s">
        <v>1786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1790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1791</v>
      </c>
      <c r="BZ569" s="141" t="s">
        <v>2100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1781</v>
      </c>
      <c r="C570" s="199" t="s">
        <v>2107</v>
      </c>
      <c r="D570" s="199" t="s">
        <v>1077</v>
      </c>
      <c r="E570" s="199" t="s">
        <v>1810</v>
      </c>
      <c r="F570" s="199" t="s">
        <v>1117</v>
      </c>
      <c r="G570" s="199" t="s">
        <v>1118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1785</v>
      </c>
      <c r="AD570" s="206" t="s">
        <v>1786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1790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1791</v>
      </c>
      <c r="BZ570" s="141" t="s">
        <v>2101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1781</v>
      </c>
      <c r="C571" s="187" t="s">
        <v>2108</v>
      </c>
      <c r="D571" s="187"/>
      <c r="E571" s="187"/>
      <c r="F571" s="187"/>
      <c r="G571" s="187" t="s">
        <v>1811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1785</v>
      </c>
      <c r="AD571" s="195" t="s">
        <v>1786</v>
      </c>
      <c r="AE571" s="196" t="s">
        <v>1788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1781</v>
      </c>
      <c r="C572" s="209" t="s">
        <v>2108</v>
      </c>
      <c r="D572" s="209" t="s">
        <v>1085</v>
      </c>
      <c r="E572" s="209" t="s">
        <v>1806</v>
      </c>
      <c r="F572" s="209" t="s">
        <v>1119</v>
      </c>
      <c r="G572" s="209" t="s">
        <v>1084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1785</v>
      </c>
      <c r="AD572" s="215" t="s">
        <v>1786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1781</v>
      </c>
      <c r="C573" s="199" t="s">
        <v>2108</v>
      </c>
      <c r="D573" s="199" t="s">
        <v>13</v>
      </c>
      <c r="E573" s="199" t="s">
        <v>1809</v>
      </c>
      <c r="F573" s="199" t="s">
        <v>1120</v>
      </c>
      <c r="G573" s="199" t="s">
        <v>1116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1785</v>
      </c>
      <c r="AD573" s="206" t="s">
        <v>1786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1790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1791</v>
      </c>
      <c r="BZ573" s="141" t="s">
        <v>2100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1781</v>
      </c>
      <c r="C574" s="199" t="s">
        <v>2108</v>
      </c>
      <c r="D574" s="199" t="s">
        <v>13</v>
      </c>
      <c r="E574" s="199" t="s">
        <v>1812</v>
      </c>
      <c r="F574" s="199" t="s">
        <v>1121</v>
      </c>
      <c r="G574" s="199" t="s">
        <v>1122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1785</v>
      </c>
      <c r="AD574" s="206" t="s">
        <v>1786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1790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1791</v>
      </c>
      <c r="BZ574" s="141" t="s">
        <v>2102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1781</v>
      </c>
      <c r="C575" s="199" t="s">
        <v>2108</v>
      </c>
      <c r="D575" s="199" t="s">
        <v>13</v>
      </c>
      <c r="E575" s="199" t="s">
        <v>1813</v>
      </c>
      <c r="F575" s="199" t="s">
        <v>1123</v>
      </c>
      <c r="G575" s="199" t="s">
        <v>1124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1785</v>
      </c>
      <c r="AD575" s="206" t="s">
        <v>1786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1790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1791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1781</v>
      </c>
      <c r="C576" s="209" t="s">
        <v>2108</v>
      </c>
      <c r="D576" s="209" t="s">
        <v>13</v>
      </c>
      <c r="E576" s="209" t="s">
        <v>1814</v>
      </c>
      <c r="F576" s="209" t="s">
        <v>1125</v>
      </c>
      <c r="G576" s="209" t="s">
        <v>2109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1785</v>
      </c>
      <c r="AD576" s="215" t="s">
        <v>1786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2110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41" t="s">
        <v>2102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1781</v>
      </c>
      <c r="C577" s="187" t="s">
        <v>2111</v>
      </c>
      <c r="D577" s="187"/>
      <c r="E577" s="187"/>
      <c r="F577" s="187"/>
      <c r="G577" s="187" t="s">
        <v>1815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1785</v>
      </c>
      <c r="AD577" s="195" t="s">
        <v>1786</v>
      </c>
      <c r="AE577" s="196" t="s">
        <v>1788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1781</v>
      </c>
      <c r="C578" s="199" t="s">
        <v>2111</v>
      </c>
      <c r="D578" s="199" t="s">
        <v>1085</v>
      </c>
      <c r="E578" s="199" t="s">
        <v>1816</v>
      </c>
      <c r="F578" s="199" t="s">
        <v>1131</v>
      </c>
      <c r="G578" s="199" t="s">
        <v>1084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1785</v>
      </c>
      <c r="AD578" s="206" t="s">
        <v>1786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1790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1791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1781</v>
      </c>
      <c r="C579" s="199" t="s">
        <v>2111</v>
      </c>
      <c r="D579" s="199" t="s">
        <v>13</v>
      </c>
      <c r="E579" s="199" t="s">
        <v>1817</v>
      </c>
      <c r="F579" s="199" t="s">
        <v>1132</v>
      </c>
      <c r="G579" s="199" t="s">
        <v>1133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1785</v>
      </c>
      <c r="AD579" s="206" t="s">
        <v>1786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1790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1791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1781</v>
      </c>
      <c r="C580" s="199" t="s">
        <v>2111</v>
      </c>
      <c r="D580" s="199" t="s">
        <v>13</v>
      </c>
      <c r="E580" s="199" t="s">
        <v>1818</v>
      </c>
      <c r="F580" s="199" t="s">
        <v>1134</v>
      </c>
      <c r="G580" s="199" t="s">
        <v>1135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1785</v>
      </c>
      <c r="AD580" s="206" t="s">
        <v>1786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1790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1791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1781</v>
      </c>
      <c r="C581" s="199" t="s">
        <v>2111</v>
      </c>
      <c r="D581" s="199" t="s">
        <v>13</v>
      </c>
      <c r="E581" s="199" t="s">
        <v>1807</v>
      </c>
      <c r="F581" s="199" t="s">
        <v>1136</v>
      </c>
      <c r="G581" s="199" t="s">
        <v>1097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1785</v>
      </c>
      <c r="AD581" s="206" t="s">
        <v>1786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1790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1791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1781</v>
      </c>
      <c r="C582" s="199" t="s">
        <v>2111</v>
      </c>
      <c r="D582" s="199" t="s">
        <v>13</v>
      </c>
      <c r="E582" s="199" t="s">
        <v>1808</v>
      </c>
      <c r="F582" s="199" t="s">
        <v>1137</v>
      </c>
      <c r="G582" s="199" t="s">
        <v>1114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1785</v>
      </c>
      <c r="AD582" s="206" t="s">
        <v>1786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1790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1791</v>
      </c>
      <c r="BZ582" s="141" t="s">
        <v>2102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1781</v>
      </c>
      <c r="C583" s="199" t="s">
        <v>2111</v>
      </c>
      <c r="D583" s="199" t="s">
        <v>13</v>
      </c>
      <c r="E583" s="199" t="s">
        <v>1819</v>
      </c>
      <c r="F583" s="199" t="s">
        <v>1138</v>
      </c>
      <c r="G583" s="199" t="s">
        <v>1139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1785</v>
      </c>
      <c r="AD583" s="206" t="s">
        <v>1786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1790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2112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1791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1781</v>
      </c>
      <c r="C584" s="209" t="s">
        <v>2111</v>
      </c>
      <c r="D584" s="209" t="s">
        <v>13</v>
      </c>
      <c r="E584" s="209" t="s">
        <v>1820</v>
      </c>
      <c r="F584" s="209" t="s">
        <v>1140</v>
      </c>
      <c r="G584" s="209" t="s">
        <v>1141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1785</v>
      </c>
      <c r="AD584" s="215" t="s">
        <v>1786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1781</v>
      </c>
      <c r="C585" s="209" t="s">
        <v>2111</v>
      </c>
      <c r="D585" s="209" t="s">
        <v>13</v>
      </c>
      <c r="E585" s="209" t="s">
        <v>1821</v>
      </c>
      <c r="F585" s="209" t="s">
        <v>1142</v>
      </c>
      <c r="G585" s="209" t="s">
        <v>1143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1785</v>
      </c>
      <c r="AD585" s="215" t="s">
        <v>1786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1781</v>
      </c>
      <c r="C586" s="199" t="s">
        <v>2111</v>
      </c>
      <c r="D586" s="199" t="s">
        <v>13</v>
      </c>
      <c r="E586" s="199" t="s">
        <v>1809</v>
      </c>
      <c r="F586" s="199" t="s">
        <v>1144</v>
      </c>
      <c r="G586" s="199" t="s">
        <v>1116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1785</v>
      </c>
      <c r="AD586" s="206" t="s">
        <v>1786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1790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1791</v>
      </c>
      <c r="BZ586" s="141" t="s">
        <v>2100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1781</v>
      </c>
      <c r="C587" s="199" t="s">
        <v>2111</v>
      </c>
      <c r="D587" s="199" t="s">
        <v>13</v>
      </c>
      <c r="E587" s="199" t="s">
        <v>1822</v>
      </c>
      <c r="F587" s="199" t="s">
        <v>1145</v>
      </c>
      <c r="G587" s="199" t="s">
        <v>1146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1785</v>
      </c>
      <c r="AD587" s="206" t="s">
        <v>1786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1790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1791</v>
      </c>
      <c r="BZ587" s="141" t="s">
        <v>2101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1781</v>
      </c>
      <c r="C588" s="199" t="s">
        <v>2111</v>
      </c>
      <c r="D588" s="199" t="s">
        <v>1077</v>
      </c>
      <c r="E588" s="199" t="s">
        <v>1823</v>
      </c>
      <c r="F588" s="199" t="s">
        <v>1147</v>
      </c>
      <c r="G588" s="199" t="s">
        <v>1148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1785</v>
      </c>
      <c r="AD588" s="206" t="s">
        <v>1786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1790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1791</v>
      </c>
      <c r="BZ588" s="141" t="s">
        <v>2101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1781</v>
      </c>
      <c r="C589" s="199" t="s">
        <v>2111</v>
      </c>
      <c r="D589" s="199" t="s">
        <v>1077</v>
      </c>
      <c r="E589" s="199" t="s">
        <v>1804</v>
      </c>
      <c r="F589" s="199" t="s">
        <v>1127</v>
      </c>
      <c r="G589" s="199" t="s">
        <v>1081</v>
      </c>
      <c r="H589" s="200">
        <v>737</v>
      </c>
      <c r="I589" s="201" t="s">
        <v>1078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1785</v>
      </c>
      <c r="AD589" s="206" t="s">
        <v>1786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1790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1791</v>
      </c>
      <c r="BZ589" s="141" t="s">
        <v>2106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1781</v>
      </c>
      <c r="C590" s="199" t="s">
        <v>2111</v>
      </c>
      <c r="D590" s="199" t="s">
        <v>1130</v>
      </c>
      <c r="E590" s="199" t="s">
        <v>1824</v>
      </c>
      <c r="F590" s="199" t="s">
        <v>1128</v>
      </c>
      <c r="G590" s="199" t="s">
        <v>1129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1785</v>
      </c>
      <c r="AD590" s="206" t="s">
        <v>1786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1790</v>
      </c>
      <c r="BG590" s="141"/>
      <c r="BH590" s="152"/>
      <c r="BI590" s="207"/>
      <c r="BJ590" s="207"/>
      <c r="BK590" s="153" t="s">
        <v>1825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1791</v>
      </c>
      <c r="BZ590" s="141" t="s">
        <v>2113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1826</v>
      </c>
      <c r="C591" s="177" t="s">
        <v>2114</v>
      </c>
      <c r="D591" s="177" t="s">
        <v>1827</v>
      </c>
      <c r="E591" s="177"/>
      <c r="F591" s="177"/>
      <c r="G591" s="177" t="s">
        <v>1828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1785</v>
      </c>
      <c r="AD591" s="184" t="s">
        <v>1786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1784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1826</v>
      </c>
      <c r="C592" s="187" t="s">
        <v>2115</v>
      </c>
      <c r="D592" s="187"/>
      <c r="E592" s="187"/>
      <c r="F592" s="187"/>
      <c r="G592" s="187" t="s">
        <v>1829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</v>
      </c>
      <c r="Y592" s="192"/>
      <c r="Z592" s="192"/>
      <c r="AA592" s="192"/>
      <c r="AB592" s="192"/>
      <c r="AC592" s="194" t="s">
        <v>1785</v>
      </c>
      <c r="AD592" s="195" t="s">
        <v>1786</v>
      </c>
      <c r="AE592" s="196" t="s">
        <v>1830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1826</v>
      </c>
      <c r="C593" s="199" t="s">
        <v>2115</v>
      </c>
      <c r="D593" s="199" t="s">
        <v>1085</v>
      </c>
      <c r="E593" s="199" t="s">
        <v>1789</v>
      </c>
      <c r="F593" s="199" t="s">
        <v>1150</v>
      </c>
      <c r="G593" s="199" t="s">
        <v>1151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1785</v>
      </c>
      <c r="AD593" s="206" t="s">
        <v>1786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1790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1791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1826</v>
      </c>
      <c r="C594" s="199" t="s">
        <v>2115</v>
      </c>
      <c r="D594" s="199" t="s">
        <v>1085</v>
      </c>
      <c r="E594" s="199" t="s">
        <v>1792</v>
      </c>
      <c r="F594" s="199" t="s">
        <v>1152</v>
      </c>
      <c r="G594" s="199" t="s">
        <v>1153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1785</v>
      </c>
      <c r="AD594" s="206" t="s">
        <v>1786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1790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1791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1826</v>
      </c>
      <c r="C595" s="199" t="s">
        <v>2115</v>
      </c>
      <c r="D595" s="199" t="s">
        <v>1085</v>
      </c>
      <c r="E595" s="199" t="s">
        <v>1793</v>
      </c>
      <c r="F595" s="199" t="s">
        <v>1154</v>
      </c>
      <c r="G595" s="199" t="s">
        <v>1153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1785</v>
      </c>
      <c r="AD595" s="206" t="s">
        <v>1786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1790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1791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1826</v>
      </c>
      <c r="C596" s="199" t="s">
        <v>2115</v>
      </c>
      <c r="D596" s="199" t="s">
        <v>1085</v>
      </c>
      <c r="E596" s="199" t="s">
        <v>1794</v>
      </c>
      <c r="F596" s="199" t="s">
        <v>1155</v>
      </c>
      <c r="G596" s="199" t="s">
        <v>1156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1785</v>
      </c>
      <c r="AD596" s="206" t="s">
        <v>1786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1790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1791</v>
      </c>
      <c r="BZ596" s="141" t="s">
        <v>2100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1826</v>
      </c>
      <c r="C597" s="199" t="s">
        <v>2115</v>
      </c>
      <c r="D597" s="199" t="s">
        <v>13</v>
      </c>
      <c r="E597" s="199" t="s">
        <v>1795</v>
      </c>
      <c r="F597" s="199" t="s">
        <v>1157</v>
      </c>
      <c r="G597" s="199" t="s">
        <v>1158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1785</v>
      </c>
      <c r="AD597" s="206" t="s">
        <v>1786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1790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1791</v>
      </c>
      <c r="BZ597" s="141" t="s">
        <v>2101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1826</v>
      </c>
      <c r="C598" s="199" t="s">
        <v>2115</v>
      </c>
      <c r="D598" s="199" t="s">
        <v>13</v>
      </c>
      <c r="E598" s="199" t="s">
        <v>1796</v>
      </c>
      <c r="F598" s="199" t="s">
        <v>1159</v>
      </c>
      <c r="G598" s="199" t="s">
        <v>1160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1785</v>
      </c>
      <c r="AD598" s="206" t="s">
        <v>1786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1790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1791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1826</v>
      </c>
      <c r="C599" s="199" t="s">
        <v>2115</v>
      </c>
      <c r="D599" s="199" t="s">
        <v>13</v>
      </c>
      <c r="E599" s="199" t="s">
        <v>1797</v>
      </c>
      <c r="F599" s="199" t="s">
        <v>1161</v>
      </c>
      <c r="G599" s="199" t="s">
        <v>1162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1785</v>
      </c>
      <c r="AD599" s="206" t="s">
        <v>1786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1790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1791</v>
      </c>
      <c r="BZ599" s="141" t="s">
        <v>2100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1826</v>
      </c>
      <c r="C600" s="199" t="s">
        <v>2115</v>
      </c>
      <c r="D600" s="199" t="s">
        <v>13</v>
      </c>
      <c r="E600" s="199" t="s">
        <v>1798</v>
      </c>
      <c r="F600" s="199" t="s">
        <v>1163</v>
      </c>
      <c r="G600" s="199" t="s">
        <v>1164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203">
        <f t="shared" ca="1" si="1334"/>
        <v>6</v>
      </c>
      <c r="V600" s="203">
        <f t="shared" ca="1" si="1335"/>
        <v>0</v>
      </c>
      <c r="W600" s="203"/>
      <c r="X600" s="203"/>
      <c r="Y600" s="203"/>
      <c r="Z600" s="203"/>
      <c r="AA600" s="203"/>
      <c r="AB600" s="203"/>
      <c r="AC600" s="205" t="s">
        <v>1785</v>
      </c>
      <c r="AD600" s="206" t="s">
        <v>1786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0</v>
      </c>
      <c r="AY600" s="203">
        <f t="shared" ca="1" si="1347"/>
        <v>6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1790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1791</v>
      </c>
      <c r="BZ600" s="141" t="s">
        <v>2104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1826</v>
      </c>
      <c r="C601" s="199" t="s">
        <v>2115</v>
      </c>
      <c r="D601" s="199" t="s">
        <v>13</v>
      </c>
      <c r="E601" s="199" t="s">
        <v>1799</v>
      </c>
      <c r="F601" s="199" t="s">
        <v>1165</v>
      </c>
      <c r="G601" s="199" t="s">
        <v>1091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203">
        <f t="shared" ca="1" si="1334"/>
        <v>2</v>
      </c>
      <c r="V601" s="203">
        <f t="shared" ca="1" si="1335"/>
        <v>0</v>
      </c>
      <c r="W601" s="203"/>
      <c r="X601" s="203"/>
      <c r="Y601" s="203"/>
      <c r="Z601" s="203"/>
      <c r="AA601" s="203"/>
      <c r="AB601" s="203"/>
      <c r="AC601" s="205" t="s">
        <v>1785</v>
      </c>
      <c r="AD601" s="206" t="s">
        <v>1786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0</v>
      </c>
      <c r="AY601" s="203">
        <f t="shared" ca="1" si="1347"/>
        <v>2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1790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1791</v>
      </c>
      <c r="BZ601" s="141" t="s">
        <v>2104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1826</v>
      </c>
      <c r="C602" s="199" t="s">
        <v>2115</v>
      </c>
      <c r="D602" s="199" t="s">
        <v>1077</v>
      </c>
      <c r="E602" s="199" t="s">
        <v>1803</v>
      </c>
      <c r="F602" s="199" t="s">
        <v>1149</v>
      </c>
      <c r="G602" s="199" t="s">
        <v>1076</v>
      </c>
      <c r="H602" s="200">
        <v>812</v>
      </c>
      <c r="I602" s="201" t="s">
        <v>1078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1785</v>
      </c>
      <c r="AD602" s="206" t="s">
        <v>1786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1790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1791</v>
      </c>
      <c r="BZ602" s="141" t="s">
        <v>2105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1826</v>
      </c>
      <c r="C603" s="187" t="s">
        <v>2116</v>
      </c>
      <c r="D603" s="187"/>
      <c r="E603" s="187"/>
      <c r="F603" s="187"/>
      <c r="G603" s="187" t="s">
        <v>1831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1785</v>
      </c>
      <c r="AD603" s="195" t="s">
        <v>1786</v>
      </c>
      <c r="AE603" s="196" t="s">
        <v>1830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1826</v>
      </c>
      <c r="C604" s="199" t="s">
        <v>2116</v>
      </c>
      <c r="D604" s="199" t="s">
        <v>1085</v>
      </c>
      <c r="E604" s="199" t="s">
        <v>1800</v>
      </c>
      <c r="F604" s="199" t="s">
        <v>1166</v>
      </c>
      <c r="G604" s="199" t="s">
        <v>1167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1785</v>
      </c>
      <c r="AD604" s="206" t="s">
        <v>1786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1790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1791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1826</v>
      </c>
      <c r="C605" s="199" t="s">
        <v>2116</v>
      </c>
      <c r="D605" s="199" t="s">
        <v>1085</v>
      </c>
      <c r="E605" s="199" t="s">
        <v>1802</v>
      </c>
      <c r="F605" s="199" t="s">
        <v>1168</v>
      </c>
      <c r="G605" s="199" t="s">
        <v>1169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1785</v>
      </c>
      <c r="AD605" s="206" t="s">
        <v>1786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1790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1791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1826</v>
      </c>
      <c r="C606" s="199" t="s">
        <v>2116</v>
      </c>
      <c r="D606" s="199" t="s">
        <v>13</v>
      </c>
      <c r="E606" s="199" t="s">
        <v>1816</v>
      </c>
      <c r="F606" s="199" t="s">
        <v>1170</v>
      </c>
      <c r="G606" s="199" t="s">
        <v>1171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1785</v>
      </c>
      <c r="AD606" s="206" t="s">
        <v>1786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1790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1791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1826</v>
      </c>
      <c r="C607" s="199" t="s">
        <v>2116</v>
      </c>
      <c r="D607" s="199" t="s">
        <v>1085</v>
      </c>
      <c r="E607" s="199" t="s">
        <v>1806</v>
      </c>
      <c r="F607" s="199" t="s">
        <v>1172</v>
      </c>
      <c r="G607" s="199" t="s">
        <v>1173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1785</v>
      </c>
      <c r="AD607" s="206" t="s">
        <v>1786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1790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2112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1791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1826</v>
      </c>
      <c r="C608" s="199" t="s">
        <v>2116</v>
      </c>
      <c r="D608" s="199" t="s">
        <v>13</v>
      </c>
      <c r="E608" s="199" t="s">
        <v>1817</v>
      </c>
      <c r="F608" s="199" t="s">
        <v>1174</v>
      </c>
      <c r="G608" s="199" t="s">
        <v>1175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1785</v>
      </c>
      <c r="AD608" s="206" t="s">
        <v>1786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1790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1791</v>
      </c>
      <c r="BZ608" s="141" t="s">
        <v>2100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1826</v>
      </c>
      <c r="C609" s="187" t="s">
        <v>2117</v>
      </c>
      <c r="D609" s="187"/>
      <c r="E609" s="187"/>
      <c r="F609" s="187"/>
      <c r="G609" s="187" t="s">
        <v>1832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1785</v>
      </c>
      <c r="AD609" s="195" t="s">
        <v>1786</v>
      </c>
      <c r="AE609" s="196" t="s">
        <v>1830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1826</v>
      </c>
      <c r="C610" s="199" t="s">
        <v>2117</v>
      </c>
      <c r="D610" s="199" t="s">
        <v>1085</v>
      </c>
      <c r="E610" s="199" t="s">
        <v>1818</v>
      </c>
      <c r="F610" s="199" t="s">
        <v>1176</v>
      </c>
      <c r="G610" s="199" t="s">
        <v>1177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1785</v>
      </c>
      <c r="AD610" s="206" t="s">
        <v>1786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1790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1791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1826</v>
      </c>
      <c r="C611" s="199" t="s">
        <v>2117</v>
      </c>
      <c r="D611" s="199" t="s">
        <v>1085</v>
      </c>
      <c r="E611" s="199" t="s">
        <v>1807</v>
      </c>
      <c r="F611" s="199" t="s">
        <v>1178</v>
      </c>
      <c r="G611" s="199" t="s">
        <v>1179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1785</v>
      </c>
      <c r="AD611" s="206" t="s">
        <v>1786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1790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1791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1826</v>
      </c>
      <c r="C612" s="199" t="s">
        <v>2117</v>
      </c>
      <c r="D612" s="199" t="s">
        <v>1085</v>
      </c>
      <c r="E612" s="199" t="s">
        <v>1808</v>
      </c>
      <c r="F612" s="199" t="s">
        <v>1180</v>
      </c>
      <c r="G612" s="199" t="s">
        <v>1181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1785</v>
      </c>
      <c r="AD612" s="206" t="s">
        <v>1786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1790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1791</v>
      </c>
      <c r="BZ612" s="141" t="s">
        <v>2100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1826</v>
      </c>
      <c r="C613" s="199" t="s">
        <v>2117</v>
      </c>
      <c r="D613" s="199" t="s">
        <v>13</v>
      </c>
      <c r="E613" s="199" t="s">
        <v>1819</v>
      </c>
      <c r="F613" s="199" t="s">
        <v>1182</v>
      </c>
      <c r="G613" s="199" t="s">
        <v>1183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1785</v>
      </c>
      <c r="AD613" s="206" t="s">
        <v>1786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1790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1791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1826</v>
      </c>
      <c r="C614" s="199" t="s">
        <v>2117</v>
      </c>
      <c r="D614" s="199" t="s">
        <v>13</v>
      </c>
      <c r="E614" s="199" t="s">
        <v>1820</v>
      </c>
      <c r="F614" s="199" t="s">
        <v>1184</v>
      </c>
      <c r="G614" s="199" t="s">
        <v>1185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1785</v>
      </c>
      <c r="AD614" s="206" t="s">
        <v>1786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1790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1791</v>
      </c>
      <c r="BZ614" s="141" t="s">
        <v>2100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1826</v>
      </c>
      <c r="C615" s="199" t="s">
        <v>2117</v>
      </c>
      <c r="D615" s="199" t="s">
        <v>13</v>
      </c>
      <c r="E615" s="199" t="s">
        <v>1821</v>
      </c>
      <c r="F615" s="199" t="s">
        <v>1186</v>
      </c>
      <c r="G615" s="199" t="s">
        <v>1124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1785</v>
      </c>
      <c r="AD615" s="206" t="s">
        <v>1786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1790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1791</v>
      </c>
      <c r="BZ615" s="141" t="s">
        <v>2102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1826</v>
      </c>
      <c r="C616" s="199" t="s">
        <v>2117</v>
      </c>
      <c r="D616" s="199" t="s">
        <v>13</v>
      </c>
      <c r="E616" s="199" t="s">
        <v>1809</v>
      </c>
      <c r="F616" s="199" t="s">
        <v>1187</v>
      </c>
      <c r="G616" s="199" t="s">
        <v>1126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1785</v>
      </c>
      <c r="AD616" s="206" t="s">
        <v>1786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1790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1791</v>
      </c>
      <c r="BZ616" s="141" t="s">
        <v>2101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1826</v>
      </c>
      <c r="C617" s="187" t="s">
        <v>2118</v>
      </c>
      <c r="D617" s="187"/>
      <c r="E617" s="187"/>
      <c r="F617" s="187"/>
      <c r="G617" s="187" t="s">
        <v>1831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1785</v>
      </c>
      <c r="AD617" s="195" t="s">
        <v>1786</v>
      </c>
      <c r="AE617" s="196" t="s">
        <v>1830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1826</v>
      </c>
      <c r="C618" s="199" t="s">
        <v>2118</v>
      </c>
      <c r="D618" s="199" t="s">
        <v>1085</v>
      </c>
      <c r="E618" s="199" t="s">
        <v>1800</v>
      </c>
      <c r="F618" s="199" t="s">
        <v>1188</v>
      </c>
      <c r="G618" s="199" t="s">
        <v>1167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1785</v>
      </c>
      <c r="AD618" s="206" t="s">
        <v>1786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1790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1791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1826</v>
      </c>
      <c r="C619" s="199" t="s">
        <v>2118</v>
      </c>
      <c r="D619" s="199" t="s">
        <v>1085</v>
      </c>
      <c r="E619" s="199" t="s">
        <v>1801</v>
      </c>
      <c r="F619" s="199" t="s">
        <v>1189</v>
      </c>
      <c r="G619" s="199" t="s">
        <v>1171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1785</v>
      </c>
      <c r="AD619" s="206" t="s">
        <v>1786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1790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1791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1826</v>
      </c>
      <c r="C620" s="199" t="s">
        <v>2118</v>
      </c>
      <c r="D620" s="199" t="s">
        <v>1085</v>
      </c>
      <c r="E620" s="199" t="s">
        <v>1802</v>
      </c>
      <c r="F620" s="199" t="s">
        <v>1190</v>
      </c>
      <c r="G620" s="199" t="s">
        <v>1169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1785</v>
      </c>
      <c r="AD620" s="206" t="s">
        <v>1786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1790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1791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1826</v>
      </c>
      <c r="C621" s="199" t="s">
        <v>2118</v>
      </c>
      <c r="D621" s="199" t="s">
        <v>13</v>
      </c>
      <c r="E621" s="199" t="s">
        <v>1806</v>
      </c>
      <c r="F621" s="199" t="s">
        <v>1191</v>
      </c>
      <c r="G621" s="199" t="s">
        <v>1173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1785</v>
      </c>
      <c r="AD621" s="206" t="s">
        <v>1786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1790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2112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1791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1826</v>
      </c>
      <c r="C622" s="199" t="s">
        <v>2118</v>
      </c>
      <c r="D622" s="199" t="s">
        <v>13</v>
      </c>
      <c r="E622" s="199" t="s">
        <v>1817</v>
      </c>
      <c r="F622" s="199" t="s">
        <v>1192</v>
      </c>
      <c r="G622" s="199" t="s">
        <v>1175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1785</v>
      </c>
      <c r="AD622" s="206" t="s">
        <v>1786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1790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1791</v>
      </c>
      <c r="BZ622" s="141" t="s">
        <v>2100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1833</v>
      </c>
      <c r="C623" s="177" t="s">
        <v>2119</v>
      </c>
      <c r="D623" s="177" t="s">
        <v>1834</v>
      </c>
      <c r="E623" s="177"/>
      <c r="F623" s="177"/>
      <c r="G623" s="177" t="s">
        <v>1835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</v>
      </c>
      <c r="Y623" s="181"/>
      <c r="Z623" s="181"/>
      <c r="AA623" s="181"/>
      <c r="AB623" s="181"/>
      <c r="AC623" s="183" t="s">
        <v>1785</v>
      </c>
      <c r="AD623" s="184" t="s">
        <v>1786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1784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1833</v>
      </c>
      <c r="C624" s="209" t="s">
        <v>2119</v>
      </c>
      <c r="D624" s="209" t="s">
        <v>1196</v>
      </c>
      <c r="E624" s="209" t="s">
        <v>1789</v>
      </c>
      <c r="F624" s="209" t="s">
        <v>1194</v>
      </c>
      <c r="G624" s="209" t="s">
        <v>1195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1785</v>
      </c>
      <c r="AD624" s="226" t="s">
        <v>1786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1836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1791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1833</v>
      </c>
      <c r="C625" s="209" t="s">
        <v>2119</v>
      </c>
      <c r="D625" s="209" t="s">
        <v>1196</v>
      </c>
      <c r="E625" s="209" t="s">
        <v>1792</v>
      </c>
      <c r="F625" s="209" t="s">
        <v>1214</v>
      </c>
      <c r="G625" s="209" t="s">
        <v>1215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1785</v>
      </c>
      <c r="AD625" s="226" t="s">
        <v>1786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1836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1791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1833</v>
      </c>
      <c r="C626" s="209" t="s">
        <v>2119</v>
      </c>
      <c r="D626" s="209" t="s">
        <v>1205</v>
      </c>
      <c r="E626" s="209" t="s">
        <v>1793</v>
      </c>
      <c r="F626" s="209" t="s">
        <v>1216</v>
      </c>
      <c r="G626" s="209" t="s">
        <v>1217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1785</v>
      </c>
      <c r="AD626" s="226" t="s">
        <v>1786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1836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1833</v>
      </c>
      <c r="C627" s="209" t="s">
        <v>2119</v>
      </c>
      <c r="D627" s="209" t="s">
        <v>1205</v>
      </c>
      <c r="E627" s="209" t="s">
        <v>1794</v>
      </c>
      <c r="F627" s="209" t="s">
        <v>1218</v>
      </c>
      <c r="G627" s="209" t="s">
        <v>1219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1785</v>
      </c>
      <c r="AD627" s="226" t="s">
        <v>1786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1836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1833</v>
      </c>
      <c r="C628" s="209" t="s">
        <v>2119</v>
      </c>
      <c r="D628" s="209" t="s">
        <v>1205</v>
      </c>
      <c r="E628" s="209" t="s">
        <v>1795</v>
      </c>
      <c r="F628" s="209" t="s">
        <v>1220</v>
      </c>
      <c r="G628" s="209" t="s">
        <v>1221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1785</v>
      </c>
      <c r="AD628" s="226" t="s">
        <v>1786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1836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1833</v>
      </c>
      <c r="C629" s="209" t="s">
        <v>2119</v>
      </c>
      <c r="D629" s="209" t="s">
        <v>13</v>
      </c>
      <c r="E629" s="209" t="s">
        <v>1796</v>
      </c>
      <c r="F629" s="209" t="s">
        <v>1222</v>
      </c>
      <c r="G629" s="209" t="s">
        <v>1223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1785</v>
      </c>
      <c r="AD629" s="226" t="s">
        <v>1786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1836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41" t="s">
        <v>2101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1833</v>
      </c>
      <c r="C630" s="209" t="s">
        <v>2119</v>
      </c>
      <c r="D630" s="209" t="s">
        <v>1205</v>
      </c>
      <c r="E630" s="209" t="s">
        <v>1797</v>
      </c>
      <c r="F630" s="209" t="s">
        <v>1224</v>
      </c>
      <c r="G630" s="209" t="s">
        <v>1225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1785</v>
      </c>
      <c r="AD630" s="226" t="s">
        <v>1786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1836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1791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1833</v>
      </c>
      <c r="C631" s="209" t="s">
        <v>2119</v>
      </c>
      <c r="D631" s="209" t="s">
        <v>1205</v>
      </c>
      <c r="E631" s="209" t="s">
        <v>1798</v>
      </c>
      <c r="F631" s="209" t="s">
        <v>1226</v>
      </c>
      <c r="G631" s="209" t="s">
        <v>1227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1785</v>
      </c>
      <c r="AD631" s="226" t="s">
        <v>1786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1836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1833</v>
      </c>
      <c r="C632" s="209" t="s">
        <v>2119</v>
      </c>
      <c r="D632" s="209" t="s">
        <v>13</v>
      </c>
      <c r="E632" s="209" t="s">
        <v>1799</v>
      </c>
      <c r="F632" s="209" t="s">
        <v>1228</v>
      </c>
      <c r="G632" s="209" t="s">
        <v>1229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1785</v>
      </c>
      <c r="AD632" s="226" t="s">
        <v>1786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1836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1833</v>
      </c>
      <c r="C633" s="209" t="s">
        <v>2119</v>
      </c>
      <c r="D633" s="209" t="s">
        <v>13</v>
      </c>
      <c r="E633" s="209" t="s">
        <v>1800</v>
      </c>
      <c r="F633" s="209" t="s">
        <v>1197</v>
      </c>
      <c r="G633" s="209" t="s">
        <v>1105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1785</v>
      </c>
      <c r="AD633" s="226" t="s">
        <v>1786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1836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41" t="s">
        <v>2102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1833</v>
      </c>
      <c r="C634" s="209" t="s">
        <v>2119</v>
      </c>
      <c r="D634" s="209" t="s">
        <v>1201</v>
      </c>
      <c r="E634" s="209" t="s">
        <v>1801</v>
      </c>
      <c r="F634" s="209" t="s">
        <v>1199</v>
      </c>
      <c r="G634" s="209" t="s">
        <v>1200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1785</v>
      </c>
      <c r="AD634" s="226" t="s">
        <v>1786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1836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41" t="s">
        <v>2120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1833</v>
      </c>
      <c r="C635" s="209" t="s">
        <v>2119</v>
      </c>
      <c r="D635" s="209" t="s">
        <v>13</v>
      </c>
      <c r="E635" s="209" t="s">
        <v>1802</v>
      </c>
      <c r="F635" s="209" t="s">
        <v>1202</v>
      </c>
      <c r="G635" s="209" t="s">
        <v>1158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1785</v>
      </c>
      <c r="AD635" s="226" t="s">
        <v>1786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1836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1791</v>
      </c>
      <c r="BZ635" s="141" t="s">
        <v>2101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1833</v>
      </c>
      <c r="C636" s="209" t="s">
        <v>2119</v>
      </c>
      <c r="D636" s="209" t="s">
        <v>1205</v>
      </c>
      <c r="E636" s="209" t="s">
        <v>1816</v>
      </c>
      <c r="F636" s="209" t="s">
        <v>1203</v>
      </c>
      <c r="G636" s="209" t="s">
        <v>1204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1785</v>
      </c>
      <c r="AD636" s="226" t="s">
        <v>1786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1836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1791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1833</v>
      </c>
      <c r="C637" s="209" t="s">
        <v>2119</v>
      </c>
      <c r="D637" s="209" t="s">
        <v>13</v>
      </c>
      <c r="E637" s="209" t="s">
        <v>1806</v>
      </c>
      <c r="F637" s="209" t="s">
        <v>1206</v>
      </c>
      <c r="G637" s="209" t="s">
        <v>1207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0</v>
      </c>
      <c r="U637" s="203">
        <f t="shared" ca="1" si="1405"/>
        <v>4</v>
      </c>
      <c r="V637" s="203">
        <f t="shared" ca="1" si="1406"/>
        <v>0</v>
      </c>
      <c r="W637" s="212"/>
      <c r="X637" s="212"/>
      <c r="Y637" s="212"/>
      <c r="Z637" s="212"/>
      <c r="AA637" s="212"/>
      <c r="AB637" s="212"/>
      <c r="AC637" s="214" t="s">
        <v>1785</v>
      </c>
      <c r="AD637" s="226" t="s">
        <v>1786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0</v>
      </c>
      <c r="AY637" s="203">
        <f t="shared" ca="1" si="1422"/>
        <v>4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1836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41" t="s">
        <v>2104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1833</v>
      </c>
      <c r="C638" s="209" t="s">
        <v>2119</v>
      </c>
      <c r="D638" s="209" t="s">
        <v>13</v>
      </c>
      <c r="E638" s="209" t="s">
        <v>1817</v>
      </c>
      <c r="F638" s="209" t="s">
        <v>1208</v>
      </c>
      <c r="G638" s="209" t="s">
        <v>1158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1785</v>
      </c>
      <c r="AD638" s="226" t="s">
        <v>1786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1836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1791</v>
      </c>
      <c r="BZ638" s="141" t="s">
        <v>2101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1833</v>
      </c>
      <c r="C639" s="209" t="s">
        <v>2119</v>
      </c>
      <c r="D639" s="209" t="s">
        <v>13</v>
      </c>
      <c r="E639" s="209" t="s">
        <v>1818</v>
      </c>
      <c r="F639" s="209" t="s">
        <v>1209</v>
      </c>
      <c r="G639" s="209" t="s">
        <v>1207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405"/>
        <v>2</v>
      </c>
      <c r="V639" s="203">
        <f t="shared" ca="1" si="1406"/>
        <v>0</v>
      </c>
      <c r="W639" s="212"/>
      <c r="X639" s="212"/>
      <c r="Y639" s="212"/>
      <c r="Z639" s="212"/>
      <c r="AA639" s="212"/>
      <c r="AB639" s="212"/>
      <c r="AC639" s="214" t="s">
        <v>1785</v>
      </c>
      <c r="AD639" s="226" t="s">
        <v>1786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0</v>
      </c>
      <c r="AY639" s="203">
        <f t="shared" ca="1" si="1422"/>
        <v>2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1836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1791</v>
      </c>
      <c r="BZ639" s="141" t="s">
        <v>2104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1833</v>
      </c>
      <c r="C640" s="209" t="s">
        <v>2119</v>
      </c>
      <c r="D640" s="209" t="s">
        <v>1211</v>
      </c>
      <c r="E640" s="209" t="s">
        <v>1807</v>
      </c>
      <c r="F640" s="209" t="s">
        <v>1210</v>
      </c>
      <c r="G640" s="209" t="s">
        <v>1124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1785</v>
      </c>
      <c r="AD640" s="226" t="s">
        <v>1786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1836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1791</v>
      </c>
      <c r="BZ640" s="141" t="s">
        <v>2102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1833</v>
      </c>
      <c r="C641" s="209" t="s">
        <v>2119</v>
      </c>
      <c r="D641" s="209" t="s">
        <v>1213</v>
      </c>
      <c r="E641" s="209" t="s">
        <v>1808</v>
      </c>
      <c r="F641" s="209" t="s">
        <v>1212</v>
      </c>
      <c r="G641" s="209" t="s">
        <v>1126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1785</v>
      </c>
      <c r="AD641" s="226" t="s">
        <v>1786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1836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1791</v>
      </c>
      <c r="BZ641" s="141" t="s">
        <v>2101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1833</v>
      </c>
      <c r="C642" s="209" t="s">
        <v>2119</v>
      </c>
      <c r="D642" s="209" t="s">
        <v>1011</v>
      </c>
      <c r="E642" s="209" t="s">
        <v>1803</v>
      </c>
      <c r="F642" s="209" t="s">
        <v>1193</v>
      </c>
      <c r="G642" s="209" t="s">
        <v>1076</v>
      </c>
      <c r="H642" s="210">
        <v>812</v>
      </c>
      <c r="I642" s="211" t="s">
        <v>1078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1785</v>
      </c>
      <c r="AD642" s="226" t="s">
        <v>1786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1836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41" t="s">
        <v>2105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1838</v>
      </c>
      <c r="C643" s="177" t="s">
        <v>2121</v>
      </c>
      <c r="D643" s="177" t="s">
        <v>1839</v>
      </c>
      <c r="E643" s="177"/>
      <c r="F643" s="177"/>
      <c r="G643" s="177" t="s">
        <v>1840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</v>
      </c>
      <c r="Y643" s="181"/>
      <c r="Z643" s="181"/>
      <c r="AA643" s="181"/>
      <c r="AB643" s="181"/>
      <c r="AC643" s="183" t="s">
        <v>1785</v>
      </c>
      <c r="AD643" s="184" t="s">
        <v>1786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1784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1838</v>
      </c>
      <c r="C644" s="209" t="s">
        <v>2121</v>
      </c>
      <c r="D644" s="209" t="s">
        <v>1196</v>
      </c>
      <c r="E644" s="209" t="s">
        <v>1789</v>
      </c>
      <c r="F644" s="209" t="s">
        <v>1231</v>
      </c>
      <c r="G644" s="209" t="s">
        <v>1232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1785</v>
      </c>
      <c r="AD644" s="226" t="s">
        <v>1786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1836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1791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1838</v>
      </c>
      <c r="C645" s="209" t="s">
        <v>2121</v>
      </c>
      <c r="D645" s="209" t="s">
        <v>13</v>
      </c>
      <c r="E645" s="209" t="s">
        <v>1792</v>
      </c>
      <c r="F645" s="209" t="s">
        <v>1235</v>
      </c>
      <c r="G645" s="209" t="s">
        <v>1158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1785</v>
      </c>
      <c r="AD645" s="226" t="s">
        <v>1786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1836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1791</v>
      </c>
      <c r="BZ645" s="141" t="s">
        <v>2101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1838</v>
      </c>
      <c r="C646" s="209" t="s">
        <v>2121</v>
      </c>
      <c r="D646" s="209" t="s">
        <v>1205</v>
      </c>
      <c r="E646" s="209" t="s">
        <v>1793</v>
      </c>
      <c r="F646" s="209" t="s">
        <v>1236</v>
      </c>
      <c r="G646" s="209" t="s">
        <v>1217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1785</v>
      </c>
      <c r="AD646" s="226" t="s">
        <v>1786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1836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1838</v>
      </c>
      <c r="C647" s="209" t="s">
        <v>2121</v>
      </c>
      <c r="D647" s="209" t="s">
        <v>1205</v>
      </c>
      <c r="E647" s="209" t="s">
        <v>1794</v>
      </c>
      <c r="F647" s="209" t="s">
        <v>1237</v>
      </c>
      <c r="G647" s="209" t="s">
        <v>1217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1785</v>
      </c>
      <c r="AD647" s="226" t="s">
        <v>1786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1836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1791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1838</v>
      </c>
      <c r="C648" s="209" t="s">
        <v>2121</v>
      </c>
      <c r="D648" s="209" t="s">
        <v>13</v>
      </c>
      <c r="E648" s="209" t="s">
        <v>1795</v>
      </c>
      <c r="F648" s="209" t="s">
        <v>1238</v>
      </c>
      <c r="G648" s="209" t="s">
        <v>1239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1785</v>
      </c>
      <c r="AD648" s="226" t="s">
        <v>1786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1836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1791</v>
      </c>
      <c r="BZ648" s="141" t="s">
        <v>2101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1838</v>
      </c>
      <c r="C649" s="209" t="s">
        <v>2121</v>
      </c>
      <c r="D649" s="209" t="s">
        <v>1205</v>
      </c>
      <c r="E649" s="209" t="s">
        <v>1796</v>
      </c>
      <c r="F649" s="209" t="s">
        <v>1240</v>
      </c>
      <c r="G649" s="209" t="s">
        <v>1225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1785</v>
      </c>
      <c r="AD649" s="226" t="s">
        <v>1786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1836</v>
      </c>
      <c r="BN649" s="149"/>
      <c r="BO649" s="149" t="s">
        <v>2122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1838</v>
      </c>
      <c r="C650" s="209" t="s">
        <v>2121</v>
      </c>
      <c r="D650" s="209" t="s">
        <v>1205</v>
      </c>
      <c r="E650" s="209" t="s">
        <v>1797</v>
      </c>
      <c r="F650" s="209" t="s">
        <v>1241</v>
      </c>
      <c r="G650" s="209" t="s">
        <v>1217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1785</v>
      </c>
      <c r="AD650" s="226" t="s">
        <v>1786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1836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1791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1838</v>
      </c>
      <c r="C651" s="209" t="s">
        <v>2121</v>
      </c>
      <c r="D651" s="209" t="s">
        <v>13</v>
      </c>
      <c r="E651" s="209" t="s">
        <v>1798</v>
      </c>
      <c r="F651" s="209" t="s">
        <v>1242</v>
      </c>
      <c r="G651" s="209" t="s">
        <v>1207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203">
        <f t="shared" ca="1" si="1431"/>
        <v>2</v>
      </c>
      <c r="V651" s="203">
        <f t="shared" ca="1" si="1432"/>
        <v>0</v>
      </c>
      <c r="W651" s="212"/>
      <c r="X651" s="212"/>
      <c r="Y651" s="212"/>
      <c r="Z651" s="212"/>
      <c r="AA651" s="212"/>
      <c r="AB651" s="212"/>
      <c r="AC651" s="214" t="s">
        <v>1785</v>
      </c>
      <c r="AD651" s="226" t="s">
        <v>1786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0</v>
      </c>
      <c r="AY651" s="203">
        <f t="shared" ca="1" si="1448"/>
        <v>2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1836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41" t="s">
        <v>2104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1838</v>
      </c>
      <c r="C652" s="209" t="s">
        <v>2121</v>
      </c>
      <c r="D652" s="209" t="s">
        <v>13</v>
      </c>
      <c r="E652" s="209" t="s">
        <v>1799</v>
      </c>
      <c r="F652" s="209" t="s">
        <v>1243</v>
      </c>
      <c r="G652" s="209" t="s">
        <v>1207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203">
        <f t="shared" ca="1" si="1431"/>
        <v>10</v>
      </c>
      <c r="V652" s="203">
        <f t="shared" ca="1" si="1432"/>
        <v>0</v>
      </c>
      <c r="W652" s="212"/>
      <c r="X652" s="212"/>
      <c r="Y652" s="212"/>
      <c r="Z652" s="212"/>
      <c r="AA652" s="212"/>
      <c r="AB652" s="212"/>
      <c r="AC652" s="214" t="s">
        <v>1785</v>
      </c>
      <c r="AD652" s="226" t="s">
        <v>1786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0</v>
      </c>
      <c r="AY652" s="203">
        <f t="shared" ca="1" si="1448"/>
        <v>10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1836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41" t="s">
        <v>2104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1838</v>
      </c>
      <c r="C653" s="209" t="s">
        <v>2121</v>
      </c>
      <c r="D653" s="209" t="s">
        <v>1211</v>
      </c>
      <c r="E653" s="209" t="s">
        <v>1800</v>
      </c>
      <c r="F653" s="209" t="s">
        <v>1233</v>
      </c>
      <c r="G653" s="209" t="s">
        <v>1124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1785</v>
      </c>
      <c r="AD653" s="226" t="s">
        <v>1786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1836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41" t="s">
        <v>2102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1838</v>
      </c>
      <c r="C654" s="209" t="s">
        <v>2121</v>
      </c>
      <c r="D654" s="209" t="s">
        <v>1213</v>
      </c>
      <c r="E654" s="209" t="s">
        <v>1801</v>
      </c>
      <c r="F654" s="209" t="s">
        <v>1234</v>
      </c>
      <c r="G654" s="209" t="s">
        <v>1126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1785</v>
      </c>
      <c r="AD654" s="226" t="s">
        <v>1786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1836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41" t="s">
        <v>2101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1838</v>
      </c>
      <c r="C655" s="209" t="s">
        <v>2121</v>
      </c>
      <c r="D655" s="209" t="s">
        <v>1011</v>
      </c>
      <c r="E655" s="209" t="s">
        <v>1803</v>
      </c>
      <c r="F655" s="209" t="s">
        <v>1230</v>
      </c>
      <c r="G655" s="209" t="s">
        <v>1076</v>
      </c>
      <c r="H655" s="210">
        <v>812</v>
      </c>
      <c r="I655" s="211" t="s">
        <v>1078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1785</v>
      </c>
      <c r="AD655" s="226" t="s">
        <v>1786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1836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1791</v>
      </c>
      <c r="BZ655" s="141" t="s">
        <v>2105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1841</v>
      </c>
      <c r="C656" s="177" t="s">
        <v>2123</v>
      </c>
      <c r="D656" s="177" t="s">
        <v>1842</v>
      </c>
      <c r="E656" s="177"/>
      <c r="F656" s="177"/>
      <c r="G656" s="177" t="s">
        <v>1843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</v>
      </c>
      <c r="Y656" s="181"/>
      <c r="Z656" s="181"/>
      <c r="AA656" s="181"/>
      <c r="AB656" s="181"/>
      <c r="AC656" s="183" t="s">
        <v>1785</v>
      </c>
      <c r="AD656" s="184" t="s">
        <v>1786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1784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1841</v>
      </c>
      <c r="C657" s="199" t="s">
        <v>2123</v>
      </c>
      <c r="D657" s="199" t="s">
        <v>1196</v>
      </c>
      <c r="E657" s="199" t="s">
        <v>1789</v>
      </c>
      <c r="F657" s="199" t="s">
        <v>1245</v>
      </c>
      <c r="G657" s="199" t="s">
        <v>1246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1785</v>
      </c>
      <c r="AD657" s="225" t="s">
        <v>1786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1790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1791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1841</v>
      </c>
      <c r="C658" s="199" t="s">
        <v>2123</v>
      </c>
      <c r="D658" s="199" t="s">
        <v>1196</v>
      </c>
      <c r="E658" s="199" t="s">
        <v>1792</v>
      </c>
      <c r="F658" s="199" t="s">
        <v>1248</v>
      </c>
      <c r="G658" s="199" t="s">
        <v>1249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1785</v>
      </c>
      <c r="AD658" s="225" t="s">
        <v>1786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1790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1791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1841</v>
      </c>
      <c r="C659" s="199" t="s">
        <v>2123</v>
      </c>
      <c r="D659" s="199" t="s">
        <v>1205</v>
      </c>
      <c r="E659" s="199" t="s">
        <v>1793</v>
      </c>
      <c r="F659" s="199" t="s">
        <v>1250</v>
      </c>
      <c r="G659" s="199" t="s">
        <v>1251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1785</v>
      </c>
      <c r="AD659" s="225" t="s">
        <v>1786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1790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1791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1841</v>
      </c>
      <c r="C660" s="199" t="s">
        <v>2123</v>
      </c>
      <c r="D660" s="199" t="s">
        <v>1205</v>
      </c>
      <c r="E660" s="199" t="s">
        <v>1794</v>
      </c>
      <c r="F660" s="199" t="s">
        <v>1252</v>
      </c>
      <c r="G660" s="199" t="s">
        <v>1251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1785</v>
      </c>
      <c r="AD660" s="225" t="s">
        <v>1786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1790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1791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1841</v>
      </c>
      <c r="C661" s="199" t="s">
        <v>2123</v>
      </c>
      <c r="D661" s="199" t="s">
        <v>13</v>
      </c>
      <c r="E661" s="199" t="s">
        <v>1795</v>
      </c>
      <c r="F661" s="199" t="s">
        <v>1253</v>
      </c>
      <c r="G661" s="199" t="s">
        <v>1158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1785</v>
      </c>
      <c r="AD661" s="225" t="s">
        <v>1786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1790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1791</v>
      </c>
      <c r="BZ661" s="141" t="s">
        <v>2101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1841</v>
      </c>
      <c r="C662" s="199" t="s">
        <v>2123</v>
      </c>
      <c r="D662" s="199" t="s">
        <v>13</v>
      </c>
      <c r="E662" s="199" t="s">
        <v>1796</v>
      </c>
      <c r="F662" s="199" t="s">
        <v>1254</v>
      </c>
      <c r="G662" s="199" t="s">
        <v>1255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1785</v>
      </c>
      <c r="AD662" s="225" t="s">
        <v>1786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1790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1791</v>
      </c>
      <c r="BZ662" s="141" t="s">
        <v>2101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1841</v>
      </c>
      <c r="C663" s="199" t="s">
        <v>2123</v>
      </c>
      <c r="D663" s="199" t="s">
        <v>13</v>
      </c>
      <c r="E663" s="199" t="s">
        <v>1797</v>
      </c>
      <c r="F663" s="199" t="s">
        <v>1256</v>
      </c>
      <c r="G663" s="199" t="s">
        <v>1257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203">
        <f t="shared" ca="1" si="1453"/>
        <v>4</v>
      </c>
      <c r="V663" s="203">
        <f t="shared" ca="1" si="1454"/>
        <v>0</v>
      </c>
      <c r="W663" s="203"/>
      <c r="X663" s="203"/>
      <c r="Y663" s="203"/>
      <c r="Z663" s="203"/>
      <c r="AA663" s="203"/>
      <c r="AB663" s="203"/>
      <c r="AC663" s="205" t="s">
        <v>1785</v>
      </c>
      <c r="AD663" s="225" t="s">
        <v>1786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0</v>
      </c>
      <c r="AY663" s="203">
        <f t="shared" ca="1" si="1470"/>
        <v>4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1790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1791</v>
      </c>
      <c r="BZ663" s="141" t="s">
        <v>2104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1841</v>
      </c>
      <c r="C664" s="199" t="s">
        <v>2123</v>
      </c>
      <c r="D664" s="199" t="s">
        <v>13</v>
      </c>
      <c r="E664" s="199" t="s">
        <v>1798</v>
      </c>
      <c r="F664" s="199" t="s">
        <v>1258</v>
      </c>
      <c r="G664" s="199" t="s">
        <v>1257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203">
        <f t="shared" ca="1" si="1453"/>
        <v>2</v>
      </c>
      <c r="V664" s="203">
        <f t="shared" ca="1" si="1454"/>
        <v>0</v>
      </c>
      <c r="W664" s="203"/>
      <c r="X664" s="203"/>
      <c r="Y664" s="203"/>
      <c r="Z664" s="203"/>
      <c r="AA664" s="203"/>
      <c r="AB664" s="203"/>
      <c r="AC664" s="205" t="s">
        <v>1785</v>
      </c>
      <c r="AD664" s="225" t="s">
        <v>1786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0</v>
      </c>
      <c r="AY664" s="203">
        <f t="shared" ca="1" si="1470"/>
        <v>2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1790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1791</v>
      </c>
      <c r="BZ664" s="141" t="s">
        <v>2104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1841</v>
      </c>
      <c r="C665" s="199" t="s">
        <v>2123</v>
      </c>
      <c r="D665" s="199" t="s">
        <v>1211</v>
      </c>
      <c r="E665" s="199" t="s">
        <v>1799</v>
      </c>
      <c r="F665" s="199" t="s">
        <v>1260</v>
      </c>
      <c r="G665" s="199" t="s">
        <v>1124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1785</v>
      </c>
      <c r="AD665" s="225" t="s">
        <v>1786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1790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1791</v>
      </c>
      <c r="BZ665" s="141" t="s">
        <v>2102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1841</v>
      </c>
      <c r="C666" s="199" t="s">
        <v>2123</v>
      </c>
      <c r="D666" s="199" t="s">
        <v>1213</v>
      </c>
      <c r="E666" s="199" t="s">
        <v>1800</v>
      </c>
      <c r="F666" s="199" t="s">
        <v>1247</v>
      </c>
      <c r="G666" s="199" t="s">
        <v>1126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1785</v>
      </c>
      <c r="AD666" s="225" t="s">
        <v>1786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1790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1791</v>
      </c>
      <c r="BZ666" s="141" t="s">
        <v>2101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1841</v>
      </c>
      <c r="C667" s="199" t="s">
        <v>2123</v>
      </c>
      <c r="D667" s="199" t="s">
        <v>1011</v>
      </c>
      <c r="E667" s="199" t="s">
        <v>1803</v>
      </c>
      <c r="F667" s="199" t="s">
        <v>1244</v>
      </c>
      <c r="G667" s="199" t="s">
        <v>1076</v>
      </c>
      <c r="H667" s="200">
        <v>812</v>
      </c>
      <c r="I667" s="201" t="s">
        <v>1078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1785</v>
      </c>
      <c r="AD667" s="225" t="s">
        <v>1786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1790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1791</v>
      </c>
      <c r="BZ667" s="141" t="s">
        <v>2105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1844</v>
      </c>
      <c r="C668" s="177" t="s">
        <v>2125</v>
      </c>
      <c r="D668" s="177" t="s">
        <v>1845</v>
      </c>
      <c r="E668" s="177"/>
      <c r="F668" s="177"/>
      <c r="G668" s="177" t="s">
        <v>1846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</v>
      </c>
      <c r="Y668" s="181"/>
      <c r="Z668" s="181"/>
      <c r="AA668" s="181"/>
      <c r="AB668" s="181"/>
      <c r="AC668" s="183" t="s">
        <v>1785</v>
      </c>
      <c r="AD668" s="184" t="s">
        <v>1786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1784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1844</v>
      </c>
      <c r="C669" s="199" t="s">
        <v>2125</v>
      </c>
      <c r="D669" s="199" t="s">
        <v>1196</v>
      </c>
      <c r="E669" s="199" t="s">
        <v>1789</v>
      </c>
      <c r="F669" s="199" t="s">
        <v>1262</v>
      </c>
      <c r="G669" s="199" t="s">
        <v>1246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1785</v>
      </c>
      <c r="AD669" s="225" t="s">
        <v>1786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1790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1791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1844</v>
      </c>
      <c r="C670" s="199" t="s">
        <v>2125</v>
      </c>
      <c r="D670" s="199" t="s">
        <v>1205</v>
      </c>
      <c r="E670" s="199" t="s">
        <v>1792</v>
      </c>
      <c r="F670" s="199" t="s">
        <v>1275</v>
      </c>
      <c r="G670" s="199" t="s">
        <v>1276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1785</v>
      </c>
      <c r="AD670" s="225" t="s">
        <v>1786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1790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1791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1844</v>
      </c>
      <c r="C671" s="199" t="s">
        <v>2125</v>
      </c>
      <c r="D671" s="199" t="s">
        <v>1279</v>
      </c>
      <c r="E671" s="199" t="s">
        <v>1793</v>
      </c>
      <c r="F671" s="199" t="s">
        <v>1277</v>
      </c>
      <c r="G671" s="199" t="s">
        <v>1278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1785</v>
      </c>
      <c r="AD671" s="225" t="s">
        <v>1786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1790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1791</v>
      </c>
      <c r="BZ671" s="141" t="s">
        <v>2102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1844</v>
      </c>
      <c r="C672" s="199" t="s">
        <v>2125</v>
      </c>
      <c r="D672" s="199" t="s">
        <v>1201</v>
      </c>
      <c r="E672" s="199" t="s">
        <v>1794</v>
      </c>
      <c r="F672" s="199" t="s">
        <v>1280</v>
      </c>
      <c r="G672" s="199" t="s">
        <v>1281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1785</v>
      </c>
      <c r="AD672" s="225" t="s">
        <v>1786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1790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1791</v>
      </c>
      <c r="BZ672" s="141" t="s">
        <v>2102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1844</v>
      </c>
      <c r="C673" s="199" t="s">
        <v>2125</v>
      </c>
      <c r="D673" s="199" t="s">
        <v>13</v>
      </c>
      <c r="E673" s="199" t="s">
        <v>1795</v>
      </c>
      <c r="F673" s="199" t="s">
        <v>1282</v>
      </c>
      <c r="G673" s="199" t="s">
        <v>1283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203">
        <f t="shared" ca="1" si="1475"/>
        <v>3</v>
      </c>
      <c r="V673" s="203">
        <f t="shared" ca="1" si="1476"/>
        <v>0</v>
      </c>
      <c r="W673" s="203"/>
      <c r="X673" s="203"/>
      <c r="Y673" s="203"/>
      <c r="Z673" s="203"/>
      <c r="AA673" s="203"/>
      <c r="AB673" s="203"/>
      <c r="AC673" s="205" t="s">
        <v>1785</v>
      </c>
      <c r="AD673" s="225" t="s">
        <v>1786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0</v>
      </c>
      <c r="AY673" s="203">
        <f t="shared" ca="1" si="1492"/>
        <v>3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1790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1791</v>
      </c>
      <c r="BZ673" s="141" t="s">
        <v>2104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1844</v>
      </c>
      <c r="C674" s="199" t="s">
        <v>2125</v>
      </c>
      <c r="D674" s="199" t="s">
        <v>13</v>
      </c>
      <c r="E674" s="199" t="s">
        <v>1796</v>
      </c>
      <c r="F674" s="199" t="s">
        <v>1284</v>
      </c>
      <c r="G674" s="199" t="s">
        <v>1285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0</v>
      </c>
      <c r="U674" s="203">
        <f t="shared" ca="1" si="1475"/>
        <v>1</v>
      </c>
      <c r="V674" s="203">
        <f t="shared" ca="1" si="1476"/>
        <v>0</v>
      </c>
      <c r="W674" s="203"/>
      <c r="X674" s="203"/>
      <c r="Y674" s="203"/>
      <c r="Z674" s="203"/>
      <c r="AA674" s="203"/>
      <c r="AB674" s="203"/>
      <c r="AC674" s="205" t="s">
        <v>1785</v>
      </c>
      <c r="AD674" s="225" t="s">
        <v>1786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0</v>
      </c>
      <c r="AY674" s="203">
        <f t="shared" ca="1" si="1492"/>
        <v>1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1790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2104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1844</v>
      </c>
      <c r="C675" s="199" t="s">
        <v>2125</v>
      </c>
      <c r="D675" s="199" t="s">
        <v>13</v>
      </c>
      <c r="E675" s="199" t="s">
        <v>1797</v>
      </c>
      <c r="F675" s="199" t="s">
        <v>1286</v>
      </c>
      <c r="G675" s="199" t="s">
        <v>1158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1785</v>
      </c>
      <c r="AD675" s="225" t="s">
        <v>1786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1790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2101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1844</v>
      </c>
      <c r="C676" s="199" t="s">
        <v>2125</v>
      </c>
      <c r="D676" s="199" t="s">
        <v>13</v>
      </c>
      <c r="E676" s="199" t="s">
        <v>1798</v>
      </c>
      <c r="F676" s="199" t="s">
        <v>1287</v>
      </c>
      <c r="G676" s="199" t="s">
        <v>1285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0</v>
      </c>
      <c r="U676" s="203">
        <f t="shared" ca="1" si="1475"/>
        <v>2</v>
      </c>
      <c r="V676" s="203">
        <f t="shared" ca="1" si="1476"/>
        <v>0</v>
      </c>
      <c r="W676" s="203"/>
      <c r="X676" s="203"/>
      <c r="Y676" s="203"/>
      <c r="Z676" s="203"/>
      <c r="AA676" s="203"/>
      <c r="AB676" s="203"/>
      <c r="AC676" s="205" t="s">
        <v>1785</v>
      </c>
      <c r="AD676" s="225" t="s">
        <v>1786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0</v>
      </c>
      <c r="AY676" s="203">
        <f t="shared" ca="1" si="1492"/>
        <v>2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1790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1791</v>
      </c>
      <c r="BZ676" s="141" t="s">
        <v>2104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1844</v>
      </c>
      <c r="C677" s="199" t="s">
        <v>2125</v>
      </c>
      <c r="D677" s="199" t="s">
        <v>13</v>
      </c>
      <c r="E677" s="199" t="s">
        <v>1799</v>
      </c>
      <c r="F677" s="199" t="s">
        <v>1288</v>
      </c>
      <c r="G677" s="199" t="s">
        <v>1257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203">
        <f t="shared" ca="1" si="1475"/>
        <v>10</v>
      </c>
      <c r="V677" s="203">
        <f t="shared" ca="1" si="1476"/>
        <v>0</v>
      </c>
      <c r="W677" s="203"/>
      <c r="X677" s="203"/>
      <c r="Y677" s="203"/>
      <c r="Z677" s="203"/>
      <c r="AA677" s="203"/>
      <c r="AB677" s="203"/>
      <c r="AC677" s="205" t="s">
        <v>1785</v>
      </c>
      <c r="AD677" s="225" t="s">
        <v>1786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0</v>
      </c>
      <c r="AY677" s="203">
        <f t="shared" ca="1" si="1492"/>
        <v>10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1790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1791</v>
      </c>
      <c r="BZ677" s="141" t="s">
        <v>2104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1844</v>
      </c>
      <c r="C678" s="199" t="s">
        <v>2125</v>
      </c>
      <c r="D678" s="199" t="s">
        <v>1205</v>
      </c>
      <c r="E678" s="199" t="s">
        <v>1800</v>
      </c>
      <c r="F678" s="199" t="s">
        <v>1263</v>
      </c>
      <c r="G678" s="199" t="s">
        <v>1264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1785</v>
      </c>
      <c r="AD678" s="225" t="s">
        <v>1786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1790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1791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1844</v>
      </c>
      <c r="C679" s="199" t="s">
        <v>2125</v>
      </c>
      <c r="D679" s="199" t="s">
        <v>1205</v>
      </c>
      <c r="E679" s="199" t="s">
        <v>1801</v>
      </c>
      <c r="F679" s="199" t="s">
        <v>1265</v>
      </c>
      <c r="G679" s="199" t="s">
        <v>1266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1785</v>
      </c>
      <c r="AD679" s="225" t="s">
        <v>1786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1790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1791</v>
      </c>
      <c r="BZ679" s="141" t="s">
        <v>2124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1844</v>
      </c>
      <c r="C680" s="199" t="s">
        <v>2125</v>
      </c>
      <c r="D680" s="199" t="s">
        <v>13</v>
      </c>
      <c r="E680" s="199" t="s">
        <v>1802</v>
      </c>
      <c r="F680" s="199" t="s">
        <v>1267</v>
      </c>
      <c r="G680" s="199" t="s">
        <v>1268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1785</v>
      </c>
      <c r="AD680" s="225" t="s">
        <v>1786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1790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1791</v>
      </c>
      <c r="BZ680" s="141" t="s">
        <v>2101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1844</v>
      </c>
      <c r="C681" s="199" t="s">
        <v>2125</v>
      </c>
      <c r="D681" s="199" t="s">
        <v>13</v>
      </c>
      <c r="E681" s="199" t="s">
        <v>1816</v>
      </c>
      <c r="F681" s="199" t="s">
        <v>1269</v>
      </c>
      <c r="G681" s="199" t="s">
        <v>1270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1785</v>
      </c>
      <c r="AD681" s="225" t="s">
        <v>1786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1790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1791</v>
      </c>
      <c r="BZ681" s="141" t="s">
        <v>2101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1844</v>
      </c>
      <c r="C682" s="199" t="s">
        <v>2125</v>
      </c>
      <c r="D682" s="199" t="s">
        <v>1211</v>
      </c>
      <c r="E682" s="199" t="s">
        <v>1806</v>
      </c>
      <c r="F682" s="199" t="s">
        <v>1271</v>
      </c>
      <c r="G682" s="199" t="s">
        <v>1124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1785</v>
      </c>
      <c r="AD682" s="225" t="s">
        <v>1786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1790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1791</v>
      </c>
      <c r="BZ682" s="141" t="s">
        <v>2102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1844</v>
      </c>
      <c r="C683" s="199" t="s">
        <v>2125</v>
      </c>
      <c r="D683" s="199" t="s">
        <v>1213</v>
      </c>
      <c r="E683" s="199" t="s">
        <v>1817</v>
      </c>
      <c r="F683" s="199" t="s">
        <v>1272</v>
      </c>
      <c r="G683" s="199" t="s">
        <v>1126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1785</v>
      </c>
      <c r="AD683" s="225" t="s">
        <v>1786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1790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1791</v>
      </c>
      <c r="BZ683" s="141" t="s">
        <v>2101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1844</v>
      </c>
      <c r="C684" s="199" t="s">
        <v>2125</v>
      </c>
      <c r="D684" s="199" t="s">
        <v>13</v>
      </c>
      <c r="E684" s="199" t="s">
        <v>1818</v>
      </c>
      <c r="F684" s="199" t="s">
        <v>1273</v>
      </c>
      <c r="G684" s="199" t="s">
        <v>1274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1785</v>
      </c>
      <c r="AD684" s="225" t="s">
        <v>1786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1791</v>
      </c>
      <c r="BZ684" s="141" t="s">
        <v>2103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1844</v>
      </c>
      <c r="C685" s="199" t="s">
        <v>2125</v>
      </c>
      <c r="D685" s="199" t="s">
        <v>1011</v>
      </c>
      <c r="E685" s="199" t="s">
        <v>1803</v>
      </c>
      <c r="F685" s="199" t="s">
        <v>1261</v>
      </c>
      <c r="G685" s="199" t="s">
        <v>1076</v>
      </c>
      <c r="H685" s="200">
        <v>812</v>
      </c>
      <c r="I685" s="201" t="s">
        <v>1078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1785</v>
      </c>
      <c r="AD685" s="225" t="s">
        <v>1786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1790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1791</v>
      </c>
      <c r="BZ685" s="141" t="s">
        <v>2105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1847</v>
      </c>
      <c r="C686" s="177" t="s">
        <v>2126</v>
      </c>
      <c r="D686" s="177" t="s">
        <v>1848</v>
      </c>
      <c r="E686" s="177"/>
      <c r="F686" s="177"/>
      <c r="G686" s="177" t="s">
        <v>1849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0.25</v>
      </c>
      <c r="Y686" s="181"/>
      <c r="Z686" s="181"/>
      <c r="AA686" s="181"/>
      <c r="AB686" s="181"/>
      <c r="AC686" s="183" t="s">
        <v>1785</v>
      </c>
      <c r="AD686" s="184" t="s">
        <v>1786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1784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1847</v>
      </c>
      <c r="C687" s="199" t="s">
        <v>2126</v>
      </c>
      <c r="D687" s="199" t="s">
        <v>955</v>
      </c>
      <c r="E687" s="199" t="s">
        <v>1789</v>
      </c>
      <c r="F687" s="199" t="s">
        <v>953</v>
      </c>
      <c r="G687" s="199" t="s">
        <v>954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1785</v>
      </c>
      <c r="AD687" s="225" t="s">
        <v>1786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1790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1791</v>
      </c>
      <c r="BZ687" s="141" t="s">
        <v>2127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1847</v>
      </c>
      <c r="C688" s="199" t="s">
        <v>2126</v>
      </c>
      <c r="D688" s="199" t="s">
        <v>955</v>
      </c>
      <c r="E688" s="199" t="s">
        <v>1792</v>
      </c>
      <c r="F688" s="199" t="s">
        <v>959</v>
      </c>
      <c r="G688" s="199" t="s">
        <v>960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1785</v>
      </c>
      <c r="AD688" s="225" t="s">
        <v>1786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1790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1791</v>
      </c>
      <c r="BZ688" s="141" t="s">
        <v>2128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1847</v>
      </c>
      <c r="C689" s="199" t="s">
        <v>2126</v>
      </c>
      <c r="D689" s="199" t="s">
        <v>955</v>
      </c>
      <c r="E689" s="199" t="s">
        <v>1793</v>
      </c>
      <c r="F689" s="199" t="s">
        <v>964</v>
      </c>
      <c r="G689" s="199" t="s">
        <v>965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1785</v>
      </c>
      <c r="AD689" s="225" t="s">
        <v>1786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1790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1791</v>
      </c>
      <c r="BZ689" s="141" t="s">
        <v>2129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1847</v>
      </c>
      <c r="C690" s="199" t="s">
        <v>2126</v>
      </c>
      <c r="D690" s="199" t="s">
        <v>955</v>
      </c>
      <c r="E690" s="199" t="s">
        <v>1794</v>
      </c>
      <c r="F690" s="199" t="s">
        <v>969</v>
      </c>
      <c r="G690" s="199" t="s">
        <v>970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1785</v>
      </c>
      <c r="AD690" s="225" t="s">
        <v>1786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1790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1791</v>
      </c>
      <c r="BZ690" s="141" t="s">
        <v>2130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1847</v>
      </c>
      <c r="C691" s="177" t="s">
        <v>2131</v>
      </c>
      <c r="D691" s="177" t="s">
        <v>1850</v>
      </c>
      <c r="E691" s="177"/>
      <c r="F691" s="177"/>
      <c r="G691" s="177" t="s">
        <v>1851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6.2500000000000003E-3</v>
      </c>
      <c r="Y691" s="181"/>
      <c r="Z691" s="181"/>
      <c r="AA691" s="181"/>
      <c r="AB691" s="181"/>
      <c r="AC691" s="183" t="s">
        <v>1785</v>
      </c>
      <c r="AD691" s="184" t="s">
        <v>1786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1784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1847</v>
      </c>
      <c r="C692" s="199" t="s">
        <v>2131</v>
      </c>
      <c r="D692" s="199" t="s">
        <v>980</v>
      </c>
      <c r="E692" s="199" t="s">
        <v>1852</v>
      </c>
      <c r="F692" s="199" t="s">
        <v>978</v>
      </c>
      <c r="G692" s="199" t="s">
        <v>979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1785</v>
      </c>
      <c r="AD692" s="225" t="s">
        <v>1853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1790</v>
      </c>
      <c r="BG692" s="141"/>
      <c r="BH692" s="141"/>
      <c r="BI692" s="153"/>
      <c r="BJ692" s="153"/>
      <c r="BK692" s="153" t="s">
        <v>1854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1791</v>
      </c>
      <c r="BZ692" s="141" t="s">
        <v>2132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1847</v>
      </c>
      <c r="C693" s="209" t="s">
        <v>2131</v>
      </c>
      <c r="D693" s="209" t="s">
        <v>976</v>
      </c>
      <c r="E693" s="209" t="s">
        <v>1855</v>
      </c>
      <c r="F693" s="209" t="s">
        <v>974</v>
      </c>
      <c r="G693" s="209" t="s">
        <v>975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977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1785</v>
      </c>
      <c r="AD693" s="226" t="s">
        <v>1786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1847</v>
      </c>
      <c r="C694" s="199" t="s">
        <v>2131</v>
      </c>
      <c r="D694" s="199" t="s">
        <v>13</v>
      </c>
      <c r="E694" s="199" t="s">
        <v>1789</v>
      </c>
      <c r="F694" s="199" t="s">
        <v>986</v>
      </c>
      <c r="G694" s="199" t="s">
        <v>987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1785</v>
      </c>
      <c r="AD694" s="225" t="s">
        <v>1786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1790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1791</v>
      </c>
      <c r="BZ694" s="141" t="s">
        <v>2104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1847</v>
      </c>
      <c r="C695" s="209" t="s">
        <v>2131</v>
      </c>
      <c r="D695" s="209" t="s">
        <v>984</v>
      </c>
      <c r="E695" s="209" t="s">
        <v>1824</v>
      </c>
      <c r="F695" s="209" t="s">
        <v>982</v>
      </c>
      <c r="G695" s="209" t="s">
        <v>983</v>
      </c>
      <c r="H695" s="210"/>
      <c r="I695" s="211" t="s">
        <v>985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977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1785</v>
      </c>
      <c r="AD695" s="226" t="s">
        <v>1786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1847</v>
      </c>
      <c r="C696" s="177" t="s">
        <v>2133</v>
      </c>
      <c r="D696" s="177" t="s">
        <v>1856</v>
      </c>
      <c r="E696" s="177"/>
      <c r="F696" s="177"/>
      <c r="G696" s="177" t="s">
        <v>1857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</v>
      </c>
      <c r="Y696" s="181"/>
      <c r="Z696" s="181"/>
      <c r="AA696" s="181"/>
      <c r="AB696" s="181"/>
      <c r="AC696" s="183" t="s">
        <v>1785</v>
      </c>
      <c r="AD696" s="184" t="s">
        <v>1786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1784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1847</v>
      </c>
      <c r="C697" s="199" t="s">
        <v>2133</v>
      </c>
      <c r="D697" s="199" t="s">
        <v>13</v>
      </c>
      <c r="E697" s="199" t="s">
        <v>1789</v>
      </c>
      <c r="F697" s="199" t="s">
        <v>991</v>
      </c>
      <c r="G697" s="199" t="s">
        <v>992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1785</v>
      </c>
      <c r="AD697" s="225" t="s">
        <v>1786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1790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1791</v>
      </c>
      <c r="BZ697" s="141" t="s">
        <v>2134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1847</v>
      </c>
      <c r="C698" s="199" t="s">
        <v>2133</v>
      </c>
      <c r="D698" s="199" t="s">
        <v>13</v>
      </c>
      <c r="E698" s="199" t="s">
        <v>1792</v>
      </c>
      <c r="F698" s="199" t="s">
        <v>996</v>
      </c>
      <c r="G698" s="199" t="s">
        <v>997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1785</v>
      </c>
      <c r="AD698" s="225" t="s">
        <v>1786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1790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1791</v>
      </c>
      <c r="BZ698" s="141" t="s">
        <v>2134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1858</v>
      </c>
      <c r="C699" s="177" t="s">
        <v>2135</v>
      </c>
      <c r="D699" s="177" t="s">
        <v>1859</v>
      </c>
      <c r="E699" s="177"/>
      <c r="F699" s="177"/>
      <c r="G699" s="177" t="s">
        <v>1860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1785</v>
      </c>
      <c r="AD699" s="184" t="s">
        <v>1786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1784</v>
      </c>
      <c r="AV699" s="181">
        <v>2</v>
      </c>
      <c r="AW699" s="181"/>
      <c r="AX699" s="181"/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1858</v>
      </c>
      <c r="C700" s="177" t="s">
        <v>2136</v>
      </c>
      <c r="D700" s="177" t="s">
        <v>1859</v>
      </c>
      <c r="E700" s="177"/>
      <c r="F700" s="177"/>
      <c r="G700" s="177" t="s">
        <v>1861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1785</v>
      </c>
      <c r="AD700" s="184" t="s">
        <v>1786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1784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1847</v>
      </c>
      <c r="C701" s="177" t="s">
        <v>2137</v>
      </c>
      <c r="D701" s="177" t="s">
        <v>1862</v>
      </c>
      <c r="E701" s="177"/>
      <c r="F701" s="177"/>
      <c r="G701" s="177" t="s">
        <v>1863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1785</v>
      </c>
      <c r="AD701" s="184" t="s">
        <v>1786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1784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1847</v>
      </c>
      <c r="C702" s="199" t="s">
        <v>2137</v>
      </c>
      <c r="D702" s="199" t="s">
        <v>955</v>
      </c>
      <c r="E702" s="199" t="s">
        <v>1789</v>
      </c>
      <c r="F702" s="199" t="s">
        <v>998</v>
      </c>
      <c r="G702" s="199" t="s">
        <v>999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1785</v>
      </c>
      <c r="AD702" s="225" t="s">
        <v>1786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1790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1791</v>
      </c>
      <c r="BZ702" s="141" t="s">
        <v>2130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1864</v>
      </c>
      <c r="C703" s="177" t="s">
        <v>2138</v>
      </c>
      <c r="D703" s="177" t="s">
        <v>1865</v>
      </c>
      <c r="E703" s="177"/>
      <c r="F703" s="177"/>
      <c r="G703" s="177" t="s">
        <v>1866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0.16666666666666666</v>
      </c>
      <c r="Y703" s="181"/>
      <c r="Z703" s="181"/>
      <c r="AA703" s="181"/>
      <c r="AB703" s="181"/>
      <c r="AC703" s="183" t="s">
        <v>1785</v>
      </c>
      <c r="AD703" s="184" t="s">
        <v>1786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1784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1864</v>
      </c>
      <c r="C704" s="209" t="s">
        <v>2138</v>
      </c>
      <c r="D704" s="209" t="s">
        <v>1017</v>
      </c>
      <c r="E704" s="209" t="s">
        <v>1824</v>
      </c>
      <c r="F704" s="209" t="s">
        <v>1015</v>
      </c>
      <c r="G704" s="209" t="s">
        <v>1016</v>
      </c>
      <c r="H704" s="210"/>
      <c r="I704" s="211" t="s">
        <v>1018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977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1785</v>
      </c>
      <c r="AD704" s="226" t="s">
        <v>1786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1864</v>
      </c>
      <c r="C705" s="199" t="s">
        <v>2138</v>
      </c>
      <c r="D705" s="199" t="s">
        <v>1011</v>
      </c>
      <c r="E705" s="199" t="s">
        <v>1803</v>
      </c>
      <c r="F705" s="199" t="s">
        <v>1009</v>
      </c>
      <c r="G705" s="199" t="s">
        <v>1010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1785</v>
      </c>
      <c r="AD705" s="225" t="s">
        <v>1786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1790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1791</v>
      </c>
      <c r="BZ705" s="141" t="s">
        <v>2124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1864</v>
      </c>
      <c r="C706" s="199" t="s">
        <v>2138</v>
      </c>
      <c r="D706" s="199" t="s">
        <v>13</v>
      </c>
      <c r="E706" s="199" t="s">
        <v>1789</v>
      </c>
      <c r="F706" s="199" t="s">
        <v>1019</v>
      </c>
      <c r="G706" s="199" t="s">
        <v>1020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1785</v>
      </c>
      <c r="AD706" s="225" t="s">
        <v>1786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1790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1791</v>
      </c>
      <c r="BZ706" s="141" t="s">
        <v>2100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1864</v>
      </c>
      <c r="C707" s="177" t="s">
        <v>2139</v>
      </c>
      <c r="D707" s="177" t="s">
        <v>1867</v>
      </c>
      <c r="E707" s="177"/>
      <c r="F707" s="177"/>
      <c r="G707" s="177" t="s">
        <v>1868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1785</v>
      </c>
      <c r="AD707" s="184" t="s">
        <v>1786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1784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1864</v>
      </c>
      <c r="C708" s="199" t="s">
        <v>2139</v>
      </c>
      <c r="D708" s="199" t="s">
        <v>1008</v>
      </c>
      <c r="E708" s="199" t="s">
        <v>1869</v>
      </c>
      <c r="F708" s="199" t="s">
        <v>1032</v>
      </c>
      <c r="G708" s="199" t="s">
        <v>1033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1785</v>
      </c>
      <c r="AD708" s="225" t="s">
        <v>1786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1790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1791</v>
      </c>
      <c r="BZ708" s="141" t="s">
        <v>2140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1864</v>
      </c>
      <c r="C709" s="199" t="s">
        <v>2139</v>
      </c>
      <c r="D709" s="199" t="s">
        <v>1026</v>
      </c>
      <c r="E709" s="199" t="s">
        <v>1870</v>
      </c>
      <c r="F709" s="199" t="s">
        <v>1024</v>
      </c>
      <c r="G709" s="199" t="s">
        <v>1025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1785</v>
      </c>
      <c r="AD709" s="225" t="s">
        <v>1871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1790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1791</v>
      </c>
      <c r="BZ709" s="141" t="s">
        <v>2141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1864</v>
      </c>
      <c r="C710" s="199" t="s">
        <v>2139</v>
      </c>
      <c r="D710" s="199" t="s">
        <v>13</v>
      </c>
      <c r="E710" s="199" t="s">
        <v>1789</v>
      </c>
      <c r="F710" s="199" t="s">
        <v>1030</v>
      </c>
      <c r="G710" s="199" t="s">
        <v>1031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1785</v>
      </c>
      <c r="AD710" s="225" t="s">
        <v>1786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1790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1791</v>
      </c>
      <c r="BZ710" s="141" t="s">
        <v>2100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1864</v>
      </c>
      <c r="C711" s="177" t="s">
        <v>2142</v>
      </c>
      <c r="D711" s="177" t="s">
        <v>1872</v>
      </c>
      <c r="E711" s="177"/>
      <c r="F711" s="177"/>
      <c r="G711" s="177" t="s">
        <v>1873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0.15</v>
      </c>
      <c r="Y711" s="181"/>
      <c r="Z711" s="181"/>
      <c r="AA711" s="181"/>
      <c r="AB711" s="181"/>
      <c r="AC711" s="183" t="s">
        <v>1785</v>
      </c>
      <c r="AD711" s="184" t="s">
        <v>1786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1784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1864</v>
      </c>
      <c r="C712" s="209" t="s">
        <v>2142</v>
      </c>
      <c r="D712" s="209" t="s">
        <v>1874</v>
      </c>
      <c r="E712" s="209" t="s">
        <v>1824</v>
      </c>
      <c r="F712" s="209" t="s">
        <v>1036</v>
      </c>
      <c r="G712" s="209" t="s">
        <v>1875</v>
      </c>
      <c r="H712" s="210"/>
      <c r="I712" s="211" t="s">
        <v>1018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977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1785</v>
      </c>
      <c r="AD712" s="226" t="s">
        <v>1786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1864</v>
      </c>
      <c r="C713" s="199" t="s">
        <v>2142</v>
      </c>
      <c r="D713" s="199" t="s">
        <v>1008</v>
      </c>
      <c r="E713" s="199" t="s">
        <v>1869</v>
      </c>
      <c r="F713" s="199" t="s">
        <v>1040</v>
      </c>
      <c r="G713" s="199" t="s">
        <v>1041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1785</v>
      </c>
      <c r="AD713" s="225" t="s">
        <v>1786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1790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1791</v>
      </c>
      <c r="BZ713" s="141" t="s">
        <v>2143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1864</v>
      </c>
      <c r="C714" s="199" t="s">
        <v>2142</v>
      </c>
      <c r="D714" s="199" t="s">
        <v>1008</v>
      </c>
      <c r="E714" s="199" t="s">
        <v>1876</v>
      </c>
      <c r="F714" s="199" t="s">
        <v>1044</v>
      </c>
      <c r="G714" s="199" t="s">
        <v>1045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1785</v>
      </c>
      <c r="AD714" s="225" t="s">
        <v>1786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1790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1791</v>
      </c>
      <c r="BZ714" s="141" t="s">
        <v>2144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1864</v>
      </c>
      <c r="C715" s="209" t="s">
        <v>2142</v>
      </c>
      <c r="D715" s="209" t="s">
        <v>1038</v>
      </c>
      <c r="E715" s="209" t="s">
        <v>1824</v>
      </c>
      <c r="F715" s="209"/>
      <c r="G715" s="209" t="s">
        <v>1037</v>
      </c>
      <c r="H715" s="210" t="s">
        <v>1039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977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1785</v>
      </c>
      <c r="AD715" s="226" t="s">
        <v>1786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1864</v>
      </c>
      <c r="C716" s="177" t="s">
        <v>2145</v>
      </c>
      <c r="D716" s="177" t="s">
        <v>1877</v>
      </c>
      <c r="E716" s="177"/>
      <c r="F716" s="177"/>
      <c r="G716" s="177" t="s">
        <v>1878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0.25</v>
      </c>
      <c r="Y716" s="181"/>
      <c r="Z716" s="181"/>
      <c r="AA716" s="181"/>
      <c r="AB716" s="181"/>
      <c r="AC716" s="183" t="s">
        <v>1785</v>
      </c>
      <c r="AD716" s="184" t="s">
        <v>1786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1784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1864</v>
      </c>
      <c r="C717" s="209" t="s">
        <v>2145</v>
      </c>
      <c r="D717" s="209" t="s">
        <v>1017</v>
      </c>
      <c r="E717" s="209" t="s">
        <v>1824</v>
      </c>
      <c r="F717" s="209" t="s">
        <v>1053</v>
      </c>
      <c r="G717" s="209" t="s">
        <v>1054</v>
      </c>
      <c r="H717" s="210"/>
      <c r="I717" s="211" t="s">
        <v>1018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977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1785</v>
      </c>
      <c r="AD717" s="226" t="s">
        <v>1786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1864</v>
      </c>
      <c r="C718" s="199" t="s">
        <v>2145</v>
      </c>
      <c r="D718" s="199" t="s">
        <v>1011</v>
      </c>
      <c r="E718" s="199" t="s">
        <v>1803</v>
      </c>
      <c r="F718" s="199" t="s">
        <v>1048</v>
      </c>
      <c r="G718" s="199" t="s">
        <v>1049</v>
      </c>
      <c r="H718" s="200">
        <v>761</v>
      </c>
      <c r="I718" s="201" t="s">
        <v>1050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1785</v>
      </c>
      <c r="AD718" s="225" t="s">
        <v>1786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1790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1791</v>
      </c>
      <c r="BZ718" s="141" t="s">
        <v>2146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1864</v>
      </c>
      <c r="C719" s="199" t="s">
        <v>2145</v>
      </c>
      <c r="D719" s="199" t="s">
        <v>13</v>
      </c>
      <c r="E719" s="199" t="s">
        <v>1789</v>
      </c>
      <c r="F719" s="199" t="s">
        <v>1057</v>
      </c>
      <c r="G719" s="199" t="s">
        <v>1058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1785</v>
      </c>
      <c r="AD719" s="225" t="s">
        <v>1786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1790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1791</v>
      </c>
      <c r="BZ719" s="141" t="s">
        <v>2120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1864</v>
      </c>
      <c r="C720" s="199" t="s">
        <v>2145</v>
      </c>
      <c r="D720" s="199" t="s">
        <v>13</v>
      </c>
      <c r="E720" s="199" t="s">
        <v>1792</v>
      </c>
      <c r="F720" s="199" t="s">
        <v>1062</v>
      </c>
      <c r="G720" s="199" t="s">
        <v>1063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1785</v>
      </c>
      <c r="AD720" s="225" t="s">
        <v>1786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1790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1791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1864</v>
      </c>
      <c r="C721" s="199" t="s">
        <v>2145</v>
      </c>
      <c r="D721" s="199" t="s">
        <v>13</v>
      </c>
      <c r="E721" s="199" t="s">
        <v>1793</v>
      </c>
      <c r="F721" s="199" t="s">
        <v>1065</v>
      </c>
      <c r="G721" s="199" t="s">
        <v>1066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1785</v>
      </c>
      <c r="AD721" s="225" t="s">
        <v>1786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1790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1791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 hidden="1">
      <c r="A722" s="117"/>
      <c r="B722" s="209" t="s">
        <v>1864</v>
      </c>
      <c r="C722" s="209" t="s">
        <v>2145</v>
      </c>
      <c r="D722" s="209" t="s">
        <v>1056</v>
      </c>
      <c r="E722" s="209" t="s">
        <v>1879</v>
      </c>
      <c r="F722" s="209" t="s">
        <v>1055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977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1785</v>
      </c>
      <c r="AD722" s="226" t="s">
        <v>1786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1864</v>
      </c>
      <c r="C723" s="177" t="s">
        <v>2147</v>
      </c>
      <c r="D723" s="177" t="s">
        <v>1880</v>
      </c>
      <c r="E723" s="177"/>
      <c r="F723" s="177"/>
      <c r="G723" s="177" t="s">
        <v>1881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1785</v>
      </c>
      <c r="AD723" s="184" t="s">
        <v>1786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1784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1864</v>
      </c>
      <c r="C724" s="209" t="s">
        <v>2147</v>
      </c>
      <c r="D724" s="209" t="s">
        <v>1017</v>
      </c>
      <c r="E724" s="209" t="s">
        <v>1824</v>
      </c>
      <c r="F724" s="209" t="s">
        <v>1068</v>
      </c>
      <c r="G724" s="209" t="s">
        <v>1054</v>
      </c>
      <c r="H724" s="210"/>
      <c r="I724" s="211" t="s">
        <v>1018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977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1785</v>
      </c>
      <c r="AD724" s="226" t="s">
        <v>1786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1864</v>
      </c>
      <c r="C725" s="199" t="s">
        <v>2147</v>
      </c>
      <c r="D725" s="199" t="s">
        <v>1011</v>
      </c>
      <c r="E725" s="199" t="s">
        <v>1803</v>
      </c>
      <c r="F725" s="199" t="s">
        <v>1067</v>
      </c>
      <c r="G725" s="199" t="s">
        <v>1049</v>
      </c>
      <c r="H725" s="200">
        <v>604</v>
      </c>
      <c r="I725" s="201" t="s">
        <v>1050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1785</v>
      </c>
      <c r="AD725" s="225" t="s">
        <v>1786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1790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1791</v>
      </c>
      <c r="BZ725" s="141" t="s">
        <v>2146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1864</v>
      </c>
      <c r="C726" s="199" t="s">
        <v>2147</v>
      </c>
      <c r="D726" s="199" t="s">
        <v>13</v>
      </c>
      <c r="E726" s="199" t="s">
        <v>1789</v>
      </c>
      <c r="F726" s="199" t="s">
        <v>1070</v>
      </c>
      <c r="G726" s="199" t="s">
        <v>1071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1785</v>
      </c>
      <c r="AD726" s="225" t="s">
        <v>1786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1790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1791</v>
      </c>
      <c r="BZ726" s="141" t="s">
        <v>2124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 hidden="1">
      <c r="A727" s="117"/>
      <c r="B727" s="209" t="s">
        <v>1864</v>
      </c>
      <c r="C727" s="209" t="s">
        <v>2147</v>
      </c>
      <c r="D727" s="209" t="s">
        <v>1056</v>
      </c>
      <c r="E727" s="209" t="s">
        <v>1879</v>
      </c>
      <c r="F727" s="209" t="s">
        <v>1069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977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1785</v>
      </c>
      <c r="AD727" s="226" t="s">
        <v>1786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1864</v>
      </c>
      <c r="C728" s="177" t="s">
        <v>2148</v>
      </c>
      <c r="D728" s="177" t="s">
        <v>1882</v>
      </c>
      <c r="E728" s="177"/>
      <c r="F728" s="177"/>
      <c r="G728" s="177" t="s">
        <v>1883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1785</v>
      </c>
      <c r="AD728" s="184" t="s">
        <v>1786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1784</v>
      </c>
      <c r="AV728" s="181">
        <v>1</v>
      </c>
      <c r="AW728" s="181"/>
      <c r="AX728" s="181"/>
      <c r="AY728" s="181"/>
      <c r="AZ728" s="179" t="s">
        <v>1039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1864</v>
      </c>
      <c r="C729" s="199" t="s">
        <v>2148</v>
      </c>
      <c r="D729" s="199" t="s">
        <v>1074</v>
      </c>
      <c r="E729" s="199" t="s">
        <v>1884</v>
      </c>
      <c r="F729" s="199" t="s">
        <v>1072</v>
      </c>
      <c r="G729" s="199" t="s">
        <v>1073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1785</v>
      </c>
      <c r="AD729" s="225" t="s">
        <v>1786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1790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1791</v>
      </c>
      <c r="BZ729" s="141" t="s">
        <v>2127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1858</v>
      </c>
      <c r="C730" s="177" t="s">
        <v>2149</v>
      </c>
      <c r="D730" s="177" t="s">
        <v>1885</v>
      </c>
      <c r="E730" s="177"/>
      <c r="F730" s="177"/>
      <c r="G730" s="177" t="s">
        <v>1886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1785</v>
      </c>
      <c r="AD730" s="184" t="s">
        <v>1786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1784</v>
      </c>
      <c r="AV730" s="181">
        <v>17</v>
      </c>
      <c r="AW730" s="181"/>
      <c r="AX730" s="181"/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1858</v>
      </c>
      <c r="C731" s="177" t="s">
        <v>2150</v>
      </c>
      <c r="D731" s="177" t="s">
        <v>1885</v>
      </c>
      <c r="E731" s="177"/>
      <c r="F731" s="177"/>
      <c r="G731" s="177" t="s">
        <v>1886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1785</v>
      </c>
      <c r="AD731" s="184" t="s">
        <v>1786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1784</v>
      </c>
      <c r="AV731" s="181">
        <v>1</v>
      </c>
      <c r="AW731" s="181"/>
      <c r="AX731" s="181"/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1858</v>
      </c>
      <c r="C732" s="177" t="s">
        <v>2151</v>
      </c>
      <c r="D732" s="177" t="s">
        <v>1885</v>
      </c>
      <c r="E732" s="177"/>
      <c r="F732" s="177"/>
      <c r="G732" s="177" t="s">
        <v>1886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1785</v>
      </c>
      <c r="AD732" s="184" t="s">
        <v>1786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1784</v>
      </c>
      <c r="AV732" s="181">
        <v>1</v>
      </c>
      <c r="AW732" s="181"/>
      <c r="AX732" s="181"/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1785</v>
      </c>
      <c r="AD733" s="184" t="s">
        <v>1786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1784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1858</v>
      </c>
      <c r="C734" s="177" t="s">
        <v>1889</v>
      </c>
      <c r="D734" s="177" t="s">
        <v>1890</v>
      </c>
      <c r="E734" s="177"/>
      <c r="F734" s="177"/>
      <c r="G734" s="177" t="s">
        <v>1891</v>
      </c>
      <c r="H734" s="178"/>
      <c r="I734" s="179" t="s">
        <v>1892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1785</v>
      </c>
      <c r="AD734" s="184" t="s">
        <v>1786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1784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1858</v>
      </c>
      <c r="C735" s="177" t="s">
        <v>1893</v>
      </c>
      <c r="D735" s="177" t="s">
        <v>1894</v>
      </c>
      <c r="E735" s="177"/>
      <c r="F735" s="177"/>
      <c r="G735" s="177" t="s">
        <v>1895</v>
      </c>
      <c r="H735" s="178"/>
      <c r="I735" s="179" t="s">
        <v>1896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1785</v>
      </c>
      <c r="AD735" s="184" t="s">
        <v>1786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1784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1858</v>
      </c>
      <c r="C736" s="177" t="s">
        <v>1897</v>
      </c>
      <c r="D736" s="177" t="s">
        <v>1898</v>
      </c>
      <c r="E736" s="177"/>
      <c r="F736" s="177"/>
      <c r="G736" s="177" t="s">
        <v>1899</v>
      </c>
      <c r="H736" s="178"/>
      <c r="I736" s="179" t="s">
        <v>1900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1785</v>
      </c>
      <c r="AD736" s="184" t="s">
        <v>1786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1784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1785</v>
      </c>
      <c r="AD737" s="184" t="s">
        <v>1786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1784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1785</v>
      </c>
      <c r="AD738" s="184" t="s">
        <v>1786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1784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1910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1785</v>
      </c>
      <c r="AD739" s="184" t="s">
        <v>1786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1784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1785</v>
      </c>
      <c r="AD740" s="184" t="s">
        <v>1786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1784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1910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1785</v>
      </c>
      <c r="AD741" s="184" t="s">
        <v>1786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1784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1785</v>
      </c>
      <c r="AD742" s="184" t="s">
        <v>1786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1784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1785</v>
      </c>
      <c r="AD743" s="184" t="s">
        <v>1786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1784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1785</v>
      </c>
      <c r="AD744" s="184" t="s">
        <v>1786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1784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sheetPr filterMode="1"/>
  <dimension ref="A1:AP58"/>
  <sheetViews>
    <sheetView zoomScale="55" zoomScaleNormal="55" workbookViewId="0">
      <selection activeCell="P39" sqref="P39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1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2271</v>
      </c>
      <c r="AM1" s="111"/>
      <c r="AN1" s="111"/>
      <c r="AO1" s="111"/>
      <c r="AP1" s="244" t="s">
        <v>2271</v>
      </c>
    </row>
    <row r="2" spans="1:42">
      <c r="A2" s="114" t="s">
        <v>2261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2262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2272</v>
      </c>
      <c r="AM4" s="112"/>
      <c r="AN4" s="112"/>
      <c r="AO4" s="112"/>
      <c r="AP4" s="246" t="s">
        <v>2272</v>
      </c>
    </row>
    <row r="5" spans="1:42">
      <c r="A5" s="114" t="s">
        <v>2263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2264</v>
      </c>
      <c r="B6" s="112"/>
      <c r="C6" s="112"/>
      <c r="D6" s="115"/>
      <c r="E6" s="122"/>
      <c r="F6" s="122"/>
      <c r="G6" s="122"/>
      <c r="H6" s="113"/>
      <c r="I6" s="123" t="s">
        <v>2265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2266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2381</v>
      </c>
      <c r="R8" s="127" t="s">
        <v>87</v>
      </c>
      <c r="S8" s="127" t="s">
        <v>2267</v>
      </c>
      <c r="T8" s="127" t="s">
        <v>2268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2269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2270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2273</v>
      </c>
      <c r="C10" s="177" t="s">
        <v>2274</v>
      </c>
      <c r="D10" s="177" t="s">
        <v>2275</v>
      </c>
      <c r="E10" s="177"/>
      <c r="F10" s="177"/>
      <c r="G10" s="181" t="s">
        <v>2276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/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1791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2273</v>
      </c>
      <c r="C11" s="209" t="s">
        <v>2274</v>
      </c>
      <c r="D11" s="209" t="s">
        <v>1297</v>
      </c>
      <c r="E11" s="209" t="s">
        <v>2277</v>
      </c>
      <c r="F11" s="209" t="s">
        <v>2278</v>
      </c>
      <c r="G11" s="212" t="s">
        <v>2279</v>
      </c>
      <c r="H11" s="213">
        <v>90</v>
      </c>
      <c r="I11" s="144" t="s">
        <v>2280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1791</v>
      </c>
      <c r="AI11" s="258" t="s">
        <v>2284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2273</v>
      </c>
      <c r="C12" s="209" t="s">
        <v>2274</v>
      </c>
      <c r="D12" s="209" t="s">
        <v>1297</v>
      </c>
      <c r="E12" s="209" t="s">
        <v>2281</v>
      </c>
      <c r="F12" s="209" t="s">
        <v>2282</v>
      </c>
      <c r="G12" s="212" t="s">
        <v>2283</v>
      </c>
      <c r="H12" s="213">
        <v>160</v>
      </c>
      <c r="I12" s="144" t="s">
        <v>2280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1791</v>
      </c>
      <c r="AI12" s="258" t="s">
        <v>2285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2286</v>
      </c>
      <c r="C13" s="177" t="s">
        <v>2287</v>
      </c>
      <c r="D13" s="177" t="s">
        <v>2275</v>
      </c>
      <c r="E13" s="177"/>
      <c r="F13" s="177"/>
      <c r="G13" s="181" t="s">
        <v>2276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/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1791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2286</v>
      </c>
      <c r="C14" s="209" t="s">
        <v>2287</v>
      </c>
      <c r="D14" s="209" t="s">
        <v>1297</v>
      </c>
      <c r="E14" s="209" t="s">
        <v>2277</v>
      </c>
      <c r="F14" s="209" t="s">
        <v>2288</v>
      </c>
      <c r="G14" s="212" t="s">
        <v>2279</v>
      </c>
      <c r="H14" s="213">
        <v>90</v>
      </c>
      <c r="I14" s="144" t="s">
        <v>2280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1791</v>
      </c>
      <c r="AI14" s="258" t="s">
        <v>2284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2286</v>
      </c>
      <c r="C15" s="209" t="s">
        <v>2287</v>
      </c>
      <c r="D15" s="209" t="s">
        <v>1297</v>
      </c>
      <c r="E15" s="209" t="s">
        <v>2281</v>
      </c>
      <c r="F15" s="209" t="s">
        <v>2289</v>
      </c>
      <c r="G15" s="212" t="s">
        <v>2283</v>
      </c>
      <c r="H15" s="213">
        <v>160</v>
      </c>
      <c r="I15" s="144" t="s">
        <v>2280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1791</v>
      </c>
      <c r="AI15" s="258" t="s">
        <v>2285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 hidden="1">
      <c r="A16" s="161">
        <v>23</v>
      </c>
      <c r="B16" s="177" t="s">
        <v>2290</v>
      </c>
      <c r="C16" s="177" t="s">
        <v>2291</v>
      </c>
      <c r="D16" s="177" t="s">
        <v>2292</v>
      </c>
      <c r="E16" s="177"/>
      <c r="F16" s="177"/>
      <c r="G16" s="181" t="s">
        <v>2293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/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1791</v>
      </c>
      <c r="AI16" s="161"/>
      <c r="AJ16" s="251"/>
      <c r="AK16" s="163"/>
      <c r="AL16" s="161"/>
      <c r="AM16" s="161"/>
      <c r="AN16" s="251"/>
      <c r="AO16" s="257"/>
      <c r="AP16" s="161"/>
    </row>
    <row r="17" spans="1:42" hidden="1">
      <c r="A17" s="117">
        <v>24</v>
      </c>
      <c r="B17" s="209" t="s">
        <v>2290</v>
      </c>
      <c r="C17" s="209" t="s">
        <v>2291</v>
      </c>
      <c r="D17" s="209" t="s">
        <v>1297</v>
      </c>
      <c r="E17" s="209" t="s">
        <v>2294</v>
      </c>
      <c r="F17" s="209" t="s">
        <v>2295</v>
      </c>
      <c r="G17" s="212" t="s">
        <v>2296</v>
      </c>
      <c r="H17" s="213">
        <v>810</v>
      </c>
      <c r="I17" s="144" t="s">
        <v>2280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/>
      <c r="P17" s="254">
        <f>+L17-O17</f>
        <v>1</v>
      </c>
      <c r="Q17" s="254"/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1791</v>
      </c>
      <c r="AI17" s="264" t="s">
        <v>2304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 hidden="1">
      <c r="A18" s="161">
        <v>25</v>
      </c>
      <c r="B18" s="177" t="s">
        <v>2297</v>
      </c>
      <c r="C18" s="177" t="s">
        <v>2298</v>
      </c>
      <c r="D18" s="177" t="s">
        <v>2292</v>
      </c>
      <c r="E18" s="177"/>
      <c r="F18" s="177"/>
      <c r="G18" s="181" t="s">
        <v>2299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/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1791</v>
      </c>
      <c r="AI18" s="161"/>
      <c r="AJ18" s="251"/>
      <c r="AK18" s="163"/>
      <c r="AL18" s="161"/>
      <c r="AM18" s="161"/>
      <c r="AN18" s="251"/>
      <c r="AO18" s="257"/>
      <c r="AP18" s="161"/>
    </row>
    <row r="19" spans="1:42" hidden="1">
      <c r="A19" s="117">
        <v>26</v>
      </c>
      <c r="B19" s="209" t="s">
        <v>2297</v>
      </c>
      <c r="C19" s="209" t="s">
        <v>2298</v>
      </c>
      <c r="D19" s="209" t="s">
        <v>2300</v>
      </c>
      <c r="E19" s="209" t="s">
        <v>2301</v>
      </c>
      <c r="F19" s="209" t="s">
        <v>2302</v>
      </c>
      <c r="G19" s="212" t="s">
        <v>2303</v>
      </c>
      <c r="H19" s="213">
        <v>524</v>
      </c>
      <c r="I19" s="144" t="s">
        <v>2280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/>
      <c r="P19" s="254">
        <f>+L19-O19</f>
        <v>2</v>
      </c>
      <c r="Q19" s="254"/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1791</v>
      </c>
      <c r="AI19" s="264" t="s">
        <v>2304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 hidden="1">
      <c r="A20" s="161">
        <v>43</v>
      </c>
      <c r="B20" s="177" t="s">
        <v>2305</v>
      </c>
      <c r="C20" s="177" t="s">
        <v>2306</v>
      </c>
      <c r="D20" s="177" t="s">
        <v>2292</v>
      </c>
      <c r="E20" s="177"/>
      <c r="F20" s="177"/>
      <c r="G20" s="181" t="s">
        <v>2307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/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1791</v>
      </c>
      <c r="AI20" s="164"/>
      <c r="AJ20" s="164"/>
      <c r="AK20" s="263"/>
      <c r="AL20" s="161"/>
      <c r="AM20" s="164"/>
      <c r="AN20" s="164"/>
      <c r="AO20" s="164"/>
      <c r="AP20" s="161"/>
    </row>
    <row r="21" spans="1:42" hidden="1">
      <c r="A21" s="117">
        <v>44</v>
      </c>
      <c r="B21" s="209" t="s">
        <v>2305</v>
      </c>
      <c r="C21" s="209" t="s">
        <v>2306</v>
      </c>
      <c r="D21" s="209" t="s">
        <v>2300</v>
      </c>
      <c r="E21" s="209" t="s">
        <v>2308</v>
      </c>
      <c r="F21" s="209" t="s">
        <v>2309</v>
      </c>
      <c r="G21" s="212" t="s">
        <v>2310</v>
      </c>
      <c r="H21" s="213">
        <v>2523</v>
      </c>
      <c r="I21" s="144" t="s">
        <v>2280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/>
      <c r="P21" s="254">
        <f>+L21-O21</f>
        <v>3</v>
      </c>
      <c r="Q21" s="254"/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1791</v>
      </c>
      <c r="AI21" s="264" t="s">
        <v>2311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2312</v>
      </c>
      <c r="C22" s="177" t="s">
        <v>2313</v>
      </c>
      <c r="D22" s="177" t="s">
        <v>2275</v>
      </c>
      <c r="E22" s="177"/>
      <c r="F22" s="177"/>
      <c r="G22" s="181" t="s">
        <v>2276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/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1791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2312</v>
      </c>
      <c r="C23" s="209" t="s">
        <v>2313</v>
      </c>
      <c r="D23" s="209" t="s">
        <v>1297</v>
      </c>
      <c r="E23" s="209" t="s">
        <v>2277</v>
      </c>
      <c r="F23" s="209" t="s">
        <v>2314</v>
      </c>
      <c r="G23" s="212" t="s">
        <v>2279</v>
      </c>
      <c r="H23" s="213">
        <v>90</v>
      </c>
      <c r="I23" s="144" t="s">
        <v>2280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1791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2312</v>
      </c>
      <c r="C24" s="209" t="s">
        <v>2313</v>
      </c>
      <c r="D24" s="209" t="s">
        <v>1297</v>
      </c>
      <c r="E24" s="209" t="s">
        <v>2315</v>
      </c>
      <c r="F24" s="209" t="s">
        <v>2316</v>
      </c>
      <c r="G24" s="212" t="s">
        <v>2283</v>
      </c>
      <c r="H24" s="213">
        <v>160</v>
      </c>
      <c r="I24" s="144" t="s">
        <v>2280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/>
      <c r="P24" s="254">
        <f t="shared" si="3"/>
        <v>3</v>
      </c>
      <c r="Q24" s="254"/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1791</v>
      </c>
      <c r="AI24" s="264" t="s">
        <v>2304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2312</v>
      </c>
      <c r="C25" s="177" t="s">
        <v>2313</v>
      </c>
      <c r="D25" s="177" t="s">
        <v>2275</v>
      </c>
      <c r="E25" s="177"/>
      <c r="F25" s="177"/>
      <c r="G25" s="181" t="s">
        <v>2276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/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1791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2312</v>
      </c>
      <c r="C26" s="209" t="s">
        <v>2313</v>
      </c>
      <c r="D26" s="209" t="s">
        <v>1297</v>
      </c>
      <c r="E26" s="209" t="s">
        <v>2277</v>
      </c>
      <c r="F26" s="209" t="s">
        <v>2314</v>
      </c>
      <c r="G26" s="212" t="s">
        <v>2279</v>
      </c>
      <c r="H26" s="213">
        <v>90</v>
      </c>
      <c r="I26" s="144" t="s">
        <v>2280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1791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2312</v>
      </c>
      <c r="C27" s="209" t="s">
        <v>2313</v>
      </c>
      <c r="D27" s="209" t="s">
        <v>1297</v>
      </c>
      <c r="E27" s="209" t="s">
        <v>2315</v>
      </c>
      <c r="F27" s="209" t="s">
        <v>2316</v>
      </c>
      <c r="G27" s="212" t="s">
        <v>2283</v>
      </c>
      <c r="H27" s="213">
        <v>160</v>
      </c>
      <c r="I27" s="144" t="s">
        <v>2280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/>
      <c r="P27" s="254">
        <f t="shared" si="5"/>
        <v>3</v>
      </c>
      <c r="Q27" s="254"/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1791</v>
      </c>
      <c r="AI27" s="264" t="s">
        <v>2304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 hidden="1">
      <c r="A28" s="161">
        <v>89</v>
      </c>
      <c r="B28" s="177" t="s">
        <v>2290</v>
      </c>
      <c r="C28" s="177" t="s">
        <v>2291</v>
      </c>
      <c r="D28" s="177" t="s">
        <v>2292</v>
      </c>
      <c r="E28" s="177"/>
      <c r="F28" s="177"/>
      <c r="G28" s="181" t="s">
        <v>2293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/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1791</v>
      </c>
      <c r="AI28" s="161"/>
      <c r="AJ28" s="251"/>
      <c r="AK28" s="163"/>
      <c r="AL28" s="161"/>
      <c r="AM28" s="161"/>
      <c r="AN28" s="251"/>
      <c r="AO28" s="257"/>
      <c r="AP28" s="161"/>
    </row>
    <row r="29" spans="1:42" hidden="1">
      <c r="A29" s="117">
        <v>90</v>
      </c>
      <c r="B29" s="209" t="s">
        <v>2290</v>
      </c>
      <c r="C29" s="209" t="s">
        <v>2291</v>
      </c>
      <c r="D29" s="209" t="s">
        <v>1297</v>
      </c>
      <c r="E29" s="209" t="s">
        <v>2294</v>
      </c>
      <c r="F29" s="209" t="s">
        <v>2295</v>
      </c>
      <c r="G29" s="212" t="s">
        <v>2296</v>
      </c>
      <c r="H29" s="213">
        <v>810</v>
      </c>
      <c r="I29" s="144" t="s">
        <v>2280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/>
      <c r="P29" s="254">
        <f>+L29-O29</f>
        <v>1</v>
      </c>
      <c r="Q29" s="254"/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1791</v>
      </c>
      <c r="AI29" s="264" t="s">
        <v>2304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 hidden="1">
      <c r="A30" s="161">
        <v>91</v>
      </c>
      <c r="B30" s="177" t="s">
        <v>2317</v>
      </c>
      <c r="C30" s="177" t="s">
        <v>2318</v>
      </c>
      <c r="D30" s="177" t="s">
        <v>2292</v>
      </c>
      <c r="E30" s="177"/>
      <c r="F30" s="177"/>
      <c r="G30" s="181" t="s">
        <v>2319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/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1791</v>
      </c>
      <c r="AI30" s="161"/>
      <c r="AJ30" s="251"/>
      <c r="AK30" s="163"/>
      <c r="AL30" s="161"/>
      <c r="AM30" s="161"/>
      <c r="AN30" s="251"/>
      <c r="AO30" s="257"/>
      <c r="AP30" s="161"/>
    </row>
    <row r="31" spans="1:42" hidden="1">
      <c r="A31" s="117">
        <v>92</v>
      </c>
      <c r="B31" s="209" t="s">
        <v>2317</v>
      </c>
      <c r="C31" s="209" t="s">
        <v>2318</v>
      </c>
      <c r="D31" s="209" t="s">
        <v>2300</v>
      </c>
      <c r="E31" s="209" t="s">
        <v>2320</v>
      </c>
      <c r="F31" s="209" t="s">
        <v>2321</v>
      </c>
      <c r="G31" s="212" t="s">
        <v>2303</v>
      </c>
      <c r="H31" s="213">
        <v>554</v>
      </c>
      <c r="I31" s="144" t="s">
        <v>2280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/>
      <c r="P31" s="254">
        <f>+L31-O31</f>
        <v>2</v>
      </c>
      <c r="Q31" s="254"/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1791</v>
      </c>
      <c r="AI31" s="264" t="s">
        <v>2304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 hidden="1">
      <c r="A32" s="161">
        <v>93</v>
      </c>
      <c r="B32" s="177" t="s">
        <v>2322</v>
      </c>
      <c r="C32" s="177" t="s">
        <v>2323</v>
      </c>
      <c r="D32" s="177" t="s">
        <v>2292</v>
      </c>
      <c r="E32" s="177"/>
      <c r="F32" s="177"/>
      <c r="G32" s="181" t="s">
        <v>2324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/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1791</v>
      </c>
      <c r="AI32" s="267"/>
      <c r="AJ32" s="251"/>
      <c r="AK32" s="163"/>
      <c r="AL32" s="161"/>
      <c r="AM32" s="161"/>
      <c r="AN32" s="251"/>
      <c r="AO32" s="257"/>
      <c r="AP32" s="161"/>
    </row>
    <row r="33" spans="1:42" hidden="1">
      <c r="A33" s="117">
        <v>94</v>
      </c>
      <c r="B33" s="209" t="s">
        <v>2322</v>
      </c>
      <c r="C33" s="209" t="s">
        <v>2323</v>
      </c>
      <c r="D33" s="209" t="s">
        <v>2300</v>
      </c>
      <c r="E33" s="209" t="s">
        <v>2325</v>
      </c>
      <c r="F33" s="209" t="s">
        <v>2326</v>
      </c>
      <c r="G33" s="212" t="s">
        <v>2303</v>
      </c>
      <c r="H33" s="213">
        <v>1596</v>
      </c>
      <c r="I33" s="144" t="s">
        <v>2280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/>
      <c r="P33" s="254">
        <f>+L33-O33</f>
        <v>1</v>
      </c>
      <c r="Q33" s="254"/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1791</v>
      </c>
      <c r="AI33" s="264" t="s">
        <v>2304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 hidden="1">
      <c r="A34" s="161">
        <v>121</v>
      </c>
      <c r="B34" s="177" t="s">
        <v>2327</v>
      </c>
      <c r="C34" s="177" t="s">
        <v>2328</v>
      </c>
      <c r="D34" s="177" t="s">
        <v>2292</v>
      </c>
      <c r="E34" s="177"/>
      <c r="F34" s="177"/>
      <c r="G34" s="181" t="s">
        <v>2329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/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1791</v>
      </c>
      <c r="AI34" s="267"/>
      <c r="AJ34" s="251"/>
      <c r="AK34" s="163"/>
      <c r="AL34" s="161"/>
      <c r="AM34" s="161"/>
      <c r="AN34" s="251"/>
      <c r="AO34" s="257"/>
      <c r="AP34" s="161"/>
    </row>
    <row r="35" spans="1:42" hidden="1">
      <c r="A35" s="117">
        <v>122</v>
      </c>
      <c r="B35" s="209" t="s">
        <v>2327</v>
      </c>
      <c r="C35" s="209" t="s">
        <v>2328</v>
      </c>
      <c r="D35" s="209" t="s">
        <v>2300</v>
      </c>
      <c r="E35" s="209" t="s">
        <v>2330</v>
      </c>
      <c r="F35" s="209" t="s">
        <v>2331</v>
      </c>
      <c r="G35" s="212" t="s">
        <v>2303</v>
      </c>
      <c r="H35" s="213">
        <v>1892</v>
      </c>
      <c r="I35" s="144" t="s">
        <v>2280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/>
      <c r="P35" s="254">
        <f>+L35-O35</f>
        <v>3</v>
      </c>
      <c r="Q35" s="254"/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1791</v>
      </c>
      <c r="AI35" s="264" t="s">
        <v>2304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 hidden="1">
      <c r="A36" s="161">
        <v>123</v>
      </c>
      <c r="B36" s="177" t="s">
        <v>2332</v>
      </c>
      <c r="C36" s="177" t="s">
        <v>2333</v>
      </c>
      <c r="D36" s="177" t="s">
        <v>2292</v>
      </c>
      <c r="E36" s="177"/>
      <c r="F36" s="177"/>
      <c r="G36" s="181" t="s">
        <v>2334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/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1791</v>
      </c>
      <c r="AI36" s="161"/>
      <c r="AJ36" s="251"/>
      <c r="AK36" s="163"/>
      <c r="AL36" s="161"/>
      <c r="AM36" s="161"/>
      <c r="AN36" s="251"/>
      <c r="AO36" s="257"/>
      <c r="AP36" s="161"/>
    </row>
    <row r="37" spans="1:42" hidden="1">
      <c r="A37" s="117">
        <v>124</v>
      </c>
      <c r="B37" s="209" t="s">
        <v>2332</v>
      </c>
      <c r="C37" s="209" t="s">
        <v>2333</v>
      </c>
      <c r="D37" s="209" t="s">
        <v>2300</v>
      </c>
      <c r="E37" s="209" t="s">
        <v>2335</v>
      </c>
      <c r="F37" s="209" t="s">
        <v>2336</v>
      </c>
      <c r="G37" s="212" t="s">
        <v>2303</v>
      </c>
      <c r="H37" s="213">
        <v>1599</v>
      </c>
      <c r="I37" s="144" t="s">
        <v>2280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/>
      <c r="P37" s="254">
        <f>+L37-O37</f>
        <v>3</v>
      </c>
      <c r="Q37" s="254"/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1791</v>
      </c>
      <c r="AI37" s="264" t="s">
        <v>2304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2337</v>
      </c>
      <c r="C38" s="177" t="s">
        <v>2338</v>
      </c>
      <c r="D38" s="177" t="s">
        <v>2292</v>
      </c>
      <c r="E38" s="177"/>
      <c r="F38" s="177"/>
      <c r="G38" s="181" t="s">
        <v>2339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/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1791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2337</v>
      </c>
      <c r="C39" s="209" t="s">
        <v>2338</v>
      </c>
      <c r="D39" s="209" t="s">
        <v>2340</v>
      </c>
      <c r="E39" s="209" t="s">
        <v>2341</v>
      </c>
      <c r="F39" s="209" t="s">
        <v>2342</v>
      </c>
      <c r="G39" s="212" t="s">
        <v>2343</v>
      </c>
      <c r="H39" s="213">
        <v>2100</v>
      </c>
      <c r="I39" s="144" t="s">
        <v>2280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1791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2337</v>
      </c>
      <c r="C40" s="209" t="s">
        <v>2338</v>
      </c>
      <c r="D40" s="209" t="s">
        <v>2340</v>
      </c>
      <c r="E40" s="209" t="s">
        <v>2344</v>
      </c>
      <c r="F40" s="209" t="s">
        <v>2345</v>
      </c>
      <c r="G40" s="212" t="s">
        <v>2343</v>
      </c>
      <c r="H40" s="213">
        <v>985</v>
      </c>
      <c r="I40" s="144" t="s">
        <v>2280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1791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2337</v>
      </c>
      <c r="C41" s="209" t="s">
        <v>2338</v>
      </c>
      <c r="D41" s="209" t="s">
        <v>1297</v>
      </c>
      <c r="E41" s="209" t="s">
        <v>2346</v>
      </c>
      <c r="F41" s="209" t="s">
        <v>2347</v>
      </c>
      <c r="G41" s="212" t="s">
        <v>2348</v>
      </c>
      <c r="H41" s="213">
        <v>120</v>
      </c>
      <c r="I41" s="144" t="s">
        <v>2280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1791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2337</v>
      </c>
      <c r="C42" s="209" t="s">
        <v>2338</v>
      </c>
      <c r="D42" s="209" t="s">
        <v>1297</v>
      </c>
      <c r="E42" s="209" t="s">
        <v>2349</v>
      </c>
      <c r="F42" s="209" t="s">
        <v>2350</v>
      </c>
      <c r="G42" s="212" t="s">
        <v>2351</v>
      </c>
      <c r="H42" s="213">
        <v>133</v>
      </c>
      <c r="I42" s="144" t="s">
        <v>2280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1791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2352</v>
      </c>
      <c r="C43" s="177" t="s">
        <v>2353</v>
      </c>
      <c r="D43" s="177" t="s">
        <v>2292</v>
      </c>
      <c r="E43" s="177"/>
      <c r="F43" s="177"/>
      <c r="G43" s="181" t="s">
        <v>2354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/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1791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2352</v>
      </c>
      <c r="C44" s="209" t="s">
        <v>2353</v>
      </c>
      <c r="D44" s="209" t="s">
        <v>1297</v>
      </c>
      <c r="E44" s="209" t="s">
        <v>2355</v>
      </c>
      <c r="F44" s="209" t="s">
        <v>2356</v>
      </c>
      <c r="G44" s="212" t="s">
        <v>2296</v>
      </c>
      <c r="H44" s="213">
        <v>965</v>
      </c>
      <c r="I44" s="144" t="s">
        <v>2280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/>
      <c r="P44" s="254">
        <f>+L44-O44</f>
        <v>1</v>
      </c>
      <c r="Q44" s="254"/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1791</v>
      </c>
      <c r="AI44" s="264" t="s">
        <v>2304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2357</v>
      </c>
      <c r="C45" s="177" t="s">
        <v>2358</v>
      </c>
      <c r="D45" s="177" t="s">
        <v>2292</v>
      </c>
      <c r="E45" s="177"/>
      <c r="F45" s="177"/>
      <c r="G45" s="181" t="s">
        <v>2359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/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1791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2357</v>
      </c>
      <c r="C46" s="209" t="s">
        <v>2358</v>
      </c>
      <c r="D46" s="209" t="s">
        <v>2340</v>
      </c>
      <c r="E46" s="209" t="s">
        <v>2360</v>
      </c>
      <c r="F46" s="209" t="s">
        <v>2361</v>
      </c>
      <c r="G46" s="212" t="s">
        <v>2343</v>
      </c>
      <c r="H46" s="213">
        <v>885</v>
      </c>
      <c r="I46" s="144" t="s">
        <v>2280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1791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2357</v>
      </c>
      <c r="C47" s="209" t="s">
        <v>2358</v>
      </c>
      <c r="D47" s="209" t="s">
        <v>2340</v>
      </c>
      <c r="E47" s="209" t="s">
        <v>2362</v>
      </c>
      <c r="F47" s="209" t="s">
        <v>2363</v>
      </c>
      <c r="G47" s="212" t="s">
        <v>2343</v>
      </c>
      <c r="H47" s="213">
        <v>1900</v>
      </c>
      <c r="I47" s="144" t="s">
        <v>2280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1791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2357</v>
      </c>
      <c r="C48" s="209" t="s">
        <v>2358</v>
      </c>
      <c r="D48" s="209" t="s">
        <v>1297</v>
      </c>
      <c r="E48" s="209" t="s">
        <v>2346</v>
      </c>
      <c r="F48" s="209" t="s">
        <v>2364</v>
      </c>
      <c r="G48" s="212" t="s">
        <v>2348</v>
      </c>
      <c r="H48" s="213">
        <v>120</v>
      </c>
      <c r="I48" s="144" t="s">
        <v>2280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1791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2357</v>
      </c>
      <c r="C49" s="209" t="s">
        <v>2358</v>
      </c>
      <c r="D49" s="209" t="s">
        <v>1297</v>
      </c>
      <c r="E49" s="209" t="s">
        <v>2349</v>
      </c>
      <c r="F49" s="209" t="s">
        <v>2365</v>
      </c>
      <c r="G49" s="212" t="s">
        <v>2351</v>
      </c>
      <c r="H49" s="213">
        <v>133</v>
      </c>
      <c r="I49" s="144" t="s">
        <v>2280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1791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2366</v>
      </c>
      <c r="C50" s="177" t="s">
        <v>2367</v>
      </c>
      <c r="D50" s="177" t="s">
        <v>2292</v>
      </c>
      <c r="E50" s="177"/>
      <c r="F50" s="177"/>
      <c r="G50" s="181" t="s">
        <v>2354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/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1791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2366</v>
      </c>
      <c r="C51" s="209" t="s">
        <v>2367</v>
      </c>
      <c r="D51" s="209" t="s">
        <v>1297</v>
      </c>
      <c r="E51" s="209" t="s">
        <v>2355</v>
      </c>
      <c r="F51" s="209" t="s">
        <v>2368</v>
      </c>
      <c r="G51" s="212" t="s">
        <v>2296</v>
      </c>
      <c r="H51" s="213">
        <v>965</v>
      </c>
      <c r="I51" s="144" t="s">
        <v>2280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/>
      <c r="P51" s="254">
        <f>+L51-O51</f>
        <v>1</v>
      </c>
      <c r="Q51" s="254"/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1791</v>
      </c>
      <c r="AI51" s="264" t="s">
        <v>2304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2369</v>
      </c>
      <c r="C52" s="177" t="s">
        <v>2370</v>
      </c>
      <c r="D52" s="177" t="s">
        <v>2292</v>
      </c>
      <c r="E52" s="177"/>
      <c r="F52" s="177"/>
      <c r="G52" s="181" t="s">
        <v>2371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/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1791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2369</v>
      </c>
      <c r="C53" s="209" t="s">
        <v>2370</v>
      </c>
      <c r="D53" s="209" t="s">
        <v>2340</v>
      </c>
      <c r="E53" s="209" t="s">
        <v>2372</v>
      </c>
      <c r="F53" s="209" t="s">
        <v>2373</v>
      </c>
      <c r="G53" s="212" t="s">
        <v>2343</v>
      </c>
      <c r="H53" s="213">
        <v>585</v>
      </c>
      <c r="I53" s="144" t="s">
        <v>2280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1791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2369</v>
      </c>
      <c r="C54" s="209" t="s">
        <v>2370</v>
      </c>
      <c r="D54" s="209" t="s">
        <v>2340</v>
      </c>
      <c r="E54" s="209" t="s">
        <v>2374</v>
      </c>
      <c r="F54" s="209" t="s">
        <v>2375</v>
      </c>
      <c r="G54" s="212" t="s">
        <v>2343</v>
      </c>
      <c r="H54" s="213">
        <v>1300</v>
      </c>
      <c r="I54" s="144" t="s">
        <v>2280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1791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2369</v>
      </c>
      <c r="C55" s="209" t="s">
        <v>2370</v>
      </c>
      <c r="D55" s="209" t="s">
        <v>1297</v>
      </c>
      <c r="E55" s="209" t="s">
        <v>2346</v>
      </c>
      <c r="F55" s="209" t="s">
        <v>2376</v>
      </c>
      <c r="G55" s="212" t="s">
        <v>2348</v>
      </c>
      <c r="H55" s="213">
        <v>120</v>
      </c>
      <c r="I55" s="144" t="s">
        <v>2280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1791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2369</v>
      </c>
      <c r="C56" s="209" t="s">
        <v>2370</v>
      </c>
      <c r="D56" s="209" t="s">
        <v>1297</v>
      </c>
      <c r="E56" s="209" t="s">
        <v>2349</v>
      </c>
      <c r="F56" s="209" t="s">
        <v>2377</v>
      </c>
      <c r="G56" s="212" t="s">
        <v>2351</v>
      </c>
      <c r="H56" s="213">
        <v>133</v>
      </c>
      <c r="I56" s="144" t="s">
        <v>2280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1791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2378</v>
      </c>
      <c r="C57" s="177" t="s">
        <v>2379</v>
      </c>
      <c r="D57" s="177" t="s">
        <v>2292</v>
      </c>
      <c r="E57" s="177"/>
      <c r="F57" s="177"/>
      <c r="G57" s="181" t="s">
        <v>2354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/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1791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2378</v>
      </c>
      <c r="C58" s="209" t="s">
        <v>2379</v>
      </c>
      <c r="D58" s="209" t="s">
        <v>1297</v>
      </c>
      <c r="E58" s="209" t="s">
        <v>2355</v>
      </c>
      <c r="F58" s="209" t="s">
        <v>2380</v>
      </c>
      <c r="G58" s="212" t="s">
        <v>2296</v>
      </c>
      <c r="H58" s="213">
        <v>965</v>
      </c>
      <c r="I58" s="144" t="s">
        <v>2280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/>
      <c r="P58" s="254">
        <f>+L58-O58</f>
        <v>1</v>
      </c>
      <c r="Q58" s="254"/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1791</v>
      </c>
      <c r="AI58" s="264" t="s">
        <v>2304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>
    <filterColumn colId="17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2026-04-09T04:12:54Z</dcterms:created>
  <dcterms:modified xsi:type="dcterms:W3CDTF">2026-10-07T02:41:17Z</dcterms:modified>
</cp:coreProperties>
</file>