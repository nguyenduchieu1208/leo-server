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0738BD92-912C-401C-A1FF-44C55DE173DF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'BTP-A320M4120'!$C$29:$AW$332</definedName>
    <definedName name="_xlnm._FilterDatabase" localSheetId="3" hidden="1">'BTP-A320M4130'!$C$29:$BA$556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250" i="6" l="1"/>
  <c r="AN27" i="6" s="1" a="1"/>
  <c r="AN27" i="6" s="1"/>
  <c r="AN264" i="6"/>
  <c r="AN319" i="6"/>
  <c r="AN28" i="6"/>
  <c r="AJ264" i="4"/>
  <c r="AJ27" i="4" a="1"/>
  <c r="AJ27" i="4" s="1"/>
  <c r="AJ28" i="4"/>
  <c r="AJ731" i="9"/>
  <c r="AH730" i="9"/>
  <c r="AJ730" i="9" s="1"/>
  <c r="AH731" i="9"/>
  <c r="AH732" i="9"/>
  <c r="AJ732" i="9" s="1"/>
  <c r="AH729" i="9"/>
  <c r="AJ729" i="9" s="1"/>
  <c r="AI27" i="4" a="1"/>
  <c r="AI27" i="4" s="1"/>
  <c r="AI28" i="4"/>
  <c r="AM27" i="6" a="1"/>
  <c r="AM27" i="6" s="1"/>
  <c r="AM28" i="6"/>
  <c r="AR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F27" i="6" l="1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P186" i="9" s="1"/>
  <c r="AP187" i="9" s="1"/>
  <c r="AP188" i="9" s="1"/>
  <c r="AQ185" i="9"/>
  <c r="AR185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L105" i="9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K149" i="9" s="1"/>
  <c r="AK150" i="9" s="1"/>
  <c r="AK151" i="9" s="1"/>
  <c r="AL148" i="9"/>
  <c r="AM148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 s="1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 s="1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G86" i="9" l="1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Q724" i="9"/>
  <c r="AL717" i="9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M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CF132" i="9" s="1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16" i="9"/>
  <c r="CF103" i="9"/>
  <c r="CF83" i="9"/>
  <c r="AQ440" i="9" l="1"/>
  <c r="AQ441" i="9" s="1"/>
  <c r="AR441" i="9" s="1"/>
  <c r="AQ397" i="9"/>
  <c r="AQ398" i="9" s="1"/>
  <c r="AR398" i="9" s="1"/>
  <c r="AH63" i="9"/>
  <c r="AH77" i="9"/>
  <c r="AQ618" i="9"/>
  <c r="AQ619" i="9" s="1"/>
  <c r="AQ620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R180" i="9" s="1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S458" i="6"/>
  <c r="AR458" i="6"/>
  <c r="AP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Q181" i="9" l="1"/>
  <c r="AR619" i="9"/>
  <c r="AR440" i="9"/>
  <c r="AR397" i="9"/>
  <c r="AR618" i="9"/>
  <c r="AM397" i="9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S549" i="6"/>
  <c r="AR549" i="6"/>
  <c r="L549" i="6"/>
  <c r="AS548" i="6"/>
  <c r="AR548" i="6"/>
  <c r="L548" i="6"/>
  <c r="AS547" i="6"/>
  <c r="AR547" i="6"/>
  <c r="L547" i="6"/>
  <c r="AS546" i="6"/>
  <c r="AR546" i="6"/>
  <c r="L546" i="6"/>
  <c r="AS545" i="6"/>
  <c r="AR545" i="6"/>
  <c r="L545" i="6"/>
  <c r="AS544" i="6"/>
  <c r="AR544" i="6"/>
  <c r="L544" i="6"/>
  <c r="AS543" i="6"/>
  <c r="AR543" i="6"/>
  <c r="L543" i="6"/>
  <c r="AS542" i="6"/>
  <c r="AR542" i="6"/>
  <c r="L542" i="6"/>
  <c r="AS541" i="6"/>
  <c r="AR541" i="6"/>
  <c r="L541" i="6"/>
  <c r="AS540" i="6"/>
  <c r="AR540" i="6"/>
  <c r="L540" i="6"/>
  <c r="AS539" i="6"/>
  <c r="AR539" i="6"/>
  <c r="L539" i="6"/>
  <c r="AS538" i="6"/>
  <c r="AR538" i="6"/>
  <c r="L538" i="6"/>
  <c r="AS537" i="6"/>
  <c r="AR537" i="6"/>
  <c r="L537" i="6"/>
  <c r="AS536" i="6"/>
  <c r="AR536" i="6"/>
  <c r="L536" i="6"/>
  <c r="AS535" i="6"/>
  <c r="AR535" i="6"/>
  <c r="L535" i="6"/>
  <c r="AS534" i="6"/>
  <c r="AR534" i="6"/>
  <c r="L534" i="6"/>
  <c r="M534" i="6" s="1"/>
  <c r="AS533" i="6"/>
  <c r="AR533" i="6"/>
  <c r="L533" i="6"/>
  <c r="M533" i="6" s="1"/>
  <c r="AS532" i="6"/>
  <c r="AR532" i="6"/>
  <c r="L532" i="6"/>
  <c r="M532" i="6" s="1"/>
  <c r="AS531" i="6"/>
  <c r="AR531" i="6"/>
  <c r="L531" i="6"/>
  <c r="M531" i="6" s="1"/>
  <c r="AS530" i="6"/>
  <c r="AR530" i="6"/>
  <c r="L530" i="6"/>
  <c r="M530" i="6" s="1"/>
  <c r="AS529" i="6"/>
  <c r="AR529" i="6"/>
  <c r="L529" i="6"/>
  <c r="M529" i="6" s="1"/>
  <c r="AS528" i="6"/>
  <c r="AR528" i="6"/>
  <c r="L528" i="6"/>
  <c r="M528" i="6" s="1"/>
  <c r="AS527" i="6"/>
  <c r="AR527" i="6"/>
  <c r="L527" i="6"/>
  <c r="AS526" i="6"/>
  <c r="AR526" i="6"/>
  <c r="L526" i="6"/>
  <c r="AS525" i="6"/>
  <c r="AR525" i="6"/>
  <c r="L525" i="6"/>
  <c r="M525" i="6" s="1"/>
  <c r="AS524" i="6"/>
  <c r="AR524" i="6"/>
  <c r="L524" i="6"/>
  <c r="M524" i="6" s="1"/>
  <c r="AS523" i="6"/>
  <c r="AR523" i="6"/>
  <c r="L523" i="6"/>
  <c r="M523" i="6" s="1"/>
  <c r="AS522" i="6"/>
  <c r="AR522" i="6"/>
  <c r="L522" i="6"/>
  <c r="M522" i="6" s="1"/>
  <c r="AS521" i="6"/>
  <c r="AR521" i="6"/>
  <c r="L521" i="6"/>
  <c r="M521" i="6" s="1"/>
  <c r="AS520" i="6"/>
  <c r="AR520" i="6"/>
  <c r="L520" i="6"/>
  <c r="M520" i="6" s="1"/>
  <c r="AS519" i="6"/>
  <c r="AR519" i="6"/>
  <c r="L519" i="6"/>
  <c r="M519" i="6" s="1"/>
  <c r="AS518" i="6"/>
  <c r="AR518" i="6"/>
  <c r="L518" i="6"/>
  <c r="M518" i="6" s="1"/>
  <c r="AS517" i="6"/>
  <c r="AR517" i="6"/>
  <c r="L517" i="6"/>
  <c r="AS516" i="6"/>
  <c r="AR516" i="6"/>
  <c r="L516" i="6"/>
  <c r="M516" i="6" s="1"/>
  <c r="AS515" i="6"/>
  <c r="AR515" i="6"/>
  <c r="L515" i="6"/>
  <c r="AS514" i="6"/>
  <c r="AR514" i="6"/>
  <c r="L514" i="6"/>
  <c r="AS513" i="6"/>
  <c r="AR513" i="6"/>
  <c r="L513" i="6"/>
  <c r="AS512" i="6"/>
  <c r="AR512" i="6"/>
  <c r="L512" i="6"/>
  <c r="AS511" i="6"/>
  <c r="AR511" i="6"/>
  <c r="L511" i="6"/>
  <c r="AS510" i="6"/>
  <c r="AR510" i="6"/>
  <c r="L510" i="6"/>
  <c r="AS509" i="6"/>
  <c r="AR509" i="6"/>
  <c r="L509" i="6"/>
  <c r="AS508" i="6"/>
  <c r="AR508" i="6"/>
  <c r="L508" i="6"/>
  <c r="AS507" i="6"/>
  <c r="AR507" i="6"/>
  <c r="L507" i="6"/>
  <c r="AS506" i="6"/>
  <c r="AR506" i="6"/>
  <c r="L506" i="6"/>
  <c r="AS505" i="6"/>
  <c r="AR505" i="6"/>
  <c r="L505" i="6"/>
  <c r="AS504" i="6"/>
  <c r="AR504" i="6"/>
  <c r="L504" i="6"/>
  <c r="AS503" i="6"/>
  <c r="AR503" i="6"/>
  <c r="L503" i="6"/>
  <c r="AS502" i="6"/>
  <c r="AR502" i="6"/>
  <c r="L502" i="6"/>
  <c r="AS501" i="6"/>
  <c r="AR501" i="6"/>
  <c r="L501" i="6"/>
  <c r="M501" i="6" s="1"/>
  <c r="AS500" i="6"/>
  <c r="AR500" i="6"/>
  <c r="L500" i="6"/>
  <c r="M500" i="6" s="1"/>
  <c r="AS499" i="6"/>
  <c r="AR499" i="6"/>
  <c r="L499" i="6"/>
  <c r="M499" i="6" s="1"/>
  <c r="AS498" i="6"/>
  <c r="AR498" i="6"/>
  <c r="L498" i="6"/>
  <c r="M498" i="6" s="1"/>
  <c r="AS497" i="6"/>
  <c r="AR497" i="6"/>
  <c r="L497" i="6"/>
  <c r="M497" i="6" s="1"/>
  <c r="AS496" i="6"/>
  <c r="AR496" i="6"/>
  <c r="L496" i="6"/>
  <c r="AS495" i="6"/>
  <c r="AR495" i="6"/>
  <c r="L495" i="6"/>
  <c r="AS494" i="6"/>
  <c r="AR494" i="6"/>
  <c r="L494" i="6"/>
  <c r="AS493" i="6"/>
  <c r="AR493" i="6"/>
  <c r="L493" i="6"/>
  <c r="M493" i="6" s="1"/>
  <c r="AS492" i="6"/>
  <c r="AR492" i="6"/>
  <c r="L492" i="6"/>
  <c r="M492" i="6" s="1"/>
  <c r="AS491" i="6"/>
  <c r="AR491" i="6"/>
  <c r="L491" i="6"/>
  <c r="M491" i="6" s="1"/>
  <c r="AS490" i="6"/>
  <c r="AR490" i="6"/>
  <c r="L490" i="6"/>
  <c r="M490" i="6" s="1"/>
  <c r="AS489" i="6"/>
  <c r="AR489" i="6"/>
  <c r="L489" i="6"/>
  <c r="M489" i="6" s="1"/>
  <c r="AS488" i="6"/>
  <c r="AR488" i="6"/>
  <c r="L488" i="6"/>
  <c r="M488" i="6" s="1"/>
  <c r="AS487" i="6"/>
  <c r="AR487" i="6"/>
  <c r="L487" i="6"/>
  <c r="M487" i="6" s="1"/>
  <c r="AS486" i="6"/>
  <c r="AR486" i="6"/>
  <c r="L486" i="6"/>
  <c r="M486" i="6" s="1"/>
  <c r="AS485" i="6"/>
  <c r="AR485" i="6"/>
  <c r="L485" i="6"/>
  <c r="AS484" i="6"/>
  <c r="AR484" i="6"/>
  <c r="L484" i="6"/>
  <c r="M484" i="6" s="1"/>
  <c r="AS483" i="6"/>
  <c r="AR483" i="6"/>
  <c r="L483" i="6"/>
  <c r="AS482" i="6"/>
  <c r="AR482" i="6"/>
  <c r="L482" i="6"/>
  <c r="AS481" i="6"/>
  <c r="AR481" i="6"/>
  <c r="L481" i="6"/>
  <c r="AS480" i="6"/>
  <c r="AR480" i="6"/>
  <c r="L480" i="6"/>
  <c r="AS479" i="6"/>
  <c r="AR479" i="6"/>
  <c r="L479" i="6"/>
  <c r="AS478" i="6"/>
  <c r="AR478" i="6"/>
  <c r="L478" i="6"/>
  <c r="AS477" i="6"/>
  <c r="AR477" i="6"/>
  <c r="L477" i="6"/>
  <c r="AS476" i="6"/>
  <c r="AR476" i="6"/>
  <c r="L476" i="6"/>
  <c r="AS475" i="6"/>
  <c r="AR475" i="6"/>
  <c r="L475" i="6"/>
  <c r="AS474" i="6"/>
  <c r="AR474" i="6"/>
  <c r="L474" i="6"/>
  <c r="AS473" i="6"/>
  <c r="AR473" i="6"/>
  <c r="L473" i="6"/>
  <c r="AS472" i="6"/>
  <c r="AR472" i="6"/>
  <c r="L472" i="6"/>
  <c r="AS471" i="6"/>
  <c r="AR471" i="6"/>
  <c r="L471" i="6"/>
  <c r="AS470" i="6"/>
  <c r="AR470" i="6"/>
  <c r="L470" i="6"/>
  <c r="AS469" i="6"/>
  <c r="AR469" i="6"/>
  <c r="L469" i="6"/>
  <c r="AS468" i="6"/>
  <c r="AR468" i="6"/>
  <c r="L468" i="6"/>
  <c r="AS467" i="6"/>
  <c r="AR467" i="6"/>
  <c r="L467" i="6"/>
  <c r="AS466" i="6"/>
  <c r="AR466" i="6"/>
  <c r="L466" i="6"/>
  <c r="AS465" i="6"/>
  <c r="AR465" i="6"/>
  <c r="L465" i="6"/>
  <c r="M465" i="6" s="1"/>
  <c r="AS464" i="6"/>
  <c r="AR464" i="6"/>
  <c r="L464" i="6"/>
  <c r="M464" i="6" s="1"/>
  <c r="AS463" i="6"/>
  <c r="AR463" i="6"/>
  <c r="L463" i="6"/>
  <c r="M463" i="6" s="1"/>
  <c r="AS462" i="6"/>
  <c r="AR462" i="6"/>
  <c r="L462" i="6"/>
  <c r="M462" i="6" s="1"/>
  <c r="AS461" i="6"/>
  <c r="AR461" i="6"/>
  <c r="L461" i="6"/>
  <c r="M461" i="6" s="1"/>
  <c r="AS460" i="6"/>
  <c r="AR460" i="6"/>
  <c r="L460" i="6"/>
  <c r="AS459" i="6"/>
  <c r="AR459" i="6"/>
  <c r="L459" i="6"/>
  <c r="AS457" i="6"/>
  <c r="AR457" i="6"/>
  <c r="L457" i="6"/>
  <c r="M457" i="6" s="1"/>
  <c r="AS456" i="6"/>
  <c r="AR456" i="6"/>
  <c r="L456" i="6"/>
  <c r="M456" i="6" s="1"/>
  <c r="AS455" i="6"/>
  <c r="AR455" i="6"/>
  <c r="L455" i="6"/>
  <c r="M455" i="6" s="1"/>
  <c r="AS454" i="6"/>
  <c r="AR454" i="6"/>
  <c r="L454" i="6"/>
  <c r="AS453" i="6"/>
  <c r="AR453" i="6"/>
  <c r="L453" i="6"/>
  <c r="M453" i="6" s="1"/>
  <c r="AS452" i="6"/>
  <c r="AR452" i="6"/>
  <c r="L452" i="6"/>
  <c r="M452" i="6" s="1"/>
  <c r="AS451" i="6"/>
  <c r="AR451" i="6"/>
  <c r="L451" i="6"/>
  <c r="M451" i="6" s="1"/>
  <c r="AS450" i="6"/>
  <c r="AR450" i="6"/>
  <c r="L450" i="6"/>
  <c r="M450" i="6" s="1"/>
  <c r="AS449" i="6"/>
  <c r="AR449" i="6"/>
  <c r="L449" i="6"/>
  <c r="AS448" i="6"/>
  <c r="AR448" i="6"/>
  <c r="L448" i="6"/>
  <c r="M448" i="6" s="1"/>
  <c r="AS447" i="6"/>
  <c r="AR447" i="6"/>
  <c r="L447" i="6"/>
  <c r="M447" i="6" s="1"/>
  <c r="AS446" i="6"/>
  <c r="AR446" i="6"/>
  <c r="L446" i="6"/>
  <c r="M446" i="6" s="1"/>
  <c r="AS445" i="6"/>
  <c r="AR445" i="6"/>
  <c r="L445" i="6"/>
  <c r="M445" i="6" s="1"/>
  <c r="AS444" i="6"/>
  <c r="AR444" i="6"/>
  <c r="L444" i="6"/>
  <c r="M444" i="6" s="1"/>
  <c r="AS443" i="6"/>
  <c r="AR443" i="6"/>
  <c r="L443" i="6"/>
  <c r="AS442" i="6"/>
  <c r="AR442" i="6"/>
  <c r="L442" i="6"/>
  <c r="M442" i="6" s="1"/>
  <c r="AS441" i="6"/>
  <c r="AR441" i="6"/>
  <c r="L441" i="6"/>
  <c r="AS440" i="6"/>
  <c r="AR440" i="6"/>
  <c r="L440" i="6"/>
  <c r="AS439" i="6"/>
  <c r="AR439" i="6"/>
  <c r="L439" i="6"/>
  <c r="AS438" i="6"/>
  <c r="AR438" i="6"/>
  <c r="L438" i="6"/>
  <c r="AS437" i="6"/>
  <c r="AR437" i="6"/>
  <c r="L437" i="6"/>
  <c r="AS436" i="6"/>
  <c r="AR436" i="6"/>
  <c r="L436" i="6"/>
  <c r="AS435" i="6"/>
  <c r="AR435" i="6"/>
  <c r="L435" i="6"/>
  <c r="AS434" i="6"/>
  <c r="L434" i="6"/>
  <c r="AS433" i="6"/>
  <c r="AR433" i="6"/>
  <c r="L433" i="6"/>
  <c r="AS432" i="6"/>
  <c r="AR432" i="6"/>
  <c r="L432" i="6"/>
  <c r="AS431" i="6"/>
  <c r="AR431" i="6"/>
  <c r="L431" i="6"/>
  <c r="AS430" i="6"/>
  <c r="AR430" i="6"/>
  <c r="L430" i="6"/>
  <c r="AS429" i="6"/>
  <c r="AR429" i="6"/>
  <c r="L429" i="6"/>
  <c r="AS428" i="6"/>
  <c r="AR428" i="6"/>
  <c r="L428" i="6"/>
  <c r="AS427" i="6"/>
  <c r="AR427" i="6"/>
  <c r="L427" i="6"/>
  <c r="AS426" i="6"/>
  <c r="AR426" i="6"/>
  <c r="L426" i="6"/>
  <c r="M426" i="6" s="1"/>
  <c r="AS425" i="6"/>
  <c r="AR425" i="6"/>
  <c r="L425" i="6"/>
  <c r="M425" i="6" s="1"/>
  <c r="AS424" i="6"/>
  <c r="AR424" i="6"/>
  <c r="L424" i="6"/>
  <c r="M424" i="6" s="1"/>
  <c r="AS423" i="6"/>
  <c r="AR423" i="6"/>
  <c r="L423" i="6"/>
  <c r="M423" i="6" s="1"/>
  <c r="AS422" i="6"/>
  <c r="AR422" i="6"/>
  <c r="L422" i="6"/>
  <c r="M422" i="6" s="1"/>
  <c r="AS421" i="6"/>
  <c r="AR421" i="6"/>
  <c r="L421" i="6"/>
  <c r="M421" i="6" s="1"/>
  <c r="AS420" i="6"/>
  <c r="AR420" i="6"/>
  <c r="L420" i="6"/>
  <c r="M420" i="6" s="1"/>
  <c r="AS419" i="6"/>
  <c r="AR419" i="6"/>
  <c r="L419" i="6"/>
  <c r="M419" i="6" s="1"/>
  <c r="AS418" i="6"/>
  <c r="AR418" i="6"/>
  <c r="L418" i="6"/>
  <c r="M418" i="6" s="1"/>
  <c r="AS417" i="6"/>
  <c r="AR417" i="6"/>
  <c r="L417" i="6"/>
  <c r="M417" i="6" s="1"/>
  <c r="AS416" i="6"/>
  <c r="AR416" i="6"/>
  <c r="L416" i="6"/>
  <c r="M416" i="6" s="1"/>
  <c r="AS415" i="6"/>
  <c r="AR415" i="6"/>
  <c r="L415" i="6"/>
  <c r="M415" i="6" s="1"/>
  <c r="AS414" i="6"/>
  <c r="AR414" i="6"/>
  <c r="L414" i="6"/>
  <c r="M414" i="6" s="1"/>
  <c r="AS413" i="6"/>
  <c r="AR413" i="6"/>
  <c r="L413" i="6"/>
  <c r="M413" i="6" s="1"/>
  <c r="AS412" i="6"/>
  <c r="AR412" i="6"/>
  <c r="L412" i="6"/>
  <c r="AS411" i="6"/>
  <c r="AR411" i="6"/>
  <c r="L411" i="6"/>
  <c r="AS410" i="6"/>
  <c r="AR410" i="6"/>
  <c r="L410" i="6"/>
  <c r="AS409" i="6"/>
  <c r="AR409" i="6"/>
  <c r="L409" i="6"/>
  <c r="M409" i="6" s="1"/>
  <c r="AS408" i="6"/>
  <c r="AR408" i="6"/>
  <c r="L408" i="6"/>
  <c r="AS407" i="6"/>
  <c r="AR407" i="6"/>
  <c r="L407" i="6"/>
  <c r="AS406" i="6"/>
  <c r="AR406" i="6"/>
  <c r="L406" i="6"/>
  <c r="AS405" i="6"/>
  <c r="AR405" i="6"/>
  <c r="L405" i="6"/>
  <c r="AS404" i="6"/>
  <c r="AR404" i="6"/>
  <c r="L404" i="6"/>
  <c r="AS403" i="6"/>
  <c r="AR403" i="6"/>
  <c r="L403" i="6"/>
  <c r="AS402" i="6"/>
  <c r="AR402" i="6"/>
  <c r="L402" i="6"/>
  <c r="AS401" i="6"/>
  <c r="AR401" i="6"/>
  <c r="L401" i="6"/>
  <c r="AS400" i="6"/>
  <c r="AR400" i="6"/>
  <c r="L400" i="6"/>
  <c r="AS399" i="6"/>
  <c r="AR399" i="6"/>
  <c r="L399" i="6"/>
  <c r="AS398" i="6"/>
  <c r="AR398" i="6"/>
  <c r="L398" i="6"/>
  <c r="AS397" i="6"/>
  <c r="AR397" i="6"/>
  <c r="L397" i="6"/>
  <c r="AS396" i="6"/>
  <c r="AR396" i="6"/>
  <c r="L396" i="6"/>
  <c r="AS395" i="6"/>
  <c r="AR395" i="6"/>
  <c r="L395" i="6"/>
  <c r="AS394" i="6"/>
  <c r="AR394" i="6"/>
  <c r="L394" i="6"/>
  <c r="AS393" i="6"/>
  <c r="AR393" i="6"/>
  <c r="L393" i="6"/>
  <c r="AS392" i="6"/>
  <c r="AR392" i="6"/>
  <c r="L392" i="6"/>
  <c r="AS391" i="6"/>
  <c r="AR391" i="6"/>
  <c r="L391" i="6"/>
  <c r="AS390" i="6"/>
  <c r="AR390" i="6"/>
  <c r="L390" i="6"/>
  <c r="AS389" i="6"/>
  <c r="AR389" i="6"/>
  <c r="L389" i="6"/>
  <c r="AS388" i="6"/>
  <c r="AR388" i="6"/>
  <c r="L388" i="6"/>
  <c r="AS387" i="6"/>
  <c r="AR387" i="6"/>
  <c r="L387" i="6"/>
  <c r="AS386" i="6"/>
  <c r="AR386" i="6"/>
  <c r="L386" i="6"/>
  <c r="AS385" i="6"/>
  <c r="AR385" i="6"/>
  <c r="L385" i="6"/>
  <c r="AS384" i="6"/>
  <c r="AR384" i="6"/>
  <c r="L384" i="6"/>
  <c r="AS383" i="6"/>
  <c r="AR383" i="6"/>
  <c r="L383" i="6"/>
  <c r="AS382" i="6"/>
  <c r="AR382" i="6"/>
  <c r="L382" i="6"/>
  <c r="AS381" i="6"/>
  <c r="AR381" i="6"/>
  <c r="L381" i="6"/>
  <c r="AS380" i="6"/>
  <c r="AR380" i="6"/>
  <c r="L380" i="6"/>
  <c r="AS379" i="6"/>
  <c r="AR379" i="6"/>
  <c r="L379" i="6"/>
  <c r="AS378" i="6"/>
  <c r="AR378" i="6"/>
  <c r="L378" i="6"/>
  <c r="AS377" i="6"/>
  <c r="AR377" i="6"/>
  <c r="L377" i="6"/>
  <c r="AS376" i="6"/>
  <c r="AR376" i="6"/>
  <c r="L376" i="6"/>
  <c r="AS375" i="6"/>
  <c r="AR375" i="6"/>
  <c r="L375" i="6"/>
  <c r="AS374" i="6"/>
  <c r="AR374" i="6"/>
  <c r="L374" i="6"/>
  <c r="AS373" i="6"/>
  <c r="AR373" i="6"/>
  <c r="L373" i="6"/>
  <c r="AS372" i="6"/>
  <c r="AR372" i="6"/>
  <c r="L372" i="6"/>
  <c r="AS371" i="6"/>
  <c r="AR371" i="6"/>
  <c r="L371" i="6"/>
  <c r="AS370" i="6"/>
  <c r="AR370" i="6"/>
  <c r="L370" i="6"/>
  <c r="M370" i="6" s="1"/>
  <c r="AS369" i="6"/>
  <c r="AR369" i="6"/>
  <c r="L369" i="6"/>
  <c r="M369" i="6" s="1"/>
  <c r="AS368" i="6"/>
  <c r="AR368" i="6"/>
  <c r="L368" i="6"/>
  <c r="M368" i="6" s="1"/>
  <c r="AS367" i="6"/>
  <c r="AR367" i="6"/>
  <c r="L367" i="6"/>
  <c r="AS366" i="6"/>
  <c r="AR366" i="6"/>
  <c r="L366" i="6"/>
  <c r="M366" i="6" s="1"/>
  <c r="AS365" i="6"/>
  <c r="AR365" i="6"/>
  <c r="L365" i="6"/>
  <c r="M365" i="6" s="1"/>
  <c r="AS364" i="6"/>
  <c r="AR364" i="6"/>
  <c r="L364" i="6"/>
  <c r="M364" i="6" s="1"/>
  <c r="AS363" i="6"/>
  <c r="AR363" i="6"/>
  <c r="L363" i="6"/>
  <c r="M363" i="6" s="1"/>
  <c r="AS362" i="6"/>
  <c r="AR362" i="6"/>
  <c r="L362" i="6"/>
  <c r="M362" i="6" s="1"/>
  <c r="AS361" i="6"/>
  <c r="AR361" i="6"/>
  <c r="L361" i="6"/>
  <c r="M361" i="6" s="1"/>
  <c r="AS360" i="6"/>
  <c r="AR360" i="6"/>
  <c r="L360" i="6"/>
  <c r="AS359" i="6"/>
  <c r="AR359" i="6"/>
  <c r="L359" i="6"/>
  <c r="M359" i="6" s="1"/>
  <c r="AS358" i="6"/>
  <c r="AR358" i="6"/>
  <c r="L358" i="6"/>
  <c r="M358" i="6" s="1"/>
  <c r="AS357" i="6"/>
  <c r="AR357" i="6"/>
  <c r="L357" i="6"/>
  <c r="M357" i="6" s="1"/>
  <c r="AS356" i="6"/>
  <c r="AR356" i="6"/>
  <c r="L356" i="6"/>
  <c r="M356" i="6" s="1"/>
  <c r="AS355" i="6"/>
  <c r="AR355" i="6"/>
  <c r="L355" i="6"/>
  <c r="M355" i="6" s="1"/>
  <c r="AS354" i="6"/>
  <c r="AR354" i="6"/>
  <c r="L354" i="6"/>
  <c r="M354" i="6" s="1"/>
  <c r="AS353" i="6"/>
  <c r="AR353" i="6"/>
  <c r="L353" i="6"/>
  <c r="M353" i="6" s="1"/>
  <c r="AS352" i="6"/>
  <c r="AR352" i="6"/>
  <c r="L352" i="6"/>
  <c r="M352" i="6" s="1"/>
  <c r="AS351" i="6"/>
  <c r="AR351" i="6"/>
  <c r="L351" i="6"/>
  <c r="M351" i="6" s="1"/>
  <c r="AS350" i="6"/>
  <c r="AR350" i="6"/>
  <c r="L350" i="6"/>
  <c r="M350" i="6" s="1"/>
  <c r="AS349" i="6"/>
  <c r="AR349" i="6"/>
  <c r="L349" i="6"/>
  <c r="M349" i="6" s="1"/>
  <c r="AS348" i="6"/>
  <c r="AR348" i="6"/>
  <c r="L348" i="6"/>
  <c r="M348" i="6" s="1"/>
  <c r="AS347" i="6"/>
  <c r="AR347" i="6"/>
  <c r="L347" i="6"/>
  <c r="AS346" i="6"/>
  <c r="AR346" i="6"/>
  <c r="L346" i="6"/>
  <c r="M346" i="6" s="1"/>
  <c r="AS345" i="6"/>
  <c r="AR345" i="6"/>
  <c r="L345" i="6"/>
  <c r="M345" i="6" s="1"/>
  <c r="AS344" i="6"/>
  <c r="AR344" i="6"/>
  <c r="L344" i="6"/>
  <c r="M344" i="6" s="1"/>
  <c r="AS343" i="6"/>
  <c r="AR343" i="6"/>
  <c r="L343" i="6"/>
  <c r="M343" i="6" s="1"/>
  <c r="AS342" i="6"/>
  <c r="AR342" i="6"/>
  <c r="L342" i="6"/>
  <c r="M342" i="6" s="1"/>
  <c r="AS341" i="6"/>
  <c r="AR341" i="6"/>
  <c r="L341" i="6"/>
  <c r="AS340" i="6"/>
  <c r="AR340" i="6"/>
  <c r="L340" i="6"/>
  <c r="M340" i="6" s="1"/>
  <c r="AS339" i="6"/>
  <c r="AR339" i="6"/>
  <c r="L339" i="6"/>
  <c r="M339" i="6" s="1"/>
  <c r="AS338" i="6"/>
  <c r="AR338" i="6"/>
  <c r="L338" i="6"/>
  <c r="M338" i="6" s="1"/>
  <c r="AS337" i="6"/>
  <c r="AR337" i="6"/>
  <c r="L337" i="6"/>
  <c r="M337" i="6" s="1"/>
  <c r="AS336" i="6"/>
  <c r="AR336" i="6"/>
  <c r="L336" i="6"/>
  <c r="AS335" i="6"/>
  <c r="AR335" i="6"/>
  <c r="L335" i="6"/>
  <c r="AS334" i="6"/>
  <c r="AR334" i="6"/>
  <c r="L334" i="6"/>
  <c r="M334" i="6" s="1"/>
  <c r="AS333" i="6"/>
  <c r="AR333" i="6"/>
  <c r="L333" i="6"/>
  <c r="M333" i="6" s="1"/>
  <c r="AS332" i="6"/>
  <c r="AR332" i="6"/>
  <c r="L332" i="6"/>
  <c r="M332" i="6" s="1"/>
  <c r="AS331" i="6"/>
  <c r="AR331" i="6"/>
  <c r="L331" i="6"/>
  <c r="AS330" i="6"/>
  <c r="AR330" i="6"/>
  <c r="L330" i="6"/>
  <c r="AS329" i="6"/>
  <c r="AR329" i="6"/>
  <c r="L329" i="6"/>
  <c r="AS328" i="6"/>
  <c r="AR328" i="6"/>
  <c r="L328" i="6"/>
  <c r="M328" i="6" s="1"/>
  <c r="AS327" i="6"/>
  <c r="AR327" i="6"/>
  <c r="L327" i="6"/>
  <c r="AS326" i="6"/>
  <c r="AR326" i="6"/>
  <c r="L326" i="6"/>
  <c r="AS325" i="6"/>
  <c r="AR325" i="6"/>
  <c r="L325" i="6"/>
  <c r="AS324" i="6"/>
  <c r="AR324" i="6"/>
  <c r="L324" i="6"/>
  <c r="AS323" i="6"/>
  <c r="AR323" i="6"/>
  <c r="L323" i="6"/>
  <c r="AS322" i="6"/>
  <c r="AR322" i="6"/>
  <c r="L322" i="6"/>
  <c r="AS321" i="6"/>
  <c r="AR321" i="6"/>
  <c r="L321" i="6"/>
  <c r="AS320" i="6"/>
  <c r="AR320" i="6"/>
  <c r="L320" i="6"/>
  <c r="AS319" i="6"/>
  <c r="AR319" i="6"/>
  <c r="L319" i="6"/>
  <c r="AS318" i="6"/>
  <c r="AR318" i="6"/>
  <c r="L318" i="6"/>
  <c r="AS317" i="6"/>
  <c r="AR317" i="6"/>
  <c r="L317" i="6"/>
  <c r="AS316" i="6"/>
  <c r="AR316" i="6"/>
  <c r="L316" i="6"/>
  <c r="AS315" i="6"/>
  <c r="AR315" i="6"/>
  <c r="L315" i="6"/>
  <c r="AS314" i="6"/>
  <c r="AR314" i="6"/>
  <c r="L314" i="6"/>
  <c r="AS313" i="6"/>
  <c r="AR313" i="6"/>
  <c r="L313" i="6"/>
  <c r="AS312" i="6"/>
  <c r="AR312" i="6"/>
  <c r="L312" i="6"/>
  <c r="AS311" i="6"/>
  <c r="AR311" i="6"/>
  <c r="L311" i="6"/>
  <c r="AS310" i="6"/>
  <c r="AR310" i="6"/>
  <c r="L310" i="6"/>
  <c r="AS309" i="6"/>
  <c r="AR309" i="6"/>
  <c r="L309" i="6"/>
  <c r="AS308" i="6"/>
  <c r="AR308" i="6"/>
  <c r="L308" i="6"/>
  <c r="AS307" i="6"/>
  <c r="AR307" i="6"/>
  <c r="L307" i="6"/>
  <c r="AS306" i="6"/>
  <c r="AR306" i="6"/>
  <c r="L306" i="6"/>
  <c r="AS305" i="6"/>
  <c r="AR305" i="6"/>
  <c r="L305" i="6"/>
  <c r="AS304" i="6"/>
  <c r="AR304" i="6"/>
  <c r="L304" i="6"/>
  <c r="AS303" i="6"/>
  <c r="AR303" i="6"/>
  <c r="L303" i="6"/>
  <c r="AS302" i="6"/>
  <c r="AR302" i="6"/>
  <c r="L302" i="6"/>
  <c r="AS301" i="6"/>
  <c r="AR301" i="6"/>
  <c r="L301" i="6"/>
  <c r="AS300" i="6"/>
  <c r="AR300" i="6"/>
  <c r="L300" i="6"/>
  <c r="AS299" i="6"/>
  <c r="AR299" i="6"/>
  <c r="L299" i="6"/>
  <c r="M299" i="6" s="1"/>
  <c r="AS298" i="6"/>
  <c r="AR298" i="6"/>
  <c r="L298" i="6"/>
  <c r="AS297" i="6"/>
  <c r="AR297" i="6"/>
  <c r="L297" i="6"/>
  <c r="AS296" i="6"/>
  <c r="AR296" i="6"/>
  <c r="L296" i="6"/>
  <c r="M296" i="6" s="1"/>
  <c r="AS295" i="6"/>
  <c r="AR295" i="6"/>
  <c r="L295" i="6"/>
  <c r="AS294" i="6"/>
  <c r="AR294" i="6"/>
  <c r="L294" i="6"/>
  <c r="M294" i="6" s="1"/>
  <c r="AS293" i="6"/>
  <c r="AR293" i="6"/>
  <c r="L293" i="6"/>
  <c r="M293" i="6" s="1"/>
  <c r="AS292" i="6"/>
  <c r="AR292" i="6"/>
  <c r="L292" i="6"/>
  <c r="M292" i="6" s="1"/>
  <c r="AS291" i="6"/>
  <c r="AR291" i="6"/>
  <c r="L291" i="6"/>
  <c r="M291" i="6" s="1"/>
  <c r="AS290" i="6"/>
  <c r="AR290" i="6"/>
  <c r="L290" i="6"/>
  <c r="M290" i="6" s="1"/>
  <c r="AS289" i="6"/>
  <c r="AR289" i="6"/>
  <c r="L289" i="6"/>
  <c r="AS288" i="6"/>
  <c r="AR288" i="6"/>
  <c r="L288" i="6"/>
  <c r="M288" i="6" s="1"/>
  <c r="AS287" i="6"/>
  <c r="AR287" i="6"/>
  <c r="L287" i="6"/>
  <c r="M287" i="6" s="1"/>
  <c r="AS286" i="6"/>
  <c r="AR286" i="6"/>
  <c r="L286" i="6"/>
  <c r="M286" i="6" s="1"/>
  <c r="AS285" i="6"/>
  <c r="AR285" i="6"/>
  <c r="L285" i="6"/>
  <c r="M285" i="6" s="1"/>
  <c r="AS284" i="6"/>
  <c r="AR284" i="6"/>
  <c r="L284" i="6"/>
  <c r="M284" i="6" s="1"/>
  <c r="AS283" i="6"/>
  <c r="AR283" i="6"/>
  <c r="L283" i="6"/>
  <c r="M283" i="6" s="1"/>
  <c r="AS282" i="6"/>
  <c r="AR282" i="6"/>
  <c r="L282" i="6"/>
  <c r="M282" i="6" s="1"/>
  <c r="AS281" i="6"/>
  <c r="AR281" i="6"/>
  <c r="L281" i="6"/>
  <c r="M281" i="6" s="1"/>
  <c r="AS280" i="6"/>
  <c r="AR280" i="6"/>
  <c r="L280" i="6"/>
  <c r="M280" i="6" s="1"/>
  <c r="AS279" i="6"/>
  <c r="AR279" i="6"/>
  <c r="L279" i="6"/>
  <c r="M279" i="6" s="1"/>
  <c r="AS278" i="6"/>
  <c r="AR278" i="6"/>
  <c r="L278" i="6"/>
  <c r="M278" i="6" s="1"/>
  <c r="AS277" i="6"/>
  <c r="AR277" i="6"/>
  <c r="L277" i="6"/>
  <c r="AS276" i="6"/>
  <c r="AR276" i="6"/>
  <c r="L276" i="6"/>
  <c r="M276" i="6" s="1"/>
  <c r="AS275" i="6"/>
  <c r="AR275" i="6"/>
  <c r="L275" i="6"/>
  <c r="M275" i="6" s="1"/>
  <c r="AS274" i="6"/>
  <c r="AR274" i="6"/>
  <c r="L274" i="6"/>
  <c r="M274" i="6" s="1"/>
  <c r="AS273" i="6"/>
  <c r="AR273" i="6"/>
  <c r="L273" i="6"/>
  <c r="M273" i="6" s="1"/>
  <c r="AS272" i="6"/>
  <c r="AR272" i="6"/>
  <c r="L272" i="6"/>
  <c r="M272" i="6" s="1"/>
  <c r="AS271" i="6"/>
  <c r="AR271" i="6"/>
  <c r="L271" i="6"/>
  <c r="M271" i="6" s="1"/>
  <c r="AS270" i="6"/>
  <c r="AR270" i="6"/>
  <c r="L270" i="6"/>
  <c r="M270" i="6" s="1"/>
  <c r="AS269" i="6"/>
  <c r="AR269" i="6"/>
  <c r="L269" i="6"/>
  <c r="AS268" i="6"/>
  <c r="AR268" i="6"/>
  <c r="L268" i="6"/>
  <c r="AS267" i="6"/>
  <c r="AR267" i="6"/>
  <c r="L267" i="6"/>
  <c r="AS266" i="6"/>
  <c r="AR266" i="6"/>
  <c r="L266" i="6"/>
  <c r="M266" i="6" s="1"/>
  <c r="AS265" i="6"/>
  <c r="AR265" i="6"/>
  <c r="L265" i="6"/>
  <c r="AS264" i="6"/>
  <c r="AR264" i="6"/>
  <c r="L264" i="6"/>
  <c r="AS263" i="6"/>
  <c r="AR263" i="6"/>
  <c r="L263" i="6"/>
  <c r="AS262" i="6"/>
  <c r="AR262" i="6"/>
  <c r="L262" i="6"/>
  <c r="M262" i="6" s="1"/>
  <c r="AS261" i="6"/>
  <c r="AR261" i="6"/>
  <c r="L261" i="6"/>
  <c r="AS260" i="6"/>
  <c r="AR260" i="6"/>
  <c r="L260" i="6"/>
  <c r="AS259" i="6"/>
  <c r="AR259" i="6"/>
  <c r="L259" i="6"/>
  <c r="AS258" i="6"/>
  <c r="AR258" i="6"/>
  <c r="L258" i="6"/>
  <c r="AS257" i="6"/>
  <c r="AR257" i="6"/>
  <c r="L257" i="6"/>
  <c r="AS256" i="6"/>
  <c r="AR256" i="6"/>
  <c r="L256" i="6"/>
  <c r="AS255" i="6"/>
  <c r="AR255" i="6"/>
  <c r="L255" i="6"/>
  <c r="AS254" i="6"/>
  <c r="AR254" i="6"/>
  <c r="L254" i="6"/>
  <c r="AS253" i="6"/>
  <c r="AR253" i="6"/>
  <c r="L253" i="6"/>
  <c r="AS252" i="6"/>
  <c r="AR252" i="6"/>
  <c r="L252" i="6"/>
  <c r="M252" i="6" s="1"/>
  <c r="AS251" i="6"/>
  <c r="AR251" i="6"/>
  <c r="L251" i="6"/>
  <c r="AS250" i="6"/>
  <c r="AR250" i="6"/>
  <c r="L250" i="6"/>
  <c r="AS249" i="6"/>
  <c r="AR249" i="6"/>
  <c r="L249" i="6"/>
  <c r="AS248" i="6"/>
  <c r="AR248" i="6"/>
  <c r="L248" i="6"/>
  <c r="AS247" i="6"/>
  <c r="AR247" i="6"/>
  <c r="L247" i="6"/>
  <c r="AS246" i="6"/>
  <c r="AR246" i="6"/>
  <c r="L246" i="6"/>
  <c r="AS245" i="6"/>
  <c r="AR245" i="6"/>
  <c r="L245" i="6"/>
  <c r="AS244" i="6"/>
  <c r="AR244" i="6"/>
  <c r="L244" i="6"/>
  <c r="M244" i="6" s="1"/>
  <c r="AS243" i="6"/>
  <c r="AR243" i="6"/>
  <c r="L243" i="6"/>
  <c r="AS242" i="6"/>
  <c r="AR242" i="6"/>
  <c r="L242" i="6"/>
  <c r="AS241" i="6"/>
  <c r="AR241" i="6"/>
  <c r="L241" i="6"/>
  <c r="AS240" i="6"/>
  <c r="AR240" i="6"/>
  <c r="L240" i="6"/>
  <c r="AS239" i="6"/>
  <c r="AR239" i="6"/>
  <c r="L239" i="6"/>
  <c r="AS238" i="6"/>
  <c r="AR238" i="6"/>
  <c r="L238" i="6"/>
  <c r="AS237" i="6"/>
  <c r="AR237" i="6"/>
  <c r="L237" i="6"/>
  <c r="AS236" i="6"/>
  <c r="AR236" i="6"/>
  <c r="L236" i="6"/>
  <c r="AS235" i="6"/>
  <c r="AR235" i="6"/>
  <c r="L235" i="6"/>
  <c r="AS234" i="6"/>
  <c r="AR234" i="6"/>
  <c r="L234" i="6"/>
  <c r="AS233" i="6"/>
  <c r="AR233" i="6"/>
  <c r="L233" i="6"/>
  <c r="AS232" i="6"/>
  <c r="AR232" i="6"/>
  <c r="L232" i="6"/>
  <c r="AS231" i="6"/>
  <c r="AR231" i="6"/>
  <c r="L231" i="6"/>
  <c r="AS230" i="6"/>
  <c r="AR230" i="6"/>
  <c r="L230" i="6"/>
  <c r="AS229" i="6"/>
  <c r="AR229" i="6"/>
  <c r="L229" i="6"/>
  <c r="AS228" i="6"/>
  <c r="AR228" i="6"/>
  <c r="L228" i="6"/>
  <c r="AS227" i="6"/>
  <c r="AR227" i="6"/>
  <c r="L227" i="6"/>
  <c r="M227" i="6" s="1"/>
  <c r="AS226" i="6"/>
  <c r="AR226" i="6"/>
  <c r="L226" i="6"/>
  <c r="M226" i="6" s="1"/>
  <c r="AS225" i="6"/>
  <c r="AR225" i="6"/>
  <c r="L225" i="6"/>
  <c r="M225" i="6" s="1"/>
  <c r="AS224" i="6"/>
  <c r="AR224" i="6"/>
  <c r="L224" i="6"/>
  <c r="M224" i="6" s="1"/>
  <c r="AS223" i="6"/>
  <c r="AR223" i="6"/>
  <c r="L223" i="6"/>
  <c r="AS222" i="6"/>
  <c r="AR222" i="6"/>
  <c r="L222" i="6"/>
  <c r="AS221" i="6"/>
  <c r="AR221" i="6"/>
  <c r="L221" i="6"/>
  <c r="AS220" i="6"/>
  <c r="AR220" i="6"/>
  <c r="L220" i="6"/>
  <c r="M220" i="6" s="1"/>
  <c r="AS219" i="6"/>
  <c r="AR219" i="6"/>
  <c r="L219" i="6"/>
  <c r="AS218" i="6"/>
  <c r="AR218" i="6"/>
  <c r="L218" i="6"/>
  <c r="M218" i="6" s="1"/>
  <c r="AS217" i="6"/>
  <c r="AR217" i="6"/>
  <c r="L217" i="6"/>
  <c r="M217" i="6" s="1"/>
  <c r="AS216" i="6"/>
  <c r="AR216" i="6"/>
  <c r="L216" i="6"/>
  <c r="AS215" i="6"/>
  <c r="AR215" i="6"/>
  <c r="L215" i="6"/>
  <c r="AS214" i="6"/>
  <c r="AR214" i="6"/>
  <c r="L214" i="6"/>
  <c r="M214" i="6" s="1"/>
  <c r="AS213" i="6"/>
  <c r="AR213" i="6"/>
  <c r="L213" i="6"/>
  <c r="M213" i="6" s="1"/>
  <c r="AS212" i="6"/>
  <c r="AR212" i="6"/>
  <c r="L212" i="6"/>
  <c r="M212" i="6" s="1"/>
  <c r="AS211" i="6"/>
  <c r="AR211" i="6"/>
  <c r="L211" i="6"/>
  <c r="M211" i="6" s="1"/>
  <c r="AS210" i="6"/>
  <c r="AR210" i="6"/>
  <c r="L210" i="6"/>
  <c r="M210" i="6" s="1"/>
  <c r="AS209" i="6"/>
  <c r="AR209" i="6"/>
  <c r="L209" i="6"/>
  <c r="M209" i="6" s="1"/>
  <c r="AS208" i="6"/>
  <c r="AR208" i="6"/>
  <c r="L208" i="6"/>
  <c r="M208" i="6" s="1"/>
  <c r="AS207" i="6"/>
  <c r="AR207" i="6"/>
  <c r="L207" i="6"/>
  <c r="M207" i="6" s="1"/>
  <c r="AS206" i="6"/>
  <c r="AR206" i="6"/>
  <c r="L206" i="6"/>
  <c r="M206" i="6" s="1"/>
  <c r="AS205" i="6"/>
  <c r="AR205" i="6"/>
  <c r="L205" i="6"/>
  <c r="AS204" i="6"/>
  <c r="AR204" i="6"/>
  <c r="L204" i="6"/>
  <c r="M204" i="6" s="1"/>
  <c r="AS203" i="6"/>
  <c r="AR203" i="6"/>
  <c r="L203" i="6"/>
  <c r="AS202" i="6"/>
  <c r="AR202" i="6"/>
  <c r="L202" i="6"/>
  <c r="M202" i="6" s="1"/>
  <c r="AS201" i="6"/>
  <c r="AR201" i="6"/>
  <c r="L201" i="6"/>
  <c r="M201" i="6" s="1"/>
  <c r="AS200" i="6"/>
  <c r="AR200" i="6"/>
  <c r="L200" i="6"/>
  <c r="M200" i="6" s="1"/>
  <c r="AS199" i="6"/>
  <c r="AR199" i="6"/>
  <c r="L199" i="6"/>
  <c r="M199" i="6" s="1"/>
  <c r="AS198" i="6"/>
  <c r="AR198" i="6"/>
  <c r="L198" i="6"/>
  <c r="M198" i="6" s="1"/>
  <c r="AS197" i="6"/>
  <c r="AR197" i="6"/>
  <c r="L197" i="6"/>
  <c r="M197" i="6" s="1"/>
  <c r="AS196" i="6"/>
  <c r="AR196" i="6"/>
  <c r="L196" i="6"/>
  <c r="AS195" i="6"/>
  <c r="AR195" i="6"/>
  <c r="L195" i="6"/>
  <c r="AS194" i="6"/>
  <c r="AR194" i="6"/>
  <c r="L194" i="6"/>
  <c r="M194" i="6" s="1"/>
  <c r="AS193" i="6"/>
  <c r="AR193" i="6"/>
  <c r="L193" i="6"/>
  <c r="M193" i="6" s="1"/>
  <c r="AS192" i="6"/>
  <c r="AR192" i="6"/>
  <c r="L192" i="6"/>
  <c r="M192" i="6" s="1"/>
  <c r="AS191" i="6"/>
  <c r="AR191" i="6"/>
  <c r="L191" i="6"/>
  <c r="M191" i="6" s="1"/>
  <c r="AS190" i="6"/>
  <c r="AR190" i="6"/>
  <c r="L190" i="6"/>
  <c r="AS189" i="6"/>
  <c r="AR189" i="6"/>
  <c r="L189" i="6"/>
  <c r="AS188" i="6"/>
  <c r="AR188" i="6"/>
  <c r="L188" i="6"/>
  <c r="M188" i="6" s="1"/>
  <c r="AS187" i="6"/>
  <c r="AR187" i="6"/>
  <c r="L187" i="6"/>
  <c r="AS186" i="6"/>
  <c r="AR186" i="6"/>
  <c r="L186" i="6"/>
  <c r="AS185" i="6"/>
  <c r="AR185" i="6"/>
  <c r="L185" i="6"/>
  <c r="AS184" i="6"/>
  <c r="AR184" i="6"/>
  <c r="L184" i="6"/>
  <c r="AS183" i="6"/>
  <c r="AR183" i="6"/>
  <c r="L183" i="6"/>
  <c r="AS182" i="6"/>
  <c r="AR182" i="6"/>
  <c r="L182" i="6"/>
  <c r="AS181" i="6"/>
  <c r="AR181" i="6"/>
  <c r="L181" i="6"/>
  <c r="AS180" i="6"/>
  <c r="AR180" i="6"/>
  <c r="L180" i="6"/>
  <c r="AS179" i="6"/>
  <c r="AR179" i="6"/>
  <c r="L179" i="6"/>
  <c r="AS178" i="6"/>
  <c r="AR178" i="6"/>
  <c r="L178" i="6"/>
  <c r="AS177" i="6"/>
  <c r="AR177" i="6"/>
  <c r="L177" i="6"/>
  <c r="AS176" i="6"/>
  <c r="AR176" i="6"/>
  <c r="L176" i="6"/>
  <c r="AS175" i="6"/>
  <c r="AR175" i="6"/>
  <c r="L175" i="6"/>
  <c r="AS174" i="6"/>
  <c r="AR174" i="6"/>
  <c r="L174" i="6"/>
  <c r="AS173" i="6"/>
  <c r="AR173" i="6"/>
  <c r="L173" i="6"/>
  <c r="AS172" i="6"/>
  <c r="AR172" i="6"/>
  <c r="L172" i="6"/>
  <c r="AS171" i="6"/>
  <c r="AR171" i="6"/>
  <c r="L171" i="6"/>
  <c r="AS170" i="6"/>
  <c r="AR170" i="6"/>
  <c r="L170" i="6"/>
  <c r="AS169" i="6"/>
  <c r="AR169" i="6"/>
  <c r="L169" i="6"/>
  <c r="AS168" i="6"/>
  <c r="AR168" i="6"/>
  <c r="L168" i="6"/>
  <c r="AS167" i="6"/>
  <c r="AR167" i="6"/>
  <c r="L167" i="6"/>
  <c r="AS166" i="6"/>
  <c r="AR166" i="6"/>
  <c r="L166" i="6"/>
  <c r="AS165" i="6"/>
  <c r="AR165" i="6"/>
  <c r="L165" i="6"/>
  <c r="AS164" i="6"/>
  <c r="AR164" i="6"/>
  <c r="L164" i="6"/>
  <c r="AS163" i="6"/>
  <c r="AR163" i="6"/>
  <c r="L163" i="6"/>
  <c r="AS162" i="6"/>
  <c r="AR162" i="6"/>
  <c r="L162" i="6"/>
  <c r="AS161" i="6"/>
  <c r="AR161" i="6"/>
  <c r="L161" i="6"/>
  <c r="AS160" i="6"/>
  <c r="AR160" i="6"/>
  <c r="L160" i="6"/>
  <c r="AS159" i="6"/>
  <c r="AR159" i="6"/>
  <c r="L159" i="6"/>
  <c r="AS158" i="6"/>
  <c r="AR158" i="6"/>
  <c r="L158" i="6"/>
  <c r="AS157" i="6"/>
  <c r="AR157" i="6"/>
  <c r="L157" i="6"/>
  <c r="AS156" i="6"/>
  <c r="AR156" i="6"/>
  <c r="L156" i="6"/>
  <c r="AS155" i="6"/>
  <c r="AR155" i="6"/>
  <c r="L155" i="6"/>
  <c r="AS154" i="6"/>
  <c r="AR154" i="6"/>
  <c r="L154" i="6"/>
  <c r="AS153" i="6"/>
  <c r="AR153" i="6"/>
  <c r="L153" i="6"/>
  <c r="AS152" i="6"/>
  <c r="AR152" i="6"/>
  <c r="L152" i="6"/>
  <c r="AS151" i="6"/>
  <c r="AR151" i="6"/>
  <c r="L151" i="6"/>
  <c r="AS150" i="6"/>
  <c r="AR150" i="6"/>
  <c r="L150" i="6"/>
  <c r="AS149" i="6"/>
  <c r="AR149" i="6"/>
  <c r="L149" i="6"/>
  <c r="AS148" i="6"/>
  <c r="AR148" i="6"/>
  <c r="L148" i="6"/>
  <c r="AS147" i="6"/>
  <c r="AR147" i="6"/>
  <c r="L147" i="6"/>
  <c r="AS146" i="6"/>
  <c r="AR146" i="6"/>
  <c r="L146" i="6"/>
  <c r="AS145" i="6"/>
  <c r="AR145" i="6"/>
  <c r="L145" i="6"/>
  <c r="AS144" i="6"/>
  <c r="AR144" i="6"/>
  <c r="L144" i="6"/>
  <c r="AS143" i="6"/>
  <c r="AR143" i="6"/>
  <c r="L143" i="6"/>
  <c r="AS142" i="6"/>
  <c r="AR142" i="6"/>
  <c r="L142" i="6"/>
  <c r="AS141" i="6"/>
  <c r="AR141" i="6"/>
  <c r="L141" i="6"/>
  <c r="AS140" i="6"/>
  <c r="AR140" i="6"/>
  <c r="L140" i="6"/>
  <c r="AS139" i="6"/>
  <c r="AR139" i="6"/>
  <c r="L139" i="6"/>
  <c r="AS138" i="6"/>
  <c r="AR138" i="6"/>
  <c r="L138" i="6"/>
  <c r="AS137" i="6"/>
  <c r="AR137" i="6"/>
  <c r="L137" i="6"/>
  <c r="AS136" i="6"/>
  <c r="AR136" i="6"/>
  <c r="L136" i="6"/>
  <c r="AS135" i="6"/>
  <c r="AR135" i="6"/>
  <c r="L135" i="6"/>
  <c r="AS134" i="6"/>
  <c r="AR134" i="6"/>
  <c r="L134" i="6"/>
  <c r="AS133" i="6"/>
  <c r="AR133" i="6"/>
  <c r="L133" i="6"/>
  <c r="AS132" i="6"/>
  <c r="AR132" i="6"/>
  <c r="L132" i="6"/>
  <c r="AS131" i="6"/>
  <c r="AR131" i="6"/>
  <c r="L131" i="6"/>
  <c r="M131" i="6" s="1"/>
  <c r="AS130" i="6"/>
  <c r="AR130" i="6"/>
  <c r="L130" i="6"/>
  <c r="AS129" i="6"/>
  <c r="AR129" i="6"/>
  <c r="L129" i="6"/>
  <c r="AS128" i="6"/>
  <c r="AR128" i="6"/>
  <c r="L128" i="6"/>
  <c r="AS127" i="6"/>
  <c r="AR127" i="6"/>
  <c r="L127" i="6"/>
  <c r="AS126" i="6"/>
  <c r="AR126" i="6"/>
  <c r="L126" i="6"/>
  <c r="AS125" i="6"/>
  <c r="AR125" i="6"/>
  <c r="L125" i="6"/>
  <c r="AS124" i="6"/>
  <c r="AR124" i="6"/>
  <c r="L124" i="6"/>
  <c r="AS123" i="6"/>
  <c r="AR123" i="6"/>
  <c r="L123" i="6"/>
  <c r="AS122" i="6"/>
  <c r="AR122" i="6"/>
  <c r="L122" i="6"/>
  <c r="AS121" i="6"/>
  <c r="AR121" i="6"/>
  <c r="L121" i="6"/>
  <c r="AS120" i="6"/>
  <c r="AR120" i="6"/>
  <c r="L120" i="6"/>
  <c r="AS119" i="6"/>
  <c r="AR119" i="6"/>
  <c r="L119" i="6"/>
  <c r="AS118" i="6"/>
  <c r="AR118" i="6"/>
  <c r="L118" i="6"/>
  <c r="AS117" i="6"/>
  <c r="AR117" i="6"/>
  <c r="L117" i="6"/>
  <c r="AS116" i="6"/>
  <c r="AR116" i="6"/>
  <c r="L116" i="6"/>
  <c r="AS115" i="6"/>
  <c r="AR115" i="6"/>
  <c r="L115" i="6"/>
  <c r="AS114" i="6"/>
  <c r="AR114" i="6"/>
  <c r="L114" i="6"/>
  <c r="AS113" i="6"/>
  <c r="AR113" i="6"/>
  <c r="L113" i="6"/>
  <c r="AS112" i="6"/>
  <c r="AR112" i="6"/>
  <c r="L112" i="6"/>
  <c r="AS111" i="6"/>
  <c r="AR111" i="6"/>
  <c r="L111" i="6"/>
  <c r="AS110" i="6"/>
  <c r="AR110" i="6"/>
  <c r="L110" i="6"/>
  <c r="AS109" i="6"/>
  <c r="AR109" i="6"/>
  <c r="L109" i="6"/>
  <c r="AS108" i="6"/>
  <c r="AR108" i="6"/>
  <c r="L108" i="6"/>
  <c r="AS107" i="6"/>
  <c r="AR107" i="6"/>
  <c r="L107" i="6"/>
  <c r="AS106" i="6"/>
  <c r="AR106" i="6"/>
  <c r="L106" i="6"/>
  <c r="AS105" i="6"/>
  <c r="AR105" i="6"/>
  <c r="L105" i="6"/>
  <c r="AS104" i="6"/>
  <c r="AR104" i="6"/>
  <c r="L104" i="6"/>
  <c r="AS103" i="6"/>
  <c r="AR103" i="6"/>
  <c r="L103" i="6"/>
  <c r="AS102" i="6"/>
  <c r="AR102" i="6"/>
  <c r="L102" i="6"/>
  <c r="AS101" i="6"/>
  <c r="AR101" i="6"/>
  <c r="L101" i="6"/>
  <c r="AS100" i="6"/>
  <c r="AR100" i="6"/>
  <c r="L100" i="6"/>
  <c r="AS99" i="6"/>
  <c r="AR99" i="6"/>
  <c r="L99" i="6"/>
  <c r="AS98" i="6"/>
  <c r="AR98" i="6"/>
  <c r="L98" i="6"/>
  <c r="AS97" i="6"/>
  <c r="AR97" i="6"/>
  <c r="L97" i="6"/>
  <c r="AS96" i="6"/>
  <c r="AR96" i="6"/>
  <c r="L96" i="6"/>
  <c r="AS95" i="6"/>
  <c r="AR95" i="6"/>
  <c r="L95" i="6"/>
  <c r="AS94" i="6"/>
  <c r="AR94" i="6"/>
  <c r="L94" i="6"/>
  <c r="AS93" i="6"/>
  <c r="AR93" i="6"/>
  <c r="L93" i="6"/>
  <c r="AS92" i="6"/>
  <c r="AR92" i="6"/>
  <c r="L92" i="6"/>
  <c r="AS91" i="6"/>
  <c r="AR91" i="6"/>
  <c r="L91" i="6"/>
  <c r="AS90" i="6"/>
  <c r="AR90" i="6"/>
  <c r="L90" i="6"/>
  <c r="AS89" i="6"/>
  <c r="AR89" i="6"/>
  <c r="L89" i="6"/>
  <c r="AS88" i="6"/>
  <c r="AR88" i="6"/>
  <c r="L88" i="6"/>
  <c r="AS87" i="6"/>
  <c r="AR87" i="6"/>
  <c r="L87" i="6"/>
  <c r="AS86" i="6"/>
  <c r="AR86" i="6"/>
  <c r="L86" i="6"/>
  <c r="AS85" i="6"/>
  <c r="AR85" i="6"/>
  <c r="L85" i="6"/>
  <c r="AS84" i="6"/>
  <c r="AR84" i="6"/>
  <c r="L84" i="6"/>
  <c r="AS83" i="6"/>
  <c r="AR83" i="6"/>
  <c r="L83" i="6"/>
  <c r="AS82" i="6"/>
  <c r="AR82" i="6"/>
  <c r="L82" i="6"/>
  <c r="AS81" i="6"/>
  <c r="AR81" i="6"/>
  <c r="L81" i="6"/>
  <c r="AS80" i="6"/>
  <c r="AR80" i="6"/>
  <c r="L80" i="6"/>
  <c r="AS79" i="6"/>
  <c r="AR79" i="6"/>
  <c r="L79" i="6"/>
  <c r="AS78" i="6"/>
  <c r="AR78" i="6"/>
  <c r="L78" i="6"/>
  <c r="AS77" i="6"/>
  <c r="AR77" i="6"/>
  <c r="L77" i="6"/>
  <c r="AS76" i="6"/>
  <c r="AR76" i="6"/>
  <c r="L76" i="6"/>
  <c r="AS75" i="6"/>
  <c r="AR75" i="6"/>
  <c r="L75" i="6"/>
  <c r="AS74" i="6"/>
  <c r="AR74" i="6"/>
  <c r="L74" i="6"/>
  <c r="AS73" i="6"/>
  <c r="AR73" i="6"/>
  <c r="L73" i="6"/>
  <c r="AS72" i="6"/>
  <c r="AR72" i="6"/>
  <c r="L72" i="6"/>
  <c r="AS71" i="6"/>
  <c r="AR71" i="6"/>
  <c r="L71" i="6"/>
  <c r="AS70" i="6"/>
  <c r="AR70" i="6"/>
  <c r="L70" i="6"/>
  <c r="AS69" i="6"/>
  <c r="AR69" i="6"/>
  <c r="L69" i="6"/>
  <c r="AS68" i="6"/>
  <c r="AR68" i="6"/>
  <c r="L68" i="6"/>
  <c r="AS67" i="6"/>
  <c r="AR67" i="6"/>
  <c r="L67" i="6"/>
  <c r="AS66" i="6"/>
  <c r="AR66" i="6"/>
  <c r="L66" i="6"/>
  <c r="AS65" i="6"/>
  <c r="AR65" i="6"/>
  <c r="L65" i="6"/>
  <c r="AS64" i="6"/>
  <c r="AR64" i="6"/>
  <c r="L64" i="6"/>
  <c r="AS63" i="6"/>
  <c r="AR63" i="6"/>
  <c r="L63" i="6"/>
  <c r="AS62" i="6"/>
  <c r="AR62" i="6"/>
  <c r="L62" i="6"/>
  <c r="AS61" i="6"/>
  <c r="AR61" i="6"/>
  <c r="L61" i="6"/>
  <c r="AS60" i="6"/>
  <c r="AR60" i="6"/>
  <c r="L60" i="6"/>
  <c r="AS59" i="6"/>
  <c r="AR59" i="6"/>
  <c r="L59" i="6"/>
  <c r="AS58" i="6"/>
  <c r="AR58" i="6"/>
  <c r="L58" i="6"/>
  <c r="AS57" i="6"/>
  <c r="AR57" i="6"/>
  <c r="L57" i="6"/>
  <c r="AS56" i="6"/>
  <c r="AR56" i="6"/>
  <c r="L56" i="6"/>
  <c r="AS55" i="6"/>
  <c r="AR55" i="6"/>
  <c r="L55" i="6"/>
  <c r="AS54" i="6"/>
  <c r="AR54" i="6"/>
  <c r="L54" i="6"/>
  <c r="AS53" i="6"/>
  <c r="AR53" i="6"/>
  <c r="L53" i="6"/>
  <c r="AS52" i="6"/>
  <c r="AR52" i="6"/>
  <c r="L52" i="6"/>
  <c r="AS51" i="6"/>
  <c r="AR51" i="6"/>
  <c r="L51" i="6"/>
  <c r="AS50" i="6"/>
  <c r="AR50" i="6"/>
  <c r="L50" i="6"/>
  <c r="AS49" i="6"/>
  <c r="AR49" i="6"/>
  <c r="L49" i="6"/>
  <c r="AS48" i="6"/>
  <c r="AR48" i="6"/>
  <c r="L48" i="6"/>
  <c r="AS47" i="6"/>
  <c r="AR47" i="6"/>
  <c r="L47" i="6"/>
  <c r="AS46" i="6"/>
  <c r="AR46" i="6"/>
  <c r="L46" i="6"/>
  <c r="AS45" i="6"/>
  <c r="AR45" i="6"/>
  <c r="L45" i="6"/>
  <c r="AS44" i="6"/>
  <c r="AR44" i="6"/>
  <c r="L44" i="6"/>
  <c r="AS43" i="6"/>
  <c r="AR43" i="6"/>
  <c r="L43" i="6"/>
  <c r="AS42" i="6"/>
  <c r="AR42" i="6"/>
  <c r="L42" i="6"/>
  <c r="AS41" i="6"/>
  <c r="AR41" i="6"/>
  <c r="L41" i="6"/>
  <c r="AS40" i="6"/>
  <c r="AR40" i="6"/>
  <c r="L40" i="6"/>
  <c r="AS39" i="6"/>
  <c r="AR39" i="6"/>
  <c r="L39" i="6"/>
  <c r="AS38" i="6"/>
  <c r="AR38" i="6"/>
  <c r="L38" i="6"/>
  <c r="AS37" i="6"/>
  <c r="AR37" i="6"/>
  <c r="L37" i="6"/>
  <c r="AS36" i="6"/>
  <c r="AR36" i="6"/>
  <c r="L36" i="6"/>
  <c r="AS35" i="6"/>
  <c r="AR35" i="6"/>
  <c r="L35" i="6"/>
  <c r="AS34" i="6"/>
  <c r="AR34" i="6"/>
  <c r="L34" i="6"/>
  <c r="AS33" i="6"/>
  <c r="AR33" i="6"/>
  <c r="L33" i="6"/>
  <c r="AS32" i="6"/>
  <c r="AR32" i="6"/>
  <c r="L32" i="6"/>
  <c r="AS31" i="6"/>
  <c r="AR31" i="6"/>
  <c r="L31" i="6"/>
  <c r="AS30" i="6"/>
  <c r="AR30" i="6"/>
  <c r="L30" i="6"/>
  <c r="AO28" i="6"/>
  <c r="X28" i="6"/>
  <c r="W28" i="6"/>
  <c r="V28" i="6"/>
  <c r="U28" i="6"/>
  <c r="T28" i="6"/>
  <c r="S28" i="6"/>
  <c r="R28" i="6"/>
  <c r="Q28" i="6"/>
  <c r="P28" i="6"/>
  <c r="O28" i="6"/>
  <c r="N28" i="6"/>
  <c r="AO27" i="6" a="1"/>
  <c r="AO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O68" i="4"/>
  <c r="AN68" i="4"/>
  <c r="L68" i="4"/>
  <c r="M68" i="4" s="1"/>
  <c r="AO67" i="4"/>
  <c r="AN67" i="4"/>
  <c r="L67" i="4"/>
  <c r="M67" i="4" s="1"/>
  <c r="AO66" i="4"/>
  <c r="AN66" i="4"/>
  <c r="L66" i="4"/>
  <c r="M66" i="4" s="1"/>
  <c r="AO65" i="4"/>
  <c r="AN65" i="4"/>
  <c r="L65" i="4"/>
  <c r="M65" i="4" s="1"/>
  <c r="AO64" i="4"/>
  <c r="AN64" i="4"/>
  <c r="L64" i="4"/>
  <c r="M64" i="4" s="1"/>
  <c r="AO63" i="4"/>
  <c r="AN63" i="4"/>
  <c r="L63" i="4"/>
  <c r="M63" i="4" s="1"/>
  <c r="AO62" i="4"/>
  <c r="AN62" i="4"/>
  <c r="L62" i="4"/>
  <c r="M62" i="4" s="1"/>
  <c r="AO61" i="4"/>
  <c r="AN61" i="4"/>
  <c r="L61" i="4"/>
  <c r="M61" i="4" s="1"/>
  <c r="AO60" i="4"/>
  <c r="AN60" i="4"/>
  <c r="L60" i="4"/>
  <c r="M60" i="4" s="1"/>
  <c r="AO59" i="4"/>
  <c r="AN59" i="4"/>
  <c r="L59" i="4"/>
  <c r="M59" i="4" s="1"/>
  <c r="AO58" i="4"/>
  <c r="AN58" i="4"/>
  <c r="L58" i="4"/>
  <c r="M58" i="4" s="1"/>
  <c r="AO55" i="4"/>
  <c r="AN55" i="4"/>
  <c r="L55" i="4"/>
  <c r="M55" i="4" s="1"/>
  <c r="AO54" i="4"/>
  <c r="AN54" i="4"/>
  <c r="L54" i="4"/>
  <c r="M54" i="4" s="1"/>
  <c r="T383" i="9"/>
  <c r="T30" i="9"/>
  <c r="T298" i="9"/>
  <c r="T96" i="9"/>
  <c r="T231" i="9"/>
  <c r="T211" i="9"/>
  <c r="T642" i="9"/>
  <c r="T23" i="9"/>
  <c r="T72" i="9"/>
  <c r="T280" i="9"/>
  <c r="T75" i="9"/>
  <c r="T111" i="9"/>
  <c r="T465" i="9"/>
  <c r="T95" i="9"/>
  <c r="T348" i="5"/>
  <c r="T54" i="9"/>
  <c r="T352" i="5"/>
  <c r="T501" i="9"/>
  <c r="T165" i="9"/>
  <c r="T221" i="9"/>
  <c r="T135" i="9"/>
  <c r="T82" i="9"/>
  <c r="T158" i="9"/>
  <c r="T228" i="9"/>
  <c r="T208" i="9"/>
  <c r="T661" i="9"/>
  <c r="T118" i="9"/>
  <c r="T155" i="9"/>
  <c r="T98" i="9"/>
  <c r="T85" i="9"/>
  <c r="T224" i="9"/>
  <c r="T466" i="9"/>
  <c r="T109" i="9"/>
  <c r="T232" i="9"/>
  <c r="T156" i="9"/>
  <c r="T323" i="9"/>
  <c r="T186" i="9"/>
  <c r="T17" i="9"/>
  <c r="T19" i="9"/>
  <c r="T136" i="9"/>
  <c r="T379" i="9"/>
  <c r="T296" i="9"/>
  <c r="T80" i="9"/>
  <c r="T314" i="9"/>
  <c r="T630" i="9"/>
  <c r="T360" i="5"/>
  <c r="T304" i="9"/>
  <c r="T302" i="9"/>
  <c r="T299" i="9"/>
  <c r="T313" i="9"/>
  <c r="T662" i="9"/>
  <c r="T547" i="9"/>
  <c r="T354" i="9"/>
  <c r="T214" i="9"/>
  <c r="T265" i="9"/>
  <c r="T233" i="9"/>
  <c r="T13" i="9"/>
  <c r="T391" i="9"/>
  <c r="T660" i="9"/>
  <c r="T294" i="9"/>
  <c r="T551" i="9"/>
  <c r="T245" i="9"/>
  <c r="T307" i="9"/>
  <c r="T288" i="9"/>
  <c r="T548" i="9"/>
  <c r="T51" i="9"/>
  <c r="T45" i="9"/>
  <c r="T619" i="9"/>
  <c r="T88" i="9"/>
  <c r="T91" i="9"/>
  <c r="T336" i="9"/>
  <c r="T74" i="9"/>
  <c r="T332" i="9"/>
  <c r="T116" i="9"/>
  <c r="T348" i="9"/>
  <c r="T167" i="9"/>
  <c r="T137" i="9"/>
  <c r="T28" i="9"/>
  <c r="T393" i="9"/>
  <c r="T595" i="9"/>
  <c r="T20" i="9"/>
  <c r="T277" i="9"/>
  <c r="T44" i="9"/>
  <c r="T170" i="9"/>
  <c r="T510" i="9"/>
  <c r="T209" i="9"/>
  <c r="T356" i="5"/>
  <c r="T112" i="9"/>
  <c r="T140" i="9"/>
  <c r="T133" i="9"/>
  <c r="T327" i="9"/>
  <c r="T31" i="9"/>
  <c r="T90" i="9"/>
  <c r="T55" i="9"/>
  <c r="T663" i="9"/>
  <c r="T361" i="9"/>
  <c r="T154" i="9"/>
  <c r="T362" i="9"/>
  <c r="T351" i="9"/>
  <c r="T293" i="9"/>
  <c r="T508" i="9"/>
  <c r="T322" i="9"/>
  <c r="T126" i="9"/>
  <c r="T271" i="9"/>
  <c r="T387" i="9"/>
  <c r="T81" i="9"/>
  <c r="T181" i="9"/>
  <c r="T287" i="9"/>
  <c r="T357" i="9"/>
  <c r="T218" i="9"/>
  <c r="T43" i="9"/>
  <c r="T464" i="9"/>
  <c r="T41" i="9"/>
  <c r="T355" i="9"/>
  <c r="T144" i="9"/>
  <c r="T370" i="9"/>
  <c r="T368" i="9"/>
  <c r="T284" i="9"/>
  <c r="T77" i="9"/>
  <c r="T346" i="9"/>
  <c r="T97" i="9"/>
  <c r="T366" i="9"/>
  <c r="T48" i="9"/>
  <c r="T188" i="9"/>
  <c r="T618" i="9"/>
  <c r="T388" i="9"/>
  <c r="T178" i="9"/>
  <c r="T234" i="9"/>
  <c r="T273" i="9"/>
  <c r="T171" i="9"/>
  <c r="T47" i="9"/>
  <c r="T256" i="9"/>
  <c r="T103" i="9"/>
  <c r="T372" i="9"/>
  <c r="T310" i="9"/>
  <c r="T341" i="9"/>
  <c r="T69" i="9"/>
  <c r="T102" i="9"/>
  <c r="T353" i="9"/>
  <c r="T67" i="9"/>
  <c r="T18" i="9"/>
  <c r="T241" i="9"/>
  <c r="T141" i="9"/>
  <c r="T108" i="9"/>
  <c r="T377" i="9"/>
  <c r="T291" i="9"/>
  <c r="T212" i="9"/>
  <c r="T356" i="9"/>
  <c r="T21" i="9"/>
  <c r="T71" i="9"/>
  <c r="T94" i="9"/>
  <c r="T33" i="9"/>
  <c r="T185" i="9"/>
  <c r="T29" i="9"/>
  <c r="T210" i="9"/>
  <c r="T215" i="9"/>
  <c r="T311" i="9"/>
  <c r="T482" i="9"/>
  <c r="T596" i="9"/>
  <c r="T509" i="9"/>
  <c r="T550" i="9"/>
  <c r="T620" i="9"/>
  <c r="T183" i="9"/>
  <c r="T436" i="9" s="1"/>
  <c r="T286" i="9"/>
  <c r="T37" i="9"/>
  <c r="T645" i="9"/>
  <c r="T99" i="9"/>
  <c r="T264" i="9"/>
  <c r="T175" i="9"/>
  <c r="T128" i="9"/>
  <c r="T389" i="9"/>
  <c r="T279" i="9"/>
  <c r="T150" i="9"/>
  <c r="T62" i="9"/>
  <c r="T130" i="9"/>
  <c r="T222" i="9"/>
  <c r="T236" i="9"/>
  <c r="T22" i="9"/>
  <c r="T142" i="9"/>
  <c r="T512" i="9"/>
  <c r="T381" i="9"/>
  <c r="T149" i="9"/>
  <c r="T179" i="9"/>
  <c r="T352" i="9"/>
  <c r="T163" i="9"/>
  <c r="T139" i="9"/>
  <c r="T598" i="9"/>
  <c r="T247" i="9"/>
  <c r="T343" i="9"/>
  <c r="T369" i="9"/>
  <c r="T319" i="9"/>
  <c r="T350" i="5"/>
  <c r="T153" i="9"/>
  <c r="T257" i="9"/>
  <c r="T60" i="9"/>
  <c r="T374" i="9"/>
  <c r="T145" i="9"/>
  <c r="T362" i="5"/>
  <c r="T229" i="9"/>
  <c r="T125" i="9"/>
  <c r="T599" i="9"/>
  <c r="T345" i="9"/>
  <c r="T295" i="9"/>
  <c r="T254" i="9"/>
  <c r="T143" i="9"/>
  <c r="T285" i="9"/>
  <c r="T174" i="9"/>
  <c r="T66" i="9"/>
  <c r="T312" i="9"/>
  <c r="T321" i="9"/>
  <c r="T92" i="9"/>
  <c r="T423" i="9"/>
  <c r="T252" i="9"/>
  <c r="T87" i="9"/>
  <c r="T646" i="9"/>
  <c r="T270" i="9"/>
  <c r="T385" i="9"/>
  <c r="T46" i="9"/>
  <c r="T462" i="9"/>
  <c r="T366" i="5"/>
  <c r="T463" i="9"/>
  <c r="T83" i="9"/>
  <c r="T275" i="9"/>
  <c r="T267" i="9"/>
  <c r="T330" i="9"/>
  <c r="T25" i="9"/>
  <c r="T382" i="9"/>
  <c r="T260" i="9"/>
  <c r="T354" i="5"/>
  <c r="T272" i="9"/>
  <c r="T216" i="9"/>
  <c r="T106" i="9"/>
  <c r="T121" i="9"/>
  <c r="T59" i="9"/>
  <c r="T42" i="9"/>
  <c r="T36" i="9"/>
  <c r="T349" i="9"/>
  <c r="T182" i="9"/>
  <c r="T138" i="9"/>
  <c r="T180" i="9"/>
  <c r="T331" i="9"/>
  <c r="T290" i="9"/>
  <c r="T166" i="9"/>
  <c r="T255" i="9"/>
  <c r="T384" i="9"/>
  <c r="T347" i="9"/>
  <c r="T324" i="9"/>
  <c r="T68" i="9"/>
  <c r="T122" i="9"/>
  <c r="T105" i="9"/>
  <c r="T127" i="9"/>
  <c r="T101" i="9"/>
  <c r="T220" i="9"/>
  <c r="T413" i="9"/>
  <c r="T289" i="9"/>
  <c r="T169" i="9"/>
  <c r="T114" i="9"/>
  <c r="T79" i="9"/>
  <c r="T24" i="9"/>
  <c r="T134" i="9"/>
  <c r="T329" i="9"/>
  <c r="T120" i="9"/>
  <c r="T281" i="9"/>
  <c r="T364" i="5"/>
  <c r="T235" i="9"/>
  <c r="T380" i="9"/>
  <c r="T390" i="9"/>
  <c r="T364" i="9"/>
  <c r="T76" i="9"/>
  <c r="T39" i="9"/>
  <c r="T365" i="9"/>
  <c r="T484" i="9"/>
  <c r="T392" i="9"/>
  <c r="T146" i="9"/>
  <c r="T266" i="9"/>
  <c r="T124" i="9"/>
  <c r="T359" i="9"/>
  <c r="T621" i="9"/>
  <c r="T315" i="9"/>
  <c r="T50" i="9"/>
  <c r="T73" i="9"/>
  <c r="T303" i="9"/>
  <c r="T367" i="9"/>
  <c r="T278" i="9"/>
  <c r="T132" i="9"/>
  <c r="T316" i="9"/>
  <c r="T123" i="9"/>
  <c r="T113" i="9"/>
  <c r="T297" i="9"/>
  <c r="T414" i="9"/>
  <c r="T253" i="9"/>
  <c r="T375" i="9"/>
  <c r="T643" i="9"/>
  <c r="T217" i="9"/>
  <c r="T305" i="9"/>
  <c r="T190" i="9"/>
  <c r="T641" i="9"/>
  <c r="T100" i="9"/>
  <c r="T14" i="9"/>
  <c r="T373" i="9"/>
  <c r="T376" i="9"/>
  <c r="T63" i="9"/>
  <c r="T259" i="9"/>
  <c r="T328" i="9"/>
  <c r="T58" i="9"/>
  <c r="T131" i="9"/>
  <c r="T15" i="9"/>
  <c r="T57" i="9"/>
  <c r="T115" i="9"/>
  <c r="T187" i="9"/>
  <c r="T148" i="9"/>
  <c r="T151" i="9"/>
  <c r="T89" i="9"/>
  <c r="T350" i="9"/>
  <c r="T173" i="9"/>
  <c r="T258" i="9"/>
  <c r="T244" i="9"/>
  <c r="T213" i="9"/>
  <c r="T159" i="9"/>
  <c r="T225" i="9"/>
  <c r="T27" i="9"/>
  <c r="T86" i="9"/>
  <c r="T49" i="9"/>
  <c r="T416" i="9"/>
  <c r="T386" i="9"/>
  <c r="T40" i="9"/>
  <c r="T263" i="9"/>
  <c r="T274" i="9"/>
  <c r="T371" i="9"/>
  <c r="T616" i="9"/>
  <c r="T511" i="9"/>
  <c r="T358" i="5"/>
  <c r="T549" i="9"/>
  <c r="T56" i="9"/>
  <c r="T119" i="9"/>
  <c r="T333" i="9"/>
  <c r="R5" i="6" a="1"/>
  <c r="T338" i="9"/>
  <c r="T93" i="9"/>
  <c r="T269" i="9"/>
  <c r="T306" i="9"/>
  <c r="T110" i="9"/>
  <c r="T481" i="9"/>
  <c r="T238" i="9"/>
  <c r="T261" i="9"/>
  <c r="T346" i="5"/>
  <c r="T61" i="9"/>
  <c r="T597" i="9"/>
  <c r="T617" i="9"/>
  <c r="T292" i="9"/>
  <c r="T664" i="9"/>
  <c r="T34" i="9"/>
  <c r="T644" i="9"/>
  <c r="T35" i="9"/>
  <c r="T227" i="9"/>
  <c r="T65" i="9"/>
  <c r="T219" i="9"/>
  <c r="T230" i="9"/>
  <c r="T12" i="9"/>
  <c r="T403" i="9"/>
  <c r="T107" i="9"/>
  <c r="T320" i="9"/>
  <c r="T16" i="9"/>
  <c r="T251" i="9"/>
  <c r="AI98" i="9" l="1"/>
  <c r="AJ98" i="9" s="1"/>
  <c r="V98" i="9"/>
  <c r="U98" i="9"/>
  <c r="V356" i="9"/>
  <c r="AI356" i="9"/>
  <c r="AJ356" i="9" s="1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284" i="9"/>
  <c r="AJ284" i="9" s="1"/>
  <c r="V284" i="9"/>
  <c r="U284" i="9"/>
  <c r="V215" i="9"/>
  <c r="AI215" i="9"/>
  <c r="AJ215" i="9" s="1"/>
  <c r="V62" i="9"/>
  <c r="U62" i="9"/>
  <c r="AI62" i="9"/>
  <c r="AJ62" i="9" s="1"/>
  <c r="V274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V279" i="9"/>
  <c r="AI51" i="9"/>
  <c r="AJ51" i="9" s="1"/>
  <c r="V51" i="9"/>
  <c r="U51" i="9"/>
  <c r="AI127" i="9"/>
  <c r="AJ127" i="9" s="1"/>
  <c r="V127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481" i="9"/>
  <c r="AI481" i="9"/>
  <c r="AJ481" i="9" s="1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AI130" i="9"/>
  <c r="AN130" i="9" s="1"/>
  <c r="AO130" i="9" s="1"/>
  <c r="V130" i="9"/>
  <c r="X129" i="9"/>
  <c r="U130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V436" i="9"/>
  <c r="AI436" i="9"/>
  <c r="AJ436" i="9" s="1"/>
  <c r="V423" i="9"/>
  <c r="U423" i="9"/>
  <c r="AI423" i="9"/>
  <c r="AJ423" i="9" s="1"/>
  <c r="V403" i="9"/>
  <c r="AI403" i="9"/>
  <c r="AJ403" i="9" s="1"/>
  <c r="U403" i="9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I621" i="9" s="1"/>
  <c r="AJ621" i="9" s="1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U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O325" i="4"/>
  <c r="AN325" i="4"/>
  <c r="L325" i="4"/>
  <c r="AO324" i="4"/>
  <c r="AN324" i="4"/>
  <c r="L324" i="4"/>
  <c r="AO323" i="4"/>
  <c r="AN323" i="4"/>
  <c r="L323" i="4"/>
  <c r="AO322" i="4"/>
  <c r="AN322" i="4"/>
  <c r="L322" i="4"/>
  <c r="AO321" i="4"/>
  <c r="AN321" i="4"/>
  <c r="L321" i="4"/>
  <c r="AO320" i="4"/>
  <c r="AN320" i="4"/>
  <c r="L320" i="4"/>
  <c r="AO319" i="4"/>
  <c r="AN319" i="4"/>
  <c r="L319" i="4"/>
  <c r="AO318" i="4"/>
  <c r="AN318" i="4"/>
  <c r="L318" i="4"/>
  <c r="AO317" i="4"/>
  <c r="AN317" i="4"/>
  <c r="L317" i="4"/>
  <c r="AO316" i="4"/>
  <c r="AN316" i="4"/>
  <c r="L316" i="4"/>
  <c r="AO315" i="4"/>
  <c r="AN315" i="4"/>
  <c r="L315" i="4"/>
  <c r="AO314" i="4"/>
  <c r="AN314" i="4"/>
  <c r="L314" i="4"/>
  <c r="AO313" i="4"/>
  <c r="AN313" i="4"/>
  <c r="L313" i="4"/>
  <c r="AO312" i="4"/>
  <c r="AN312" i="4"/>
  <c r="L312" i="4"/>
  <c r="AO311" i="4"/>
  <c r="AN311" i="4"/>
  <c r="L311" i="4"/>
  <c r="AO310" i="4"/>
  <c r="AN310" i="4"/>
  <c r="L310" i="4"/>
  <c r="AO309" i="4"/>
  <c r="AN309" i="4"/>
  <c r="L309" i="4"/>
  <c r="AO308" i="4"/>
  <c r="AN308" i="4"/>
  <c r="L308" i="4"/>
  <c r="AO307" i="4"/>
  <c r="AN307" i="4"/>
  <c r="L307" i="4"/>
  <c r="AO306" i="4"/>
  <c r="AN306" i="4"/>
  <c r="L306" i="4"/>
  <c r="AO305" i="4"/>
  <c r="AN305" i="4"/>
  <c r="L305" i="4"/>
  <c r="AO304" i="4"/>
  <c r="AN304" i="4"/>
  <c r="L304" i="4"/>
  <c r="AO303" i="4"/>
  <c r="AN303" i="4"/>
  <c r="L303" i="4"/>
  <c r="AO302" i="4"/>
  <c r="AN302" i="4"/>
  <c r="L302" i="4"/>
  <c r="AO301" i="4"/>
  <c r="AN301" i="4"/>
  <c r="L301" i="4"/>
  <c r="AO300" i="4"/>
  <c r="AN300" i="4"/>
  <c r="L300" i="4"/>
  <c r="AO299" i="4"/>
  <c r="AN299" i="4"/>
  <c r="L299" i="4"/>
  <c r="AO298" i="4"/>
  <c r="AN298" i="4"/>
  <c r="L298" i="4"/>
  <c r="AO297" i="4"/>
  <c r="AN297" i="4"/>
  <c r="L297" i="4"/>
  <c r="AO296" i="4"/>
  <c r="AN296" i="4"/>
  <c r="L296" i="4"/>
  <c r="AO295" i="4"/>
  <c r="AN295" i="4"/>
  <c r="L295" i="4"/>
  <c r="AO294" i="4"/>
  <c r="AN294" i="4"/>
  <c r="L294" i="4"/>
  <c r="AO293" i="4"/>
  <c r="AN293" i="4"/>
  <c r="L293" i="4"/>
  <c r="AO292" i="4"/>
  <c r="AN292" i="4"/>
  <c r="L292" i="4"/>
  <c r="AO291" i="4"/>
  <c r="AN291" i="4"/>
  <c r="L291" i="4"/>
  <c r="AO290" i="4"/>
  <c r="AN290" i="4"/>
  <c r="L290" i="4"/>
  <c r="AO289" i="4"/>
  <c r="AN289" i="4"/>
  <c r="L289" i="4"/>
  <c r="AO288" i="4"/>
  <c r="AN288" i="4"/>
  <c r="L288" i="4"/>
  <c r="M288" i="4" s="1"/>
  <c r="AO287" i="4"/>
  <c r="AN287" i="4"/>
  <c r="L287" i="4"/>
  <c r="AO286" i="4"/>
  <c r="AN286" i="4"/>
  <c r="L286" i="4"/>
  <c r="M286" i="4" s="1"/>
  <c r="AO285" i="4"/>
  <c r="AN285" i="4"/>
  <c r="L285" i="4"/>
  <c r="M285" i="4" s="1"/>
  <c r="AO284" i="4"/>
  <c r="AN284" i="4"/>
  <c r="L284" i="4"/>
  <c r="AO283" i="4"/>
  <c r="AN283" i="4"/>
  <c r="L283" i="4"/>
  <c r="AO282" i="4"/>
  <c r="AN282" i="4"/>
  <c r="L282" i="4"/>
  <c r="AO281" i="4"/>
  <c r="AN281" i="4"/>
  <c r="L281" i="4"/>
  <c r="AO280" i="4"/>
  <c r="AN280" i="4"/>
  <c r="L280" i="4"/>
  <c r="AO279" i="4"/>
  <c r="AN279" i="4"/>
  <c r="L279" i="4"/>
  <c r="AO278" i="4"/>
  <c r="AN278" i="4"/>
  <c r="L278" i="4"/>
  <c r="AO277" i="4"/>
  <c r="AN277" i="4"/>
  <c r="L277" i="4"/>
  <c r="AO276" i="4"/>
  <c r="AN276" i="4"/>
  <c r="L276" i="4"/>
  <c r="AO275" i="4"/>
  <c r="AN275" i="4"/>
  <c r="L275" i="4"/>
  <c r="AO274" i="4"/>
  <c r="AN274" i="4"/>
  <c r="L274" i="4"/>
  <c r="AO273" i="4"/>
  <c r="AN273" i="4"/>
  <c r="L273" i="4"/>
  <c r="AO272" i="4"/>
  <c r="AN272" i="4"/>
  <c r="L272" i="4"/>
  <c r="AO271" i="4"/>
  <c r="AN271" i="4"/>
  <c r="L271" i="4"/>
  <c r="AO270" i="4"/>
  <c r="AN270" i="4"/>
  <c r="L270" i="4"/>
  <c r="AO269" i="4"/>
  <c r="AN269" i="4"/>
  <c r="L269" i="4"/>
  <c r="AO268" i="4"/>
  <c r="AN268" i="4"/>
  <c r="L268" i="4"/>
  <c r="AO267" i="4"/>
  <c r="AN267" i="4"/>
  <c r="L267" i="4"/>
  <c r="AO266" i="4"/>
  <c r="AN266" i="4"/>
  <c r="L266" i="4"/>
  <c r="AO265" i="4"/>
  <c r="AN265" i="4"/>
  <c r="L265" i="4"/>
  <c r="AO264" i="4"/>
  <c r="AN264" i="4"/>
  <c r="L264" i="4"/>
  <c r="AO263" i="4"/>
  <c r="AN263" i="4"/>
  <c r="L263" i="4"/>
  <c r="AO262" i="4"/>
  <c r="AN262" i="4"/>
  <c r="L262" i="4"/>
  <c r="AO261" i="4"/>
  <c r="AN261" i="4"/>
  <c r="L261" i="4"/>
  <c r="AO260" i="4"/>
  <c r="AN260" i="4"/>
  <c r="L260" i="4"/>
  <c r="AO259" i="4"/>
  <c r="AN259" i="4"/>
  <c r="L259" i="4"/>
  <c r="AO258" i="4"/>
  <c r="AN258" i="4"/>
  <c r="L258" i="4"/>
  <c r="AO257" i="4"/>
  <c r="AN257" i="4"/>
  <c r="L257" i="4"/>
  <c r="AO256" i="4"/>
  <c r="AN256" i="4"/>
  <c r="L256" i="4"/>
  <c r="AO255" i="4"/>
  <c r="AN255" i="4"/>
  <c r="L255" i="4"/>
  <c r="AO254" i="4"/>
  <c r="AN254" i="4"/>
  <c r="L254" i="4"/>
  <c r="AO253" i="4"/>
  <c r="AN253" i="4"/>
  <c r="L253" i="4"/>
  <c r="AO252" i="4"/>
  <c r="AN252" i="4"/>
  <c r="L252" i="4"/>
  <c r="AO251" i="4"/>
  <c r="AN251" i="4"/>
  <c r="L251" i="4"/>
  <c r="AO250" i="4"/>
  <c r="AN250" i="4"/>
  <c r="L250" i="4"/>
  <c r="AO249" i="4"/>
  <c r="AN249" i="4"/>
  <c r="L249" i="4"/>
  <c r="AO248" i="4"/>
  <c r="AN248" i="4"/>
  <c r="L248" i="4"/>
  <c r="AO247" i="4"/>
  <c r="AN247" i="4"/>
  <c r="L247" i="4"/>
  <c r="AO246" i="4"/>
  <c r="AN246" i="4"/>
  <c r="L246" i="4"/>
  <c r="AO245" i="4"/>
  <c r="AN245" i="4"/>
  <c r="L245" i="4"/>
  <c r="AO244" i="4"/>
  <c r="AN244" i="4"/>
  <c r="L244" i="4"/>
  <c r="AO243" i="4"/>
  <c r="AN243" i="4"/>
  <c r="L243" i="4"/>
  <c r="AO242" i="4"/>
  <c r="AN242" i="4"/>
  <c r="L242" i="4"/>
  <c r="AO241" i="4"/>
  <c r="AN241" i="4"/>
  <c r="L241" i="4"/>
  <c r="AO240" i="4"/>
  <c r="AN240" i="4"/>
  <c r="L240" i="4"/>
  <c r="AO239" i="4"/>
  <c r="AN239" i="4"/>
  <c r="L239" i="4"/>
  <c r="AO238" i="4"/>
  <c r="AN238" i="4"/>
  <c r="L238" i="4"/>
  <c r="AO237" i="4"/>
  <c r="AN237" i="4"/>
  <c r="L237" i="4"/>
  <c r="AO236" i="4"/>
  <c r="AN236" i="4"/>
  <c r="L236" i="4"/>
  <c r="AO235" i="4"/>
  <c r="AN235" i="4"/>
  <c r="L235" i="4"/>
  <c r="AO234" i="4"/>
  <c r="AN234" i="4"/>
  <c r="L234" i="4"/>
  <c r="AO233" i="4"/>
  <c r="AN233" i="4"/>
  <c r="L233" i="4"/>
  <c r="AO232" i="4"/>
  <c r="AN232" i="4"/>
  <c r="L232" i="4"/>
  <c r="AO231" i="4"/>
  <c r="AN231" i="4"/>
  <c r="L231" i="4"/>
  <c r="AO230" i="4"/>
  <c r="AN230" i="4"/>
  <c r="L230" i="4"/>
  <c r="AO229" i="4"/>
  <c r="AN229" i="4"/>
  <c r="L229" i="4"/>
  <c r="AO228" i="4"/>
  <c r="AN228" i="4"/>
  <c r="L228" i="4"/>
  <c r="AO227" i="4"/>
  <c r="AN227" i="4"/>
  <c r="L227" i="4"/>
  <c r="AO226" i="4"/>
  <c r="AN226" i="4"/>
  <c r="L226" i="4"/>
  <c r="AO225" i="4"/>
  <c r="AN225" i="4"/>
  <c r="L225" i="4"/>
  <c r="AO224" i="4"/>
  <c r="AN224" i="4"/>
  <c r="L224" i="4"/>
  <c r="AO223" i="4"/>
  <c r="AN223" i="4"/>
  <c r="L223" i="4"/>
  <c r="AO222" i="4"/>
  <c r="AN222" i="4"/>
  <c r="L222" i="4"/>
  <c r="AO221" i="4"/>
  <c r="AN221" i="4"/>
  <c r="L221" i="4"/>
  <c r="AO220" i="4"/>
  <c r="AN220" i="4"/>
  <c r="L220" i="4"/>
  <c r="AO219" i="4"/>
  <c r="AN219" i="4"/>
  <c r="L219" i="4"/>
  <c r="AO218" i="4"/>
  <c r="AN218" i="4"/>
  <c r="L218" i="4"/>
  <c r="AO217" i="4"/>
  <c r="AN217" i="4"/>
  <c r="L217" i="4"/>
  <c r="AO216" i="4"/>
  <c r="AN216" i="4"/>
  <c r="L216" i="4"/>
  <c r="AO215" i="4"/>
  <c r="AN215" i="4"/>
  <c r="L215" i="4"/>
  <c r="AO214" i="4"/>
  <c r="AN214" i="4"/>
  <c r="L214" i="4"/>
  <c r="AO213" i="4"/>
  <c r="AN213" i="4"/>
  <c r="L213" i="4"/>
  <c r="AO212" i="4"/>
  <c r="AN212" i="4"/>
  <c r="L212" i="4"/>
  <c r="AO211" i="4"/>
  <c r="AN211" i="4"/>
  <c r="L211" i="4"/>
  <c r="AO210" i="4"/>
  <c r="AN210" i="4"/>
  <c r="L210" i="4"/>
  <c r="AO209" i="4"/>
  <c r="AN209" i="4"/>
  <c r="L209" i="4"/>
  <c r="AO208" i="4"/>
  <c r="AN208" i="4"/>
  <c r="L208" i="4"/>
  <c r="AO207" i="4"/>
  <c r="AN207" i="4"/>
  <c r="L207" i="4"/>
  <c r="AO206" i="4"/>
  <c r="AN206" i="4"/>
  <c r="L206" i="4"/>
  <c r="AO205" i="4"/>
  <c r="AN205" i="4"/>
  <c r="L205" i="4"/>
  <c r="AO204" i="4"/>
  <c r="AN204" i="4"/>
  <c r="L204" i="4"/>
  <c r="AO203" i="4"/>
  <c r="AN203" i="4"/>
  <c r="L203" i="4"/>
  <c r="AO202" i="4"/>
  <c r="AN202" i="4"/>
  <c r="L202" i="4"/>
  <c r="AO201" i="4"/>
  <c r="AN201" i="4"/>
  <c r="L201" i="4"/>
  <c r="AO200" i="4"/>
  <c r="AN200" i="4"/>
  <c r="L200" i="4"/>
  <c r="AO199" i="4"/>
  <c r="AN199" i="4"/>
  <c r="L199" i="4"/>
  <c r="AO198" i="4"/>
  <c r="AN198" i="4"/>
  <c r="L198" i="4"/>
  <c r="AO197" i="4"/>
  <c r="AN197" i="4"/>
  <c r="L197" i="4"/>
  <c r="AO196" i="4"/>
  <c r="AN196" i="4"/>
  <c r="L196" i="4"/>
  <c r="AO195" i="4"/>
  <c r="AN195" i="4"/>
  <c r="L195" i="4"/>
  <c r="AO194" i="4"/>
  <c r="AN194" i="4"/>
  <c r="L194" i="4"/>
  <c r="AO193" i="4"/>
  <c r="AN193" i="4"/>
  <c r="L193" i="4"/>
  <c r="AO192" i="4"/>
  <c r="AN192" i="4"/>
  <c r="L192" i="4"/>
  <c r="AO191" i="4"/>
  <c r="AN191" i="4"/>
  <c r="L191" i="4"/>
  <c r="AO190" i="4"/>
  <c r="AN190" i="4"/>
  <c r="L190" i="4"/>
  <c r="AO189" i="4"/>
  <c r="AN189" i="4"/>
  <c r="L189" i="4"/>
  <c r="M189" i="4" s="1"/>
  <c r="AO188" i="4"/>
  <c r="AN188" i="4"/>
  <c r="L188" i="4"/>
  <c r="AO187" i="4"/>
  <c r="AN187" i="4"/>
  <c r="L187" i="4"/>
  <c r="AO186" i="4"/>
  <c r="AN186" i="4"/>
  <c r="L186" i="4"/>
  <c r="AO185" i="4"/>
  <c r="AN185" i="4"/>
  <c r="L185" i="4"/>
  <c r="AO184" i="4"/>
  <c r="AN184" i="4"/>
  <c r="L184" i="4"/>
  <c r="AO183" i="4"/>
  <c r="AN183" i="4"/>
  <c r="L183" i="4"/>
  <c r="AO182" i="4"/>
  <c r="AN182" i="4"/>
  <c r="L182" i="4"/>
  <c r="AO181" i="4"/>
  <c r="AN181" i="4"/>
  <c r="L181" i="4"/>
  <c r="AO180" i="4"/>
  <c r="AN180" i="4"/>
  <c r="L180" i="4"/>
  <c r="AO179" i="4"/>
  <c r="AN179" i="4"/>
  <c r="L179" i="4"/>
  <c r="AO178" i="4"/>
  <c r="AN178" i="4"/>
  <c r="L178" i="4"/>
  <c r="AO177" i="4"/>
  <c r="AN177" i="4"/>
  <c r="L177" i="4"/>
  <c r="M177" i="4" s="1"/>
  <c r="AO176" i="4"/>
  <c r="AN176" i="4"/>
  <c r="L176" i="4"/>
  <c r="AO175" i="4"/>
  <c r="AN175" i="4"/>
  <c r="L175" i="4"/>
  <c r="AO174" i="4"/>
  <c r="AN174" i="4"/>
  <c r="L174" i="4"/>
  <c r="AO173" i="4"/>
  <c r="AN173" i="4"/>
  <c r="L173" i="4"/>
  <c r="AO172" i="4"/>
  <c r="AN172" i="4"/>
  <c r="L172" i="4"/>
  <c r="AO171" i="4"/>
  <c r="AN171" i="4"/>
  <c r="L171" i="4"/>
  <c r="AO170" i="4"/>
  <c r="AN170" i="4"/>
  <c r="L170" i="4"/>
  <c r="AO169" i="4"/>
  <c r="AN169" i="4"/>
  <c r="L169" i="4"/>
  <c r="AO168" i="4"/>
  <c r="AN168" i="4"/>
  <c r="L168" i="4"/>
  <c r="AO167" i="4"/>
  <c r="AN167" i="4"/>
  <c r="L167" i="4"/>
  <c r="AO166" i="4"/>
  <c r="AN166" i="4"/>
  <c r="L166" i="4"/>
  <c r="AO165" i="4"/>
  <c r="AN165" i="4"/>
  <c r="L165" i="4"/>
  <c r="AO164" i="4"/>
  <c r="AN164" i="4"/>
  <c r="L164" i="4"/>
  <c r="AO163" i="4"/>
  <c r="AN163" i="4"/>
  <c r="L163" i="4"/>
  <c r="M163" i="4" s="1"/>
  <c r="AO162" i="4"/>
  <c r="AN162" i="4"/>
  <c r="L162" i="4"/>
  <c r="AO161" i="4"/>
  <c r="AN161" i="4"/>
  <c r="L161" i="4"/>
  <c r="AO160" i="4"/>
  <c r="AN160" i="4"/>
  <c r="L160" i="4"/>
  <c r="AO159" i="4"/>
  <c r="AN159" i="4"/>
  <c r="L159" i="4"/>
  <c r="M159" i="4" s="1"/>
  <c r="AO158" i="4"/>
  <c r="AN158" i="4"/>
  <c r="L158" i="4"/>
  <c r="AO157" i="4"/>
  <c r="AN157" i="4"/>
  <c r="L157" i="4"/>
  <c r="AO156" i="4"/>
  <c r="AN156" i="4"/>
  <c r="L156" i="4"/>
  <c r="AO155" i="4"/>
  <c r="AN155" i="4"/>
  <c r="L155" i="4"/>
  <c r="AO154" i="4"/>
  <c r="AN154" i="4"/>
  <c r="L154" i="4"/>
  <c r="AO153" i="4"/>
  <c r="AN153" i="4"/>
  <c r="L153" i="4"/>
  <c r="AO152" i="4"/>
  <c r="AN152" i="4"/>
  <c r="L152" i="4"/>
  <c r="AO151" i="4"/>
  <c r="AN151" i="4"/>
  <c r="L151" i="4"/>
  <c r="AO150" i="4"/>
  <c r="AN150" i="4"/>
  <c r="L150" i="4"/>
  <c r="AO149" i="4"/>
  <c r="AN149" i="4"/>
  <c r="L149" i="4"/>
  <c r="AO148" i="4"/>
  <c r="AN148" i="4"/>
  <c r="L148" i="4"/>
  <c r="M148" i="4" s="1"/>
  <c r="AO147" i="4"/>
  <c r="AN147" i="4"/>
  <c r="L147" i="4"/>
  <c r="AO146" i="4"/>
  <c r="AN146" i="4"/>
  <c r="L146" i="4"/>
  <c r="AO145" i="4"/>
  <c r="AN145" i="4"/>
  <c r="L145" i="4"/>
  <c r="AO144" i="4"/>
  <c r="AN144" i="4"/>
  <c r="L144" i="4"/>
  <c r="M144" i="4" s="1"/>
  <c r="AO143" i="4"/>
  <c r="AN143" i="4"/>
  <c r="L143" i="4"/>
  <c r="AO142" i="4"/>
  <c r="AN142" i="4"/>
  <c r="L142" i="4"/>
  <c r="AO141" i="4"/>
  <c r="AN141" i="4"/>
  <c r="L141" i="4"/>
  <c r="AO140" i="4"/>
  <c r="AN140" i="4"/>
  <c r="L140" i="4"/>
  <c r="AO139" i="4"/>
  <c r="AN139" i="4"/>
  <c r="L139" i="4"/>
  <c r="AO138" i="4"/>
  <c r="AN138" i="4"/>
  <c r="L138" i="4"/>
  <c r="M138" i="4" s="1"/>
  <c r="AO137" i="4"/>
  <c r="AN137" i="4"/>
  <c r="L137" i="4"/>
  <c r="AO136" i="4"/>
  <c r="AN136" i="4"/>
  <c r="L136" i="4"/>
  <c r="AO135" i="4"/>
  <c r="AN135" i="4"/>
  <c r="L135" i="4"/>
  <c r="AO134" i="4"/>
  <c r="AN134" i="4"/>
  <c r="L134" i="4"/>
  <c r="AO133" i="4"/>
  <c r="AN133" i="4"/>
  <c r="L133" i="4"/>
  <c r="AO132" i="4"/>
  <c r="AN132" i="4"/>
  <c r="L132" i="4"/>
  <c r="M132" i="4" s="1"/>
  <c r="AO131" i="4"/>
  <c r="AN131" i="4"/>
  <c r="L131" i="4"/>
  <c r="AO130" i="4"/>
  <c r="AN130" i="4"/>
  <c r="L130" i="4"/>
  <c r="AO129" i="4"/>
  <c r="AN129" i="4"/>
  <c r="L129" i="4"/>
  <c r="AO128" i="4"/>
  <c r="AN128" i="4"/>
  <c r="L128" i="4"/>
  <c r="AO127" i="4"/>
  <c r="AN127" i="4"/>
  <c r="L127" i="4"/>
  <c r="AO126" i="4"/>
  <c r="AN126" i="4"/>
  <c r="L126" i="4"/>
  <c r="AO125" i="4"/>
  <c r="AN125" i="4"/>
  <c r="L125" i="4"/>
  <c r="AO124" i="4"/>
  <c r="AN124" i="4"/>
  <c r="L124" i="4"/>
  <c r="AO123" i="4"/>
  <c r="AN123" i="4"/>
  <c r="L123" i="4"/>
  <c r="AO122" i="4"/>
  <c r="AN122" i="4"/>
  <c r="L122" i="4"/>
  <c r="AO121" i="4"/>
  <c r="AN121" i="4"/>
  <c r="L121" i="4"/>
  <c r="AO120" i="4"/>
  <c r="AN120" i="4"/>
  <c r="L120" i="4"/>
  <c r="M120" i="4" s="1"/>
  <c r="AO119" i="4"/>
  <c r="AN119" i="4"/>
  <c r="L119" i="4"/>
  <c r="AO118" i="4"/>
  <c r="AN118" i="4"/>
  <c r="L118" i="4"/>
  <c r="M118" i="4" s="1"/>
  <c r="AO117" i="4"/>
  <c r="AN117" i="4"/>
  <c r="L117" i="4"/>
  <c r="AO116" i="4"/>
  <c r="AN116" i="4"/>
  <c r="L116" i="4"/>
  <c r="AO115" i="4"/>
  <c r="AN115" i="4"/>
  <c r="L115" i="4"/>
  <c r="AO114" i="4"/>
  <c r="AN114" i="4"/>
  <c r="L114" i="4"/>
  <c r="AO113" i="4"/>
  <c r="AN113" i="4"/>
  <c r="L113" i="4"/>
  <c r="AO112" i="4"/>
  <c r="AN112" i="4"/>
  <c r="L112" i="4"/>
  <c r="M112" i="4" s="1"/>
  <c r="AO111" i="4"/>
  <c r="AN111" i="4"/>
  <c r="L111" i="4"/>
  <c r="AO110" i="4"/>
  <c r="AN110" i="4"/>
  <c r="L110" i="4"/>
  <c r="AO109" i="4"/>
  <c r="AN109" i="4"/>
  <c r="L109" i="4"/>
  <c r="AO108" i="4"/>
  <c r="AN108" i="4"/>
  <c r="L108" i="4"/>
  <c r="AO107" i="4"/>
  <c r="AN107" i="4"/>
  <c r="L107" i="4"/>
  <c r="AO106" i="4"/>
  <c r="AN106" i="4"/>
  <c r="L106" i="4"/>
  <c r="AO105" i="4"/>
  <c r="AN105" i="4"/>
  <c r="L105" i="4"/>
  <c r="AO104" i="4"/>
  <c r="AN104" i="4"/>
  <c r="L104" i="4"/>
  <c r="AO103" i="4"/>
  <c r="AN103" i="4"/>
  <c r="L103" i="4"/>
  <c r="M103" i="4" s="1"/>
  <c r="AO102" i="4"/>
  <c r="AN102" i="4"/>
  <c r="L102" i="4"/>
  <c r="AO101" i="4"/>
  <c r="AN101" i="4"/>
  <c r="L101" i="4"/>
  <c r="AO100" i="4"/>
  <c r="AN100" i="4"/>
  <c r="L100" i="4"/>
  <c r="AO99" i="4"/>
  <c r="AN99" i="4"/>
  <c r="L99" i="4"/>
  <c r="M99" i="4" s="1"/>
  <c r="AO98" i="4"/>
  <c r="AN98" i="4"/>
  <c r="L98" i="4"/>
  <c r="AO97" i="4"/>
  <c r="AN97" i="4"/>
  <c r="L97" i="4"/>
  <c r="AO96" i="4"/>
  <c r="AN96" i="4"/>
  <c r="L96" i="4"/>
  <c r="M96" i="4" s="1"/>
  <c r="AO95" i="4"/>
  <c r="AN95" i="4"/>
  <c r="L95" i="4"/>
  <c r="AO94" i="4"/>
  <c r="AN94" i="4"/>
  <c r="L94" i="4"/>
  <c r="AO93" i="4"/>
  <c r="AN93" i="4"/>
  <c r="L93" i="4"/>
  <c r="M93" i="4" s="1"/>
  <c r="AO92" i="4"/>
  <c r="AN92" i="4"/>
  <c r="L92" i="4"/>
  <c r="AO91" i="4"/>
  <c r="AN91" i="4"/>
  <c r="L91" i="4"/>
  <c r="AO90" i="4"/>
  <c r="AN90" i="4"/>
  <c r="L90" i="4"/>
  <c r="M90" i="4" s="1"/>
  <c r="AO89" i="4"/>
  <c r="AN89" i="4"/>
  <c r="L89" i="4"/>
  <c r="AO88" i="4"/>
  <c r="AN88" i="4"/>
  <c r="L88" i="4"/>
  <c r="AO87" i="4"/>
  <c r="AN87" i="4"/>
  <c r="L87" i="4"/>
  <c r="M87" i="4" s="1"/>
  <c r="AO86" i="4"/>
  <c r="AN86" i="4"/>
  <c r="L86" i="4"/>
  <c r="AO85" i="4"/>
  <c r="AN85" i="4"/>
  <c r="L85" i="4"/>
  <c r="AO84" i="4"/>
  <c r="AN84" i="4"/>
  <c r="L84" i="4"/>
  <c r="AO83" i="4"/>
  <c r="AN83" i="4"/>
  <c r="L83" i="4"/>
  <c r="AO82" i="4"/>
  <c r="AN82" i="4"/>
  <c r="L82" i="4"/>
  <c r="M82" i="4" s="1"/>
  <c r="AO81" i="4"/>
  <c r="AN81" i="4"/>
  <c r="L81" i="4"/>
  <c r="AO80" i="4"/>
  <c r="AN80" i="4"/>
  <c r="L80" i="4"/>
  <c r="AO79" i="4"/>
  <c r="AN79" i="4"/>
  <c r="L79" i="4"/>
  <c r="AO78" i="4"/>
  <c r="AN78" i="4"/>
  <c r="L78" i="4"/>
  <c r="AO77" i="4"/>
  <c r="AN77" i="4"/>
  <c r="L77" i="4"/>
  <c r="AO76" i="4"/>
  <c r="AN76" i="4"/>
  <c r="L76" i="4"/>
  <c r="AO75" i="4"/>
  <c r="AN75" i="4"/>
  <c r="L75" i="4"/>
  <c r="AO74" i="4"/>
  <c r="AN74" i="4"/>
  <c r="L74" i="4"/>
  <c r="AO73" i="4"/>
  <c r="AN73" i="4"/>
  <c r="L73" i="4"/>
  <c r="AO72" i="4"/>
  <c r="AN72" i="4"/>
  <c r="L72" i="4"/>
  <c r="AO71" i="4"/>
  <c r="AN71" i="4"/>
  <c r="L71" i="4"/>
  <c r="AO70" i="4"/>
  <c r="AN70" i="4"/>
  <c r="L70" i="4"/>
  <c r="AO69" i="4"/>
  <c r="AN69" i="4"/>
  <c r="L69" i="4"/>
  <c r="AO57" i="4"/>
  <c r="AN57" i="4"/>
  <c r="L57" i="4"/>
  <c r="AO56" i="4"/>
  <c r="AN56" i="4"/>
  <c r="L56" i="4"/>
  <c r="AO53" i="4"/>
  <c r="AN53" i="4"/>
  <c r="L53" i="4"/>
  <c r="AO52" i="4"/>
  <c r="AN52" i="4"/>
  <c r="L52" i="4"/>
  <c r="AO51" i="4"/>
  <c r="AN51" i="4"/>
  <c r="L51" i="4"/>
  <c r="AO50" i="4"/>
  <c r="AN50" i="4"/>
  <c r="L50" i="4"/>
  <c r="AO49" i="4"/>
  <c r="AN49" i="4"/>
  <c r="L49" i="4"/>
  <c r="AO48" i="4"/>
  <c r="AN48" i="4"/>
  <c r="L48" i="4"/>
  <c r="AO47" i="4"/>
  <c r="AN47" i="4"/>
  <c r="L47" i="4"/>
  <c r="M47" i="4" s="1"/>
  <c r="AO46" i="4"/>
  <c r="AN46" i="4"/>
  <c r="L46" i="4"/>
  <c r="AO45" i="4"/>
  <c r="AN45" i="4"/>
  <c r="L45" i="4"/>
  <c r="AO44" i="4"/>
  <c r="AN44" i="4"/>
  <c r="L44" i="4"/>
  <c r="AO43" i="4"/>
  <c r="AN43" i="4"/>
  <c r="L43" i="4"/>
  <c r="AO42" i="4"/>
  <c r="AN42" i="4"/>
  <c r="L42" i="4"/>
  <c r="AO41" i="4"/>
  <c r="AN41" i="4"/>
  <c r="L41" i="4"/>
  <c r="AO40" i="4"/>
  <c r="AN40" i="4"/>
  <c r="L40" i="4"/>
  <c r="AO39" i="4"/>
  <c r="AN39" i="4"/>
  <c r="L39" i="4"/>
  <c r="AO38" i="4"/>
  <c r="AN38" i="4"/>
  <c r="L38" i="4"/>
  <c r="AO37" i="4"/>
  <c r="AN37" i="4"/>
  <c r="L37" i="4"/>
  <c r="AO36" i="4"/>
  <c r="AN36" i="4"/>
  <c r="L36" i="4"/>
  <c r="AO35" i="4"/>
  <c r="AN35" i="4"/>
  <c r="L35" i="4"/>
  <c r="AO34" i="4"/>
  <c r="AN34" i="4"/>
  <c r="L34" i="4"/>
  <c r="AO33" i="4"/>
  <c r="AN33" i="4"/>
  <c r="L33" i="4"/>
  <c r="AO32" i="4"/>
  <c r="AN32" i="4"/>
  <c r="L32" i="4"/>
  <c r="AO31" i="4"/>
  <c r="AN31" i="4"/>
  <c r="L31" i="4"/>
  <c r="AO30" i="4"/>
  <c r="AN30" i="4"/>
  <c r="L30" i="4"/>
  <c r="AK28" i="4"/>
  <c r="X28" i="4"/>
  <c r="W28" i="4"/>
  <c r="V28" i="4"/>
  <c r="U28" i="4"/>
  <c r="T28" i="4"/>
  <c r="S28" i="4"/>
  <c r="R28" i="4"/>
  <c r="Q28" i="4"/>
  <c r="P28" i="4"/>
  <c r="O28" i="4"/>
  <c r="N28" i="4"/>
  <c r="AK27" i="4" a="1"/>
  <c r="AK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426" i="9"/>
  <c r="T429" i="9"/>
  <c r="T402" i="9"/>
  <c r="T434" i="9"/>
  <c r="T397" i="9"/>
  <c r="T443" i="9"/>
  <c r="T600" i="9"/>
  <c r="T396" i="9"/>
  <c r="T699" i="9"/>
  <c r="T406" i="9"/>
  <c r="T418" i="9"/>
  <c r="T681" i="9"/>
  <c r="T622" i="9"/>
  <c r="T665" i="9"/>
  <c r="T701" i="9"/>
  <c r="T428" i="9"/>
  <c r="T713" i="9" s="1"/>
  <c r="T513" i="9"/>
  <c r="T405" i="9"/>
  <c r="T690" i="9" s="1"/>
  <c r="T410" i="9"/>
  <c r="T467" i="9"/>
  <c r="T432" i="9"/>
  <c r="T721" i="9"/>
  <c r="T431" i="9"/>
  <c r="T647" i="9"/>
  <c r="T552" i="9"/>
  <c r="T438" i="9"/>
  <c r="T398" i="9"/>
  <c r="T435" i="9"/>
  <c r="T708" i="9"/>
  <c r="T400" i="9"/>
  <c r="T419" i="9"/>
  <c r="T395" i="9"/>
  <c r="T680" i="9" s="1"/>
  <c r="T698" i="9"/>
  <c r="T688" i="9"/>
  <c r="T341" i="5"/>
  <c r="T728" i="9"/>
  <c r="T340" i="5"/>
  <c r="T439" i="9"/>
  <c r="T433" i="9"/>
  <c r="T718" i="9" s="1"/>
  <c r="T441" i="9"/>
  <c r="T427" i="9"/>
  <c r="T712" i="9" s="1"/>
  <c r="T726" i="9"/>
  <c r="T422" i="9"/>
  <c r="T707" i="9" s="1"/>
  <c r="T401" i="9"/>
  <c r="T440" i="9"/>
  <c r="T725" i="9" s="1"/>
  <c r="T424" i="9"/>
  <c r="T420" i="9"/>
  <c r="V396" i="9" l="1"/>
  <c r="AI396" i="9"/>
  <c r="AN396" i="9" s="1"/>
  <c r="AO396" i="9" s="1"/>
  <c r="U396" i="9"/>
  <c r="AI426" i="9"/>
  <c r="AJ426" i="9" s="1"/>
  <c r="V426" i="9"/>
  <c r="U426" i="9"/>
  <c r="V340" i="5"/>
  <c r="V341" i="5"/>
  <c r="N340" i="5"/>
  <c r="N341" i="5"/>
  <c r="V433" i="9"/>
  <c r="U433" i="9"/>
  <c r="AI433" i="9"/>
  <c r="AJ433" i="9" s="1"/>
  <c r="U443" i="9"/>
  <c r="AI443" i="9"/>
  <c r="AN443" i="9" s="1"/>
  <c r="AO443" i="9" s="1"/>
  <c r="V443" i="9"/>
  <c r="V424" i="9"/>
  <c r="AI424" i="9"/>
  <c r="AJ424" i="9" s="1"/>
  <c r="U424" i="9"/>
  <c r="AI698" i="9"/>
  <c r="AN698" i="9" s="1"/>
  <c r="AO698" i="9" s="1"/>
  <c r="V698" i="9"/>
  <c r="U698" i="9"/>
  <c r="V400" i="9"/>
  <c r="AI400" i="9"/>
  <c r="AJ400" i="9" s="1"/>
  <c r="U400" i="9"/>
  <c r="AI439" i="9"/>
  <c r="AJ439" i="9" s="1"/>
  <c r="V439" i="9"/>
  <c r="U439" i="9"/>
  <c r="V427" i="9"/>
  <c r="AI427" i="9"/>
  <c r="AN427" i="9" s="1"/>
  <c r="AO427" i="9" s="1"/>
  <c r="U427" i="9"/>
  <c r="AI422" i="9"/>
  <c r="AN422" i="9" s="1"/>
  <c r="AO422" i="9" s="1"/>
  <c r="V422" i="9"/>
  <c r="U422" i="9"/>
  <c r="X700" i="9"/>
  <c r="U701" i="9"/>
  <c r="V701" i="9"/>
  <c r="W700" i="9" s="1"/>
  <c r="X415" i="9"/>
  <c r="AI701" i="9"/>
  <c r="AJ701" i="9" s="1"/>
  <c r="U434" i="9"/>
  <c r="AI434" i="9"/>
  <c r="AJ434" i="9" s="1"/>
  <c r="V434" i="9"/>
  <c r="V395" i="9"/>
  <c r="AI395" i="9"/>
  <c r="AJ395" i="9" s="1"/>
  <c r="U395" i="9"/>
  <c r="AI419" i="9"/>
  <c r="AN419" i="9" s="1"/>
  <c r="AO419" i="9" s="1"/>
  <c r="U419" i="9"/>
  <c r="V419" i="9"/>
  <c r="AI405" i="9"/>
  <c r="AJ405" i="9" s="1"/>
  <c r="V405" i="9"/>
  <c r="U405" i="9"/>
  <c r="AI440" i="9"/>
  <c r="AJ440" i="9" s="1"/>
  <c r="V440" i="9"/>
  <c r="U440" i="9"/>
  <c r="AI435" i="9"/>
  <c r="AJ435" i="9" s="1"/>
  <c r="V435" i="9"/>
  <c r="U435" i="9"/>
  <c r="AI401" i="9"/>
  <c r="AJ401" i="9" s="1"/>
  <c r="V401" i="9"/>
  <c r="U401" i="9"/>
  <c r="V418" i="9"/>
  <c r="AI418" i="9"/>
  <c r="AJ418" i="9" s="1"/>
  <c r="U418" i="9"/>
  <c r="V428" i="9"/>
  <c r="U428" i="9"/>
  <c r="AI428" i="9"/>
  <c r="AJ428" i="9" s="1"/>
  <c r="AI398" i="9"/>
  <c r="AJ398" i="9" s="1"/>
  <c r="V398" i="9"/>
  <c r="U398" i="9"/>
  <c r="AI432" i="9"/>
  <c r="AJ432" i="9" s="1"/>
  <c r="V432" i="9"/>
  <c r="U432" i="9"/>
  <c r="AI410" i="9"/>
  <c r="AN410" i="9" s="1"/>
  <c r="AO410" i="9" s="1"/>
  <c r="U410" i="9"/>
  <c r="V410" i="9"/>
  <c r="U441" i="9"/>
  <c r="AI441" i="9"/>
  <c r="AJ441" i="9" s="1"/>
  <c r="V441" i="9"/>
  <c r="U699" i="9"/>
  <c r="AI699" i="9"/>
  <c r="AJ699" i="9" s="1"/>
  <c r="V699" i="9"/>
  <c r="X697" i="9"/>
  <c r="X412" i="9"/>
  <c r="V420" i="9"/>
  <c r="U420" i="9"/>
  <c r="AI420" i="9"/>
  <c r="AJ420" i="9" s="1"/>
  <c r="V402" i="9"/>
  <c r="AI402" i="9"/>
  <c r="AJ402" i="9" s="1"/>
  <c r="U402" i="9"/>
  <c r="AI406" i="9"/>
  <c r="AJ406" i="9" s="1"/>
  <c r="U406" i="9"/>
  <c r="V406" i="9"/>
  <c r="V431" i="9"/>
  <c r="AI431" i="9"/>
  <c r="AJ431" i="9" s="1"/>
  <c r="U431" i="9"/>
  <c r="AI397" i="9"/>
  <c r="AJ397" i="9" s="1"/>
  <c r="V397" i="9"/>
  <c r="U397" i="9"/>
  <c r="AI438" i="9"/>
  <c r="AJ438" i="9" s="1"/>
  <c r="U438" i="9"/>
  <c r="V438" i="9"/>
  <c r="AN509" i="9"/>
  <c r="AS509" i="9" s="1"/>
  <c r="AT509" i="9" s="1"/>
  <c r="AN185" i="9"/>
  <c r="AO185" i="9" s="1"/>
  <c r="AN58" i="9"/>
  <c r="AO58" i="9" s="1"/>
  <c r="AN549" i="9"/>
  <c r="AO549" i="9" s="1"/>
  <c r="W53" i="9"/>
  <c r="AN122" i="9"/>
  <c r="AO122" i="9" s="1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AJ508" i="9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U708" i="9"/>
  <c r="V708" i="9"/>
  <c r="AI708" i="9"/>
  <c r="AJ708" i="9" s="1"/>
  <c r="V718" i="9"/>
  <c r="AI718" i="9"/>
  <c r="AJ718" i="9" s="1"/>
  <c r="U718" i="9"/>
  <c r="AI707" i="9"/>
  <c r="AJ707" i="9" s="1"/>
  <c r="V707" i="9"/>
  <c r="U707" i="9"/>
  <c r="U726" i="9"/>
  <c r="AI726" i="9"/>
  <c r="AJ726" i="9" s="1"/>
  <c r="V726" i="9"/>
  <c r="V713" i="9"/>
  <c r="U713" i="9"/>
  <c r="AI713" i="9"/>
  <c r="AJ713" i="9" s="1"/>
  <c r="U690" i="9"/>
  <c r="V690" i="9"/>
  <c r="AI690" i="9"/>
  <c r="AN690" i="9" s="1"/>
  <c r="AO690" i="9" s="1"/>
  <c r="U721" i="9"/>
  <c r="V721" i="9"/>
  <c r="AI721" i="9"/>
  <c r="AN721" i="9" s="1"/>
  <c r="AO721" i="9" s="1"/>
  <c r="U712" i="9"/>
  <c r="V712" i="9"/>
  <c r="AI712" i="9"/>
  <c r="AJ712" i="9" s="1"/>
  <c r="AI429" i="9"/>
  <c r="AJ429" i="9" s="1"/>
  <c r="U429" i="9"/>
  <c r="V429" i="9"/>
  <c r="AI680" i="9"/>
  <c r="AJ680" i="9" s="1"/>
  <c r="U680" i="9"/>
  <c r="V680" i="9"/>
  <c r="U688" i="9"/>
  <c r="V688" i="9"/>
  <c r="AI688" i="9"/>
  <c r="AJ688" i="9" s="1"/>
  <c r="V681" i="9"/>
  <c r="U681" i="9"/>
  <c r="AI681" i="9"/>
  <c r="AJ681" i="9" s="1"/>
  <c r="V725" i="9"/>
  <c r="U725" i="9"/>
  <c r="AI725" i="9"/>
  <c r="AJ725" i="9" s="1"/>
  <c r="X189" i="9"/>
  <c r="X727" i="9"/>
  <c r="V728" i="9"/>
  <c r="AI728" i="9"/>
  <c r="AJ728" i="9" s="1"/>
  <c r="U728" i="9"/>
  <c r="X442" i="9"/>
  <c r="AN436" i="9"/>
  <c r="AO436" i="9" s="1"/>
  <c r="AN423" i="9"/>
  <c r="AO423" i="9" s="1"/>
  <c r="AN403" i="9"/>
  <c r="AO403" i="9" s="1"/>
  <c r="AS414" i="9"/>
  <c r="AT414" i="9" s="1"/>
  <c r="AS153" i="9"/>
  <c r="AT153" i="9" s="1"/>
  <c r="AS105" i="9"/>
  <c r="AT105" i="9" s="1"/>
  <c r="AS166" i="9"/>
  <c r="AT166" i="9" s="1"/>
  <c r="AO330" i="9"/>
  <c r="AS330" i="9"/>
  <c r="AT330" i="9" s="1"/>
  <c r="AS508" i="9"/>
  <c r="AT508" i="9" s="1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208" i="9"/>
  <c r="AS208" i="9"/>
  <c r="AT208" i="9" s="1"/>
  <c r="AO328" i="9"/>
  <c r="AX328" i="9"/>
  <c r="AY328" i="9" s="1"/>
  <c r="AO380" i="9"/>
  <c r="AS380" i="9"/>
  <c r="AT380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709" i="9"/>
  <c r="T252" i="5"/>
  <c r="T259" i="5"/>
  <c r="T323" i="5"/>
  <c r="T120" i="5"/>
  <c r="T308" i="5"/>
  <c r="T206" i="5"/>
  <c r="T205" i="5"/>
  <c r="T76" i="5"/>
  <c r="T317" i="5"/>
  <c r="T292" i="5"/>
  <c r="T170" i="5"/>
  <c r="T75" i="5"/>
  <c r="T178" i="5"/>
  <c r="T127" i="5"/>
  <c r="T136" i="5"/>
  <c r="T159" i="5"/>
  <c r="T91" i="5"/>
  <c r="T48" i="5"/>
  <c r="T29" i="5"/>
  <c r="T218" i="5"/>
  <c r="T290" i="5"/>
  <c r="T267" i="5"/>
  <c r="T211" i="5"/>
  <c r="T188" i="5"/>
  <c r="T187" i="5"/>
  <c r="T163" i="5"/>
  <c r="T242" i="5"/>
  <c r="T12" i="5"/>
  <c r="T133" i="5"/>
  <c r="T119" i="5"/>
  <c r="T126" i="5"/>
  <c r="T86" i="5"/>
  <c r="T50" i="5"/>
  <c r="T148" i="5"/>
  <c r="T514" i="9"/>
  <c r="T153" i="5"/>
  <c r="T223" i="5"/>
  <c r="T164" i="5"/>
  <c r="T216" i="5"/>
  <c r="T337" i="5"/>
  <c r="T124" i="5"/>
  <c r="T240" i="5"/>
  <c r="T94" i="5"/>
  <c r="T174" i="5"/>
  <c r="T219" i="5"/>
  <c r="T288" i="5"/>
  <c r="T144" i="5"/>
  <c r="T102" i="5"/>
  <c r="T234" i="5"/>
  <c r="T112" i="5"/>
  <c r="T40" i="5"/>
  <c r="T30" i="5"/>
  <c r="T306" i="5"/>
  <c r="T297" i="5"/>
  <c r="T245" i="5"/>
  <c r="T116" i="5"/>
  <c r="T177" i="5"/>
  <c r="T203" i="5"/>
  <c r="T151" i="5"/>
  <c r="R5" i="4" a="1"/>
  <c r="T213" i="5"/>
  <c r="T229" i="5"/>
  <c r="T325" i="5"/>
  <c r="T137" i="5"/>
  <c r="T321" i="5"/>
  <c r="T125" i="5"/>
  <c r="T165" i="5"/>
  <c r="T239" i="5"/>
  <c r="T155" i="5"/>
  <c r="T122" i="5"/>
  <c r="T14" i="5"/>
  <c r="T724" i="9"/>
  <c r="T25" i="5"/>
  <c r="T98" i="5"/>
  <c r="T313" i="5"/>
  <c r="T36" i="5"/>
  <c r="T97" i="5"/>
  <c r="T60" i="5"/>
  <c r="T209" i="5"/>
  <c r="T263" i="5"/>
  <c r="T17" i="5"/>
  <c r="T327" i="5"/>
  <c r="T55" i="5"/>
  <c r="T105" i="5"/>
  <c r="T335" i="5"/>
  <c r="T236" i="5"/>
  <c r="T11" i="5"/>
  <c r="T123" i="5"/>
  <c r="T95" i="5"/>
  <c r="T176" i="5"/>
  <c r="T140" i="5"/>
  <c r="T81" i="5"/>
  <c r="T70" i="5"/>
  <c r="T65" i="5"/>
  <c r="T301" i="5"/>
  <c r="T141" i="5"/>
  <c r="T121" i="5"/>
  <c r="T51" i="5"/>
  <c r="T44" i="5"/>
  <c r="T189" i="5"/>
  <c r="T115" i="5"/>
  <c r="T18" i="5"/>
  <c r="T241" i="5"/>
  <c r="T107" i="5"/>
  <c r="T67" i="5"/>
  <c r="T87" i="5"/>
  <c r="T63" i="5"/>
  <c r="T130" i="5"/>
  <c r="T110" i="5"/>
  <c r="T46" i="5"/>
  <c r="T231" i="5"/>
  <c r="T54" i="5"/>
  <c r="T287" i="5"/>
  <c r="T104" i="5"/>
  <c r="T319" i="5"/>
  <c r="T221" i="5"/>
  <c r="T329" i="5"/>
  <c r="T47" i="5"/>
  <c r="T166" i="5"/>
  <c r="T185" i="5"/>
  <c r="T88" i="5"/>
  <c r="T272" i="5"/>
  <c r="T117" i="5"/>
  <c r="T269" i="5"/>
  <c r="T53" i="5"/>
  <c r="T254" i="5"/>
  <c r="T43" i="5"/>
  <c r="T72" i="5"/>
  <c r="T691" i="9"/>
  <c r="T685" i="9"/>
  <c r="T16" i="5"/>
  <c r="T215" i="5"/>
  <c r="T198" i="5"/>
  <c r="T264" i="5"/>
  <c r="T468" i="9"/>
  <c r="T212" i="5"/>
  <c r="T161" i="5"/>
  <c r="T83" i="5"/>
  <c r="T682" i="9"/>
  <c r="T273" i="5"/>
  <c r="T222" i="5"/>
  <c r="T19" i="5"/>
  <c r="T80" i="5"/>
  <c r="T168" i="5"/>
  <c r="T723" i="9"/>
  <c r="T78" i="5"/>
  <c r="T666" i="9"/>
  <c r="T310" i="5"/>
  <c r="T154" i="5"/>
  <c r="T260" i="5"/>
  <c r="T249" i="5"/>
  <c r="T255" i="5"/>
  <c r="T131" i="5"/>
  <c r="T66" i="5"/>
  <c r="T195" i="5"/>
  <c r="T171" i="5"/>
  <c r="T251" i="5"/>
  <c r="T27" i="5"/>
  <c r="T237" i="5"/>
  <c r="T109" i="5"/>
  <c r="T128" i="5"/>
  <c r="T28" i="5"/>
  <c r="T41" i="5"/>
  <c r="T258" i="5"/>
  <c r="T623" i="9"/>
  <c r="T57" i="5"/>
  <c r="T333" i="5"/>
  <c r="T13" i="5"/>
  <c r="T186" i="5"/>
  <c r="T228" i="5"/>
  <c r="T31" i="5"/>
  <c r="T33" i="5"/>
  <c r="T180" i="5"/>
  <c r="T343" i="5"/>
  <c r="T82" i="5"/>
  <c r="T42" i="5"/>
  <c r="T720" i="9"/>
  <c r="T84" i="5"/>
  <c r="T247" i="5"/>
  <c r="T35" i="5"/>
  <c r="T197" i="5"/>
  <c r="T175" i="5"/>
  <c r="T143" i="5"/>
  <c r="T132" i="5"/>
  <c r="T45" i="5"/>
  <c r="T204" i="5"/>
  <c r="T194" i="5"/>
  <c r="T179" i="5"/>
  <c r="T268" i="5"/>
  <c r="T270" i="5"/>
  <c r="T201" i="5"/>
  <c r="T265" i="5"/>
  <c r="T315" i="5"/>
  <c r="T181" i="5"/>
  <c r="T719" i="9"/>
  <c r="T135" i="5"/>
  <c r="T129" i="5"/>
  <c r="T38" i="5"/>
  <c r="T233" i="5"/>
  <c r="T687" i="9"/>
  <c r="T183" i="5"/>
  <c r="T686" i="9"/>
  <c r="T648" i="9"/>
  <c r="T150" i="5"/>
  <c r="T22" i="5"/>
  <c r="T191" i="5"/>
  <c r="T316" i="5"/>
  <c r="T68" i="5"/>
  <c r="T298" i="5"/>
  <c r="T58" i="5"/>
  <c r="T100" i="5"/>
  <c r="T157" i="5"/>
  <c r="T20" i="5"/>
  <c r="T111" i="5"/>
  <c r="T77" i="5"/>
  <c r="T246" i="5"/>
  <c r="T108" i="5"/>
  <c r="T311" i="5"/>
  <c r="T90" i="5"/>
  <c r="T262" i="5"/>
  <c r="T149" i="5"/>
  <c r="T291" i="5"/>
  <c r="T300" i="5"/>
  <c r="T173" i="5"/>
  <c r="T96" i="5"/>
  <c r="T99" i="5"/>
  <c r="T304" i="5"/>
  <c r="T295" i="5"/>
  <c r="T227" i="5"/>
  <c r="T248" i="5"/>
  <c r="T169" i="5"/>
  <c r="T330" i="5"/>
  <c r="T21" i="5"/>
  <c r="T145" i="5"/>
  <c r="T134" i="5"/>
  <c r="T235" i="5"/>
  <c r="T344" i="5"/>
  <c r="T716" i="9"/>
  <c r="T289" i="5"/>
  <c r="T113" i="5"/>
  <c r="T37" i="5"/>
  <c r="T56" i="5"/>
  <c r="T210" i="5"/>
  <c r="T172" i="5"/>
  <c r="T243" i="5"/>
  <c r="T331" i="5"/>
  <c r="T193" i="5"/>
  <c r="T695" i="9"/>
  <c r="T61" i="5"/>
  <c r="T225" i="5"/>
  <c r="T224" i="5"/>
  <c r="T142" i="5"/>
  <c r="T294" i="5"/>
  <c r="T62" i="5"/>
  <c r="T192" i="5"/>
  <c r="T147" i="5"/>
  <c r="T286" i="5"/>
  <c r="T73" i="5"/>
  <c r="T601" i="9"/>
  <c r="T253" i="5"/>
  <c r="T85" i="5"/>
  <c r="T23" i="5"/>
  <c r="T152" i="5"/>
  <c r="T106" i="5"/>
  <c r="T261" i="5"/>
  <c r="T296" i="5"/>
  <c r="T26" i="5"/>
  <c r="T52" i="5"/>
  <c r="T158" i="5"/>
  <c r="T711" i="9"/>
  <c r="T207" i="5"/>
  <c r="T285" i="5"/>
  <c r="T703" i="9"/>
  <c r="T101" i="5"/>
  <c r="T93" i="5"/>
  <c r="T302" i="5"/>
  <c r="T266" i="5"/>
  <c r="T217" i="5"/>
  <c r="T705" i="9"/>
  <c r="T162" i="5"/>
  <c r="T257" i="5"/>
  <c r="T139" i="5"/>
  <c r="T704" i="9"/>
  <c r="T293" i="5"/>
  <c r="T683" i="9"/>
  <c r="T89" i="5"/>
  <c r="T182" i="5"/>
  <c r="T71" i="5"/>
  <c r="T717" i="9"/>
  <c r="T553" i="9"/>
  <c r="T338" i="5"/>
  <c r="T32" i="5"/>
  <c r="T156" i="5"/>
  <c r="T146" i="5"/>
  <c r="T160" i="5"/>
  <c r="W339" i="5" l="1"/>
  <c r="AS396" i="9"/>
  <c r="AT396" i="9" s="1"/>
  <c r="AJ396" i="9"/>
  <c r="AN426" i="9"/>
  <c r="AS426" i="9" s="1"/>
  <c r="AT426" i="9" s="1"/>
  <c r="AN433" i="9"/>
  <c r="AO433" i="9" s="1"/>
  <c r="V695" i="9"/>
  <c r="W694" i="9" s="1"/>
  <c r="X694" i="9"/>
  <c r="X162" i="9"/>
  <c r="X409" i="9"/>
  <c r="AI695" i="9"/>
  <c r="AN695" i="9" s="1"/>
  <c r="AO695" i="9" s="1"/>
  <c r="U695" i="9"/>
  <c r="V716" i="9"/>
  <c r="AI716" i="9"/>
  <c r="AJ716" i="9" s="1"/>
  <c r="U716" i="9"/>
  <c r="U687" i="9"/>
  <c r="AI687" i="9"/>
  <c r="AJ687" i="9" s="1"/>
  <c r="V687" i="9"/>
  <c r="U719" i="9"/>
  <c r="AI719" i="9"/>
  <c r="AN719" i="9" s="1"/>
  <c r="AO719" i="9" s="1"/>
  <c r="V719" i="9"/>
  <c r="AI720" i="9"/>
  <c r="AN720" i="9" s="1"/>
  <c r="AO720" i="9" s="1"/>
  <c r="U720" i="9"/>
  <c r="V720" i="9"/>
  <c r="AI685" i="9"/>
  <c r="AN685" i="9" s="1"/>
  <c r="AO685" i="9" s="1"/>
  <c r="V685" i="9"/>
  <c r="U685" i="9"/>
  <c r="V724" i="9"/>
  <c r="AI724" i="9"/>
  <c r="AJ724" i="9" s="1"/>
  <c r="U724" i="9"/>
  <c r="V709" i="9"/>
  <c r="W421" i="9" s="1"/>
  <c r="U709" i="9"/>
  <c r="AI709" i="9"/>
  <c r="AJ709" i="9" s="1"/>
  <c r="X168" i="9"/>
  <c r="X706" i="9"/>
  <c r="X421" i="9"/>
  <c r="AJ419" i="9"/>
  <c r="W727" i="9"/>
  <c r="AJ443" i="9"/>
  <c r="AS443" i="9"/>
  <c r="AT443" i="9" s="1"/>
  <c r="AJ698" i="9"/>
  <c r="AS419" i="9"/>
  <c r="AT419" i="9" s="1"/>
  <c r="V682" i="9"/>
  <c r="AI682" i="9"/>
  <c r="AJ682" i="9" s="1"/>
  <c r="U682" i="9"/>
  <c r="AI704" i="9"/>
  <c r="AJ704" i="9" s="1"/>
  <c r="U704" i="9"/>
  <c r="V704" i="9"/>
  <c r="X715" i="9"/>
  <c r="U717" i="9"/>
  <c r="V717" i="9"/>
  <c r="AI717" i="9"/>
  <c r="AJ717" i="9" s="1"/>
  <c r="X430" i="9"/>
  <c r="X177" i="9"/>
  <c r="AN405" i="9"/>
  <c r="AO405" i="9" s="1"/>
  <c r="AN434" i="9"/>
  <c r="AO434" i="9" s="1"/>
  <c r="AN395" i="9"/>
  <c r="AO395" i="9" s="1"/>
  <c r="AS698" i="9"/>
  <c r="AT698" i="9" s="1"/>
  <c r="V703" i="9"/>
  <c r="X417" i="9"/>
  <c r="X702" i="9"/>
  <c r="X164" i="9"/>
  <c r="U703" i="9"/>
  <c r="AI703" i="9"/>
  <c r="AJ703" i="9" s="1"/>
  <c r="U705" i="9"/>
  <c r="AI705" i="9"/>
  <c r="AJ705" i="9" s="1"/>
  <c r="V705" i="9"/>
  <c r="X722" i="9"/>
  <c r="V723" i="9"/>
  <c r="AI723" i="9"/>
  <c r="AN723" i="9" s="1"/>
  <c r="AO723" i="9" s="1"/>
  <c r="U723" i="9"/>
  <c r="X184" i="9"/>
  <c r="X437" i="9"/>
  <c r="X684" i="9"/>
  <c r="U686" i="9"/>
  <c r="X399" i="9"/>
  <c r="V686" i="9"/>
  <c r="AI686" i="9"/>
  <c r="AJ686" i="9" s="1"/>
  <c r="X152" i="9"/>
  <c r="X404" i="9"/>
  <c r="V691" i="9"/>
  <c r="W404" i="9" s="1"/>
  <c r="X689" i="9"/>
  <c r="U691" i="9"/>
  <c r="X157" i="9"/>
  <c r="AI691" i="9"/>
  <c r="AJ691" i="9" s="1"/>
  <c r="X147" i="9"/>
  <c r="X679" i="9"/>
  <c r="U683" i="9"/>
  <c r="X394" i="9"/>
  <c r="AI683" i="9"/>
  <c r="AN683" i="9" s="1"/>
  <c r="AO683" i="9" s="1"/>
  <c r="V683" i="9"/>
  <c r="AS427" i="9"/>
  <c r="AT427" i="9" s="1"/>
  <c r="W697" i="9"/>
  <c r="AN440" i="9"/>
  <c r="AO440" i="9" s="1"/>
  <c r="AS422" i="9"/>
  <c r="AT422" i="9" s="1"/>
  <c r="W415" i="9"/>
  <c r="AN424" i="9"/>
  <c r="AO424" i="9" s="1"/>
  <c r="AN400" i="9"/>
  <c r="AS400" i="9" s="1"/>
  <c r="AT400" i="9" s="1"/>
  <c r="AN431" i="9"/>
  <c r="AO431" i="9" s="1"/>
  <c r="AN439" i="9"/>
  <c r="AO439" i="9" s="1"/>
  <c r="AJ427" i="9"/>
  <c r="AJ422" i="9"/>
  <c r="AN435" i="9"/>
  <c r="AO435" i="9" s="1"/>
  <c r="AN701" i="9"/>
  <c r="AO701" i="9" s="1"/>
  <c r="AN418" i="9"/>
  <c r="AO418" i="9" s="1"/>
  <c r="AN438" i="9"/>
  <c r="AO438" i="9" s="1"/>
  <c r="W412" i="9"/>
  <c r="AN397" i="9"/>
  <c r="AO397" i="9" s="1"/>
  <c r="AN401" i="9"/>
  <c r="AO401" i="9" s="1"/>
  <c r="AS185" i="9"/>
  <c r="AT185" i="9" s="1"/>
  <c r="AN398" i="9"/>
  <c r="AO398" i="9" s="1"/>
  <c r="AO509" i="9"/>
  <c r="AN441" i="9"/>
  <c r="AS441" i="9" s="1"/>
  <c r="AT441" i="9" s="1"/>
  <c r="AN428" i="9"/>
  <c r="AO428" i="9" s="1"/>
  <c r="AN432" i="9"/>
  <c r="AO432" i="9" s="1"/>
  <c r="AS410" i="9"/>
  <c r="AT410" i="9" s="1"/>
  <c r="AN406" i="9"/>
  <c r="AS406" i="9" s="1"/>
  <c r="AT406" i="9" s="1"/>
  <c r="AS58" i="9"/>
  <c r="AT58" i="9" s="1"/>
  <c r="AS133" i="9"/>
  <c r="AT133" i="9" s="1"/>
  <c r="AN402" i="9"/>
  <c r="AO402" i="9" s="1"/>
  <c r="AN699" i="9"/>
  <c r="AO699" i="9" s="1"/>
  <c r="AN420" i="9"/>
  <c r="AO420" i="9" s="1"/>
  <c r="AS549" i="9"/>
  <c r="AX549" i="9" s="1"/>
  <c r="AY549" i="9" s="1"/>
  <c r="AJ410" i="9"/>
  <c r="AS289" i="9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N708" i="9"/>
  <c r="AO708" i="9" s="1"/>
  <c r="X172" i="9"/>
  <c r="U711" i="9"/>
  <c r="V711" i="9"/>
  <c r="W172" i="9" s="1"/>
  <c r="AI711" i="9"/>
  <c r="AJ711" i="9" s="1"/>
  <c r="X710" i="9"/>
  <c r="X425" i="9"/>
  <c r="AN707" i="9"/>
  <c r="AO707" i="9" s="1"/>
  <c r="AN718" i="9"/>
  <c r="AO718" i="9" s="1"/>
  <c r="AN725" i="9"/>
  <c r="AO725" i="9" s="1"/>
  <c r="AN429" i="9"/>
  <c r="AO429" i="9" s="1"/>
  <c r="AN680" i="9"/>
  <c r="AS680" i="9" s="1"/>
  <c r="AT680" i="9" s="1"/>
  <c r="AS690" i="9"/>
  <c r="AT690" i="9" s="1"/>
  <c r="AN688" i="9"/>
  <c r="AS688" i="9" s="1"/>
  <c r="W442" i="9"/>
  <c r="AN728" i="9"/>
  <c r="AO728" i="9" s="1"/>
  <c r="AJ721" i="9"/>
  <c r="AS721" i="9"/>
  <c r="AT721" i="9" s="1"/>
  <c r="AN726" i="9"/>
  <c r="AS726" i="9" s="1"/>
  <c r="AN713" i="9"/>
  <c r="AO713" i="9" s="1"/>
  <c r="AN712" i="9"/>
  <c r="AS712" i="9" s="1"/>
  <c r="AT712" i="9" s="1"/>
  <c r="W189" i="9"/>
  <c r="AJ690" i="9"/>
  <c r="AN681" i="9"/>
  <c r="AS681" i="9" s="1"/>
  <c r="AT681" i="9" s="1"/>
  <c r="AS436" i="9"/>
  <c r="AT436" i="9" s="1"/>
  <c r="AS403" i="9"/>
  <c r="AT403" i="9" s="1"/>
  <c r="AS423" i="9"/>
  <c r="AT423" i="9" s="1"/>
  <c r="AX414" i="9"/>
  <c r="AY414" i="9" s="1"/>
  <c r="AX416" i="9"/>
  <c r="AY416" i="9" s="1"/>
  <c r="AX156" i="9"/>
  <c r="AY156" i="9" s="1"/>
  <c r="AX153" i="9"/>
  <c r="AY153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251" i="9"/>
  <c r="AY251" i="9" s="1"/>
  <c r="AX14" i="9"/>
  <c r="AY14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149" i="9"/>
  <c r="AY149" i="9" s="1"/>
  <c r="AX365" i="9"/>
  <c r="AY365" i="9" s="1"/>
  <c r="AT158" i="9"/>
  <c r="AX158" i="9"/>
  <c r="AY158" i="9" s="1"/>
  <c r="AX641" i="9"/>
  <c r="AY641" i="9" s="1"/>
  <c r="AX181" i="9"/>
  <c r="AY181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Q113" i="9"/>
  <c r="AR112" i="9"/>
  <c r="AQ62" i="9"/>
  <c r="AR61" i="9"/>
  <c r="AL338" i="9"/>
  <c r="AM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K372" i="9"/>
  <c r="L371" i="9"/>
  <c r="U371" i="9" s="1"/>
  <c r="N601" i="9"/>
  <c r="CF601" i="9"/>
  <c r="K387" i="9"/>
  <c r="L386" i="9"/>
  <c r="U386" i="9" s="1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624" i="9"/>
  <c r="T335" i="9"/>
  <c r="T199" i="5"/>
  <c r="T469" i="9"/>
  <c r="T515" i="9"/>
  <c r="T667" i="9"/>
  <c r="T603" i="9"/>
  <c r="T649" i="9"/>
  <c r="T554" i="9"/>
  <c r="T274" i="5"/>
  <c r="W162" i="9" l="1"/>
  <c r="AX443" i="9"/>
  <c r="AY443" i="9" s="1"/>
  <c r="AX419" i="9"/>
  <c r="AY419" i="9" s="1"/>
  <c r="W409" i="9"/>
  <c r="AX396" i="9"/>
  <c r="AY396" i="9" s="1"/>
  <c r="AS433" i="9"/>
  <c r="AX433" i="9" s="1"/>
  <c r="AY433" i="9" s="1"/>
  <c r="AN687" i="9"/>
  <c r="AO687" i="9" s="1"/>
  <c r="AN704" i="9"/>
  <c r="AO704" i="9" s="1"/>
  <c r="AS720" i="9"/>
  <c r="AT720" i="9" s="1"/>
  <c r="AJ720" i="9"/>
  <c r="AO426" i="9"/>
  <c r="AX426" i="9"/>
  <c r="AY426" i="9" s="1"/>
  <c r="W437" i="9"/>
  <c r="AS719" i="9"/>
  <c r="AT719" i="9" s="1"/>
  <c r="AS405" i="9"/>
  <c r="AT405" i="9" s="1"/>
  <c r="AS695" i="9"/>
  <c r="AT695" i="9" s="1"/>
  <c r="W147" i="9"/>
  <c r="AJ719" i="9"/>
  <c r="AJ695" i="9"/>
  <c r="AJ685" i="9"/>
  <c r="W679" i="9"/>
  <c r="AS685" i="9"/>
  <c r="AT685" i="9" s="1"/>
  <c r="AS723" i="9"/>
  <c r="AT723" i="9" s="1"/>
  <c r="W715" i="9"/>
  <c r="W168" i="9"/>
  <c r="AN682" i="9"/>
  <c r="AS682" i="9" s="1"/>
  <c r="AT682" i="9" s="1"/>
  <c r="AX698" i="9"/>
  <c r="AY698" i="9" s="1"/>
  <c r="AN716" i="9"/>
  <c r="AO716" i="9" s="1"/>
  <c r="AN724" i="9"/>
  <c r="AO724" i="9" s="1"/>
  <c r="AJ723" i="9"/>
  <c r="W706" i="9"/>
  <c r="W399" i="9"/>
  <c r="AN709" i="9"/>
  <c r="AO709" i="9" s="1"/>
  <c r="AS395" i="9"/>
  <c r="AT395" i="9" s="1"/>
  <c r="W430" i="9"/>
  <c r="W177" i="9"/>
  <c r="AX19" i="9"/>
  <c r="AY19" i="9" s="1"/>
  <c r="AX400" i="9"/>
  <c r="AY400" i="9" s="1"/>
  <c r="AO400" i="9"/>
  <c r="AN717" i="9"/>
  <c r="AS717" i="9" s="1"/>
  <c r="AT717" i="9" s="1"/>
  <c r="V335" i="9"/>
  <c r="AI335" i="9"/>
  <c r="AJ335" i="9" s="1"/>
  <c r="U335" i="9"/>
  <c r="AS431" i="9"/>
  <c r="AT431" i="9" s="1"/>
  <c r="W394" i="9"/>
  <c r="AX427" i="9"/>
  <c r="AY427" i="9" s="1"/>
  <c r="AS701" i="9"/>
  <c r="AT701" i="9" s="1"/>
  <c r="AS439" i="9"/>
  <c r="AX439" i="9" s="1"/>
  <c r="AY439" i="9" s="1"/>
  <c r="AS424" i="9"/>
  <c r="AT424" i="9" s="1"/>
  <c r="W184" i="9"/>
  <c r="AN705" i="9"/>
  <c r="AO705" i="9" s="1"/>
  <c r="AS398" i="9"/>
  <c r="AT398" i="9" s="1"/>
  <c r="W702" i="9"/>
  <c r="W157" i="9"/>
  <c r="AX185" i="9"/>
  <c r="AY185" i="9" s="1"/>
  <c r="AS434" i="9"/>
  <c r="AT434" i="9" s="1"/>
  <c r="W689" i="9"/>
  <c r="AO441" i="9"/>
  <c r="AJ683" i="9"/>
  <c r="AX441" i="9"/>
  <c r="AY441" i="9" s="1"/>
  <c r="AS440" i="9"/>
  <c r="AT440" i="9" s="1"/>
  <c r="AS435" i="9"/>
  <c r="AT435" i="9" s="1"/>
  <c r="AN686" i="9"/>
  <c r="AS686" i="9" s="1"/>
  <c r="AT686" i="9" s="1"/>
  <c r="AS438" i="9"/>
  <c r="AT438" i="9" s="1"/>
  <c r="W684" i="9"/>
  <c r="W152" i="9"/>
  <c r="AS418" i="9"/>
  <c r="AT418" i="9" s="1"/>
  <c r="W417" i="9"/>
  <c r="AN691" i="9"/>
  <c r="AS691" i="9" s="1"/>
  <c r="AT691" i="9" s="1"/>
  <c r="AN703" i="9"/>
  <c r="AS703" i="9" s="1"/>
  <c r="AT703" i="9" s="1"/>
  <c r="AS683" i="9"/>
  <c r="AT683" i="9" s="1"/>
  <c r="AS397" i="9"/>
  <c r="AT397" i="9" s="1"/>
  <c r="W164" i="9"/>
  <c r="AX422" i="9"/>
  <c r="AY422" i="9" s="1"/>
  <c r="W722" i="9"/>
  <c r="AS401" i="9"/>
  <c r="AT401" i="9" s="1"/>
  <c r="AS428" i="9"/>
  <c r="AT428" i="9" s="1"/>
  <c r="AX410" i="9"/>
  <c r="AY410" i="9" s="1"/>
  <c r="AX406" i="9"/>
  <c r="AY406" i="9" s="1"/>
  <c r="AX58" i="9"/>
  <c r="AY58" i="9" s="1"/>
  <c r="AO406" i="9"/>
  <c r="AX289" i="9"/>
  <c r="AY289" i="9" s="1"/>
  <c r="AS432" i="9"/>
  <c r="AX432" i="9" s="1"/>
  <c r="AY432" i="9" s="1"/>
  <c r="AS420" i="9"/>
  <c r="AT420" i="9" s="1"/>
  <c r="AX133" i="9"/>
  <c r="AY133" i="9" s="1"/>
  <c r="AT549" i="9"/>
  <c r="AS402" i="9"/>
  <c r="AT402" i="9" s="1"/>
  <c r="AS699" i="9"/>
  <c r="AT699" i="9" s="1"/>
  <c r="AX253" i="9"/>
  <c r="AY253" i="9" s="1"/>
  <c r="AX327" i="9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S708" i="9"/>
  <c r="AT708" i="9" s="1"/>
  <c r="W425" i="9"/>
  <c r="W710" i="9"/>
  <c r="AS725" i="9"/>
  <c r="AT725" i="9" s="1"/>
  <c r="AN711" i="9"/>
  <c r="AO711" i="9" s="1"/>
  <c r="AS718" i="9"/>
  <c r="AX718" i="9" s="1"/>
  <c r="AY718" i="9" s="1"/>
  <c r="AS707" i="9"/>
  <c r="AT707" i="9" s="1"/>
  <c r="AS687" i="9"/>
  <c r="AX687" i="9" s="1"/>
  <c r="AY687" i="9" s="1"/>
  <c r="AS429" i="9"/>
  <c r="AT429" i="9" s="1"/>
  <c r="AO680" i="9"/>
  <c r="AX721" i="9"/>
  <c r="AY721" i="9" s="1"/>
  <c r="AX680" i="9"/>
  <c r="AY680" i="9" s="1"/>
  <c r="AS728" i="9"/>
  <c r="AT728" i="9" s="1"/>
  <c r="AO726" i="9"/>
  <c r="AS713" i="9"/>
  <c r="AX713" i="9" s="1"/>
  <c r="AY713" i="9" s="1"/>
  <c r="AO688" i="9"/>
  <c r="V554" i="9"/>
  <c r="AI554" i="9"/>
  <c r="AN554" i="9" s="1"/>
  <c r="AO554" i="9" s="1"/>
  <c r="U554" i="9"/>
  <c r="AO712" i="9"/>
  <c r="AX690" i="9"/>
  <c r="AY690" i="9" s="1"/>
  <c r="AX712" i="9"/>
  <c r="AY712" i="9" s="1"/>
  <c r="AX681" i="9"/>
  <c r="AY681" i="9" s="1"/>
  <c r="AO681" i="9"/>
  <c r="AX436" i="9"/>
  <c r="AY436" i="9" s="1"/>
  <c r="AX403" i="9"/>
  <c r="AY403" i="9" s="1"/>
  <c r="AX423" i="9"/>
  <c r="AY423" i="9" s="1"/>
  <c r="AT726" i="9"/>
  <c r="AX726" i="9"/>
  <c r="AY726" i="9" s="1"/>
  <c r="AT688" i="9"/>
  <c r="AX688" i="9"/>
  <c r="AY688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668" i="9"/>
  <c r="T230" i="5"/>
  <c r="T200" i="5"/>
  <c r="T555" i="9"/>
  <c r="T516" i="9"/>
  <c r="T650" i="9"/>
  <c r="T470" i="9"/>
  <c r="T275" i="5"/>
  <c r="T604" i="9"/>
  <c r="T625" i="9"/>
  <c r="AX723" i="9" l="1"/>
  <c r="AY723" i="9" s="1"/>
  <c r="AT433" i="9"/>
  <c r="AX719" i="9"/>
  <c r="AY719" i="9" s="1"/>
  <c r="AS704" i="9"/>
  <c r="AT704" i="9" s="1"/>
  <c r="AX720" i="9"/>
  <c r="AY720" i="9" s="1"/>
  <c r="AX695" i="9"/>
  <c r="AY695" i="9" s="1"/>
  <c r="AX405" i="9"/>
  <c r="AY405" i="9" s="1"/>
  <c r="AX682" i="9"/>
  <c r="AY682" i="9" s="1"/>
  <c r="AO682" i="9"/>
  <c r="AX685" i="9"/>
  <c r="AY685" i="9" s="1"/>
  <c r="AX717" i="9"/>
  <c r="AY717" i="9" s="1"/>
  <c r="AS716" i="9"/>
  <c r="AT716" i="9" s="1"/>
  <c r="AS724" i="9"/>
  <c r="AT724" i="9" s="1"/>
  <c r="AS709" i="9"/>
  <c r="AT709" i="9" s="1"/>
  <c r="AO717" i="9"/>
  <c r="AX395" i="9"/>
  <c r="AY395" i="9" s="1"/>
  <c r="AX424" i="9"/>
  <c r="AY424" i="9" s="1"/>
  <c r="AT439" i="9"/>
  <c r="AX703" i="9"/>
  <c r="AY703" i="9" s="1"/>
  <c r="V200" i="5"/>
  <c r="W196" i="5" s="1"/>
  <c r="V230" i="5"/>
  <c r="W226" i="5" s="1"/>
  <c r="U200" i="5"/>
  <c r="U230" i="5"/>
  <c r="AS705" i="9"/>
  <c r="AX705" i="9" s="1"/>
  <c r="AY705" i="9" s="1"/>
  <c r="AN335" i="9"/>
  <c r="AO335" i="9" s="1"/>
  <c r="AX431" i="9"/>
  <c r="AY431" i="9" s="1"/>
  <c r="AX701" i="9"/>
  <c r="AY701" i="9" s="1"/>
  <c r="AX434" i="9"/>
  <c r="AY434" i="9" s="1"/>
  <c r="AX398" i="9"/>
  <c r="AY398" i="9" s="1"/>
  <c r="AO686" i="9"/>
  <c r="AX397" i="9"/>
  <c r="AY397" i="9" s="1"/>
  <c r="AX440" i="9"/>
  <c r="AY440" i="9" s="1"/>
  <c r="AO691" i="9"/>
  <c r="AX418" i="9"/>
  <c r="AY418" i="9" s="1"/>
  <c r="AX691" i="9"/>
  <c r="AY691" i="9" s="1"/>
  <c r="AX435" i="9"/>
  <c r="AY435" i="9" s="1"/>
  <c r="AX428" i="9"/>
  <c r="AY428" i="9" s="1"/>
  <c r="AX438" i="9"/>
  <c r="AY438" i="9" s="1"/>
  <c r="AX686" i="9"/>
  <c r="AY686" i="9" s="1"/>
  <c r="AT432" i="9"/>
  <c r="AX683" i="9"/>
  <c r="AY683" i="9" s="1"/>
  <c r="AX401" i="9"/>
  <c r="AY401" i="9" s="1"/>
  <c r="AO703" i="9"/>
  <c r="AX420" i="9"/>
  <c r="AY420" i="9" s="1"/>
  <c r="AX402" i="9"/>
  <c r="AY402" i="9" s="1"/>
  <c r="AX699" i="9"/>
  <c r="AY699" i="9" s="1"/>
  <c r="AX708" i="9"/>
  <c r="AY708" i="9" s="1"/>
  <c r="AX725" i="9"/>
  <c r="AY725" i="9" s="1"/>
  <c r="AS711" i="9"/>
  <c r="AT711" i="9" s="1"/>
  <c r="AT718" i="9"/>
  <c r="AT687" i="9"/>
  <c r="AX429" i="9"/>
  <c r="AY429" i="9" s="1"/>
  <c r="AX707" i="9"/>
  <c r="AY707" i="9" s="1"/>
  <c r="AX728" i="9"/>
  <c r="AY728" i="9" s="1"/>
  <c r="AT713" i="9"/>
  <c r="AJ554" i="9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517" i="9"/>
  <c r="T471" i="9"/>
  <c r="T276" i="5"/>
  <c r="T626" i="9"/>
  <c r="T605" i="9"/>
  <c r="T651" i="9"/>
  <c r="T556" i="9"/>
  <c r="T337" i="9"/>
  <c r="T669" i="9"/>
  <c r="AX704" i="9" l="1"/>
  <c r="AY704" i="9" s="1"/>
  <c r="AX724" i="9"/>
  <c r="AY724" i="9" s="1"/>
  <c r="AX709" i="9"/>
  <c r="AY709" i="9" s="1"/>
  <c r="AX716" i="9"/>
  <c r="AY716" i="9" s="1"/>
  <c r="AO650" i="9"/>
  <c r="AT705" i="9"/>
  <c r="AS335" i="9"/>
  <c r="AT335" i="9" s="1"/>
  <c r="V337" i="9"/>
  <c r="AI337" i="9"/>
  <c r="AJ337" i="9" s="1"/>
  <c r="U337" i="9"/>
  <c r="AX711" i="9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52" i="9"/>
  <c r="T627" i="9"/>
  <c r="T472" i="9"/>
  <c r="T670" i="9"/>
  <c r="T518" i="9"/>
  <c r="T277" i="5"/>
  <c r="T606" i="9"/>
  <c r="T557" i="9"/>
  <c r="AX335" i="9" l="1"/>
  <c r="AY335" i="9" s="1"/>
  <c r="AN337" i="9"/>
  <c r="AO337" i="9" s="1"/>
  <c r="V557" i="9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608" i="9"/>
  <c r="T278" i="5"/>
  <c r="T340" i="9"/>
  <c r="T653" i="9"/>
  <c r="T473" i="9"/>
  <c r="T671" i="9"/>
  <c r="T628" i="9"/>
  <c r="T558" i="9"/>
  <c r="T520" i="9"/>
  <c r="AI340" i="9" l="1"/>
  <c r="AJ340" i="9" s="1"/>
  <c r="V340" i="9"/>
  <c r="AS337" i="9"/>
  <c r="AT337" i="9" s="1"/>
  <c r="AN557" i="9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474" i="9"/>
  <c r="T672" i="9"/>
  <c r="T521" i="9"/>
  <c r="T629" i="9"/>
  <c r="T279" i="5"/>
  <c r="T559" i="9"/>
  <c r="T654" i="9"/>
  <c r="T609" i="9"/>
  <c r="AN340" i="9" l="1"/>
  <c r="AO340" i="9" s="1"/>
  <c r="V521" i="9"/>
  <c r="AX337" i="9"/>
  <c r="AY337" i="9" s="1"/>
  <c r="U521" i="9"/>
  <c r="AN558" i="9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655" i="9"/>
  <c r="T358" i="9"/>
  <c r="T342" i="9"/>
  <c r="T475" i="9"/>
  <c r="T280" i="5"/>
  <c r="T610" i="9"/>
  <c r="T522" i="9"/>
  <c r="T560" i="9"/>
  <c r="T673" i="9"/>
  <c r="AS340" i="9" l="1"/>
  <c r="AT340" i="9" s="1"/>
  <c r="V342" i="9"/>
  <c r="W339" i="9" s="1"/>
  <c r="AI342" i="9"/>
  <c r="AJ342" i="9" s="1"/>
  <c r="AI358" i="9"/>
  <c r="AJ358" i="9" s="1"/>
  <c r="V358" i="9"/>
  <c r="U358" i="9"/>
  <c r="AS558" i="9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81" i="5"/>
  <c r="T674" i="9"/>
  <c r="T656" i="9"/>
  <c r="T226" i="9"/>
  <c r="T523" i="9"/>
  <c r="T476" i="9"/>
  <c r="T611" i="9"/>
  <c r="T561" i="9"/>
  <c r="T631" i="9"/>
  <c r="AX340" i="9" l="1"/>
  <c r="AY340" i="9" s="1"/>
  <c r="V476" i="9"/>
  <c r="AI476" i="9"/>
  <c r="AJ476" i="9" s="1"/>
  <c r="AN358" i="9"/>
  <c r="AN342" i="9"/>
  <c r="AO342" i="9" s="1"/>
  <c r="U476" i="9"/>
  <c r="AX558" i="9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658" i="9"/>
  <c r="T612" i="9"/>
  <c r="T562" i="9"/>
  <c r="T478" i="9"/>
  <c r="T524" i="9"/>
  <c r="T632" i="9"/>
  <c r="T675" i="9"/>
  <c r="T282" i="5"/>
  <c r="T283" i="5"/>
  <c r="T360" i="9"/>
  <c r="T657" i="9"/>
  <c r="V283" i="5" l="1"/>
  <c r="U283" i="5"/>
  <c r="AS342" i="9"/>
  <c r="AT342" i="9" s="1"/>
  <c r="V360" i="9"/>
  <c r="W344" i="9" s="1"/>
  <c r="AI360" i="9"/>
  <c r="AJ360" i="9" s="1"/>
  <c r="AO358" i="9"/>
  <c r="AS358" i="9"/>
  <c r="U360" i="9"/>
  <c r="AN476" i="9"/>
  <c r="V524" i="9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633" i="9"/>
  <c r="T613" i="9"/>
  <c r="T301" i="9"/>
  <c r="T479" i="9"/>
  <c r="T526" i="9"/>
  <c r="T676" i="9"/>
  <c r="T564" i="9"/>
  <c r="T614" i="9"/>
  <c r="W271" i="5" l="1"/>
  <c r="AX342" i="9"/>
  <c r="AY342" i="9" s="1"/>
  <c r="AN360" i="9"/>
  <c r="AI301" i="9"/>
  <c r="AJ301" i="9" s="1"/>
  <c r="V301" i="9"/>
  <c r="AO476" i="9"/>
  <c r="AS476" i="9"/>
  <c r="AN658" i="9"/>
  <c r="AO658" i="9" s="1"/>
  <c r="AT358" i="9"/>
  <c r="AX358" i="9"/>
  <c r="AY358" i="9" s="1"/>
  <c r="U301" i="9"/>
  <c r="AI479" i="9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677" i="9"/>
  <c r="T527" i="9"/>
  <c r="T678" i="9"/>
  <c r="T634" i="9"/>
  <c r="T480" i="9"/>
  <c r="T565" i="9"/>
  <c r="AN301" i="9" l="1"/>
  <c r="AO301" i="9" s="1"/>
  <c r="AO360" i="9"/>
  <c r="AS360" i="9"/>
  <c r="AS658" i="9"/>
  <c r="AT658" i="9" s="1"/>
  <c r="V527" i="9"/>
  <c r="AT476" i="9"/>
  <c r="AX476" i="9"/>
  <c r="AY476" i="9" s="1"/>
  <c r="U527" i="9"/>
  <c r="AN479" i="9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566" i="9"/>
  <c r="T635" i="9"/>
  <c r="T528" i="9"/>
  <c r="AX658" i="9" l="1"/>
  <c r="AY658" i="9" s="1"/>
  <c r="AS301" i="9"/>
  <c r="AT360" i="9"/>
  <c r="AX360" i="9"/>
  <c r="AY360" i="9" s="1"/>
  <c r="AO479" i="9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529" i="9"/>
  <c r="T567" i="9"/>
  <c r="T636" i="9"/>
  <c r="AT301" i="9" l="1"/>
  <c r="AX301" i="9"/>
  <c r="AY301" i="9" s="1"/>
  <c r="AT479" i="9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530" i="9"/>
  <c r="T568" i="9"/>
  <c r="T483" i="9"/>
  <c r="T637" i="9"/>
  <c r="V568" i="9" l="1"/>
  <c r="AI568" i="9"/>
  <c r="AJ568" i="9" s="1"/>
  <c r="U568" i="9"/>
  <c r="AI483" i="9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69" i="9"/>
  <c r="T638" i="9"/>
  <c r="T531" i="9"/>
  <c r="AN568" i="9" l="1"/>
  <c r="AO568" i="9" s="1"/>
  <c r="AN483" i="9"/>
  <c r="AO483" i="9" s="1"/>
  <c r="AS529" i="9"/>
  <c r="AT529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485" i="9"/>
  <c r="T570" i="9"/>
  <c r="T532" i="9"/>
  <c r="AS568" i="9" l="1"/>
  <c r="AT568" i="9" s="1"/>
  <c r="AS483" i="9"/>
  <c r="AX529" i="9"/>
  <c r="AY529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486" i="9"/>
  <c r="T309" i="9"/>
  <c r="T534" i="9"/>
  <c r="T572" i="9"/>
  <c r="AX568" i="9" l="1"/>
  <c r="AY568" i="9" s="1"/>
  <c r="V309" i="9"/>
  <c r="AI309" i="9"/>
  <c r="AJ309" i="9" s="1"/>
  <c r="U309" i="9"/>
  <c r="AT483" i="9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573" i="9"/>
  <c r="T487" i="9"/>
  <c r="T535" i="9"/>
  <c r="AN309" i="9" l="1"/>
  <c r="AO309" i="9" s="1"/>
  <c r="V535" i="9"/>
  <c r="U535" i="9"/>
  <c r="AS570" i="9"/>
  <c r="AX570" i="9" s="1"/>
  <c r="AY570" i="9" s="1"/>
  <c r="AX39" i="9"/>
  <c r="AY39" i="9" s="1"/>
  <c r="AS532" i="9"/>
  <c r="AT532" i="9" s="1"/>
  <c r="AN572" i="9"/>
  <c r="AO572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74" i="9"/>
  <c r="T488" i="9"/>
  <c r="T536" i="9"/>
  <c r="AS309" i="9" l="1"/>
  <c r="AT309" i="9" s="1"/>
  <c r="AT570" i="9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239" i="9"/>
  <c r="T537" i="9"/>
  <c r="T575" i="9"/>
  <c r="T489" i="9"/>
  <c r="AX309" i="9" l="1"/>
  <c r="AY309" i="9" s="1"/>
  <c r="V489" i="9"/>
  <c r="AI489" i="9"/>
  <c r="AJ489" i="9" s="1"/>
  <c r="U489" i="9"/>
  <c r="AX278" i="9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576" i="9"/>
  <c r="T538" i="9"/>
  <c r="T490" i="9"/>
  <c r="T240" i="9"/>
  <c r="AN489" i="9" l="1"/>
  <c r="AI240" i="9"/>
  <c r="AJ240" i="9" s="1"/>
  <c r="V240" i="9"/>
  <c r="U240" i="9"/>
  <c r="AX487" i="9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577" i="9"/>
  <c r="T492" i="9"/>
  <c r="T539" i="9"/>
  <c r="AS489" i="9" l="1"/>
  <c r="AO489" i="9"/>
  <c r="V577" i="9"/>
  <c r="AI577" i="9"/>
  <c r="AJ577" i="9" s="1"/>
  <c r="U577" i="9"/>
  <c r="AX280" i="9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242" i="9"/>
  <c r="T540" i="9"/>
  <c r="T493" i="9"/>
  <c r="T578" i="9"/>
  <c r="AN577" i="9" l="1"/>
  <c r="AO577" i="9" s="1"/>
  <c r="AT489" i="9"/>
  <c r="AX489" i="9"/>
  <c r="AY489" i="9" s="1"/>
  <c r="AN492" i="9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579" i="9"/>
  <c r="T494" i="9"/>
  <c r="T541" i="9"/>
  <c r="AS577" i="9" l="1"/>
  <c r="AT577" i="9" s="1"/>
  <c r="AX539" i="9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495" i="9"/>
  <c r="T318" i="9"/>
  <c r="T542" i="9"/>
  <c r="T581" i="9"/>
  <c r="AX577" i="9" l="1"/>
  <c r="AY577" i="9" s="1"/>
  <c r="AI318" i="9"/>
  <c r="AJ318" i="9" s="1"/>
  <c r="V318" i="9"/>
  <c r="W317" i="9" s="1"/>
  <c r="W308" i="9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544" i="9"/>
  <c r="T246" i="9"/>
  <c r="T496" i="9"/>
  <c r="T582" i="9"/>
  <c r="T543" i="9"/>
  <c r="AN318" i="9" l="1"/>
  <c r="AO318" i="9" s="1"/>
  <c r="AI496" i="9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583" i="9"/>
  <c r="T248" i="9"/>
  <c r="AS318" i="9" l="1"/>
  <c r="AT318" i="9" s="1"/>
  <c r="V248" i="9"/>
  <c r="W243" i="9" s="1"/>
  <c r="AI248" i="9"/>
  <c r="AJ248" i="9" s="1"/>
  <c r="U248" i="9"/>
  <c r="W237" i="9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AS166" i="5"/>
  <c r="AT166" i="5" s="1"/>
  <c r="AX164" i="5"/>
  <c r="AY164" i="5" s="1"/>
  <c r="AT164" i="5"/>
  <c r="AS165" i="5"/>
  <c r="T499" i="9"/>
  <c r="T584" i="9"/>
  <c r="AX318" i="9" l="1"/>
  <c r="AY318" i="9" s="1"/>
  <c r="V584" i="9"/>
  <c r="AI584" i="9"/>
  <c r="AJ584" i="9" s="1"/>
  <c r="U584" i="9"/>
  <c r="AS496" i="9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00" i="9"/>
  <c r="T585" i="9"/>
  <c r="AN584" i="9" l="1"/>
  <c r="AO584" i="9" s="1"/>
  <c r="AN499" i="9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584" i="9" l="1"/>
  <c r="AT584" i="9" s="1"/>
  <c r="AS499" i="9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02" i="9"/>
  <c r="T587" i="9"/>
  <c r="AX584" i="9" l="1"/>
  <c r="AY584" i="9" s="1"/>
  <c r="AX499" i="9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88" i="9"/>
  <c r="T503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05" i="9"/>
  <c r="T504" i="9"/>
  <c r="T589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P123" i="6"/>
  <c r="AL40" i="4"/>
  <c r="AP214" i="6"/>
  <c r="AP193" i="6"/>
  <c r="AP367" i="6"/>
  <c r="AP150" i="6"/>
  <c r="AL73" i="4"/>
  <c r="AP408" i="6"/>
  <c r="AP393" i="6"/>
  <c r="AL35" i="4"/>
  <c r="AP301" i="6"/>
  <c r="AL226" i="4"/>
  <c r="AP437" i="6"/>
  <c r="AP472" i="6"/>
  <c r="AL37" i="4"/>
  <c r="AP92" i="6"/>
  <c r="AP30" i="6"/>
  <c r="AP337" i="6"/>
  <c r="AP496" i="6"/>
  <c r="AP170" i="6"/>
  <c r="AL41" i="4"/>
  <c r="AP153" i="6"/>
  <c r="AL233" i="4"/>
  <c r="AP221" i="6"/>
  <c r="AP302" i="6"/>
  <c r="AP133" i="6"/>
  <c r="AL82" i="4"/>
  <c r="AP475" i="6"/>
  <c r="AP307" i="6"/>
  <c r="AL165" i="4"/>
  <c r="AP331" i="6"/>
  <c r="AP455" i="6"/>
  <c r="AP227" i="6"/>
  <c r="AL207" i="4"/>
  <c r="AP287" i="6"/>
  <c r="AP196" i="6"/>
  <c r="AP509" i="6"/>
  <c r="AP182" i="6"/>
  <c r="AL279" i="4"/>
  <c r="AL72" i="4"/>
  <c r="AP519" i="6"/>
  <c r="AP414" i="6"/>
  <c r="AP115" i="6"/>
  <c r="AP398" i="6"/>
  <c r="AL123" i="4"/>
  <c r="AL195" i="4"/>
  <c r="AP109" i="6"/>
  <c r="AL112" i="4"/>
  <c r="AL186" i="4"/>
  <c r="AP159" i="6"/>
  <c r="AL308" i="4"/>
  <c r="AL111" i="4"/>
  <c r="AP55" i="6"/>
  <c r="AL182" i="4"/>
  <c r="AL197" i="4"/>
  <c r="AL304" i="4"/>
  <c r="AP305" i="6"/>
  <c r="AP514" i="6"/>
  <c r="AL325" i="4"/>
  <c r="AP497" i="6"/>
  <c r="AP450" i="6"/>
  <c r="AP295" i="6"/>
  <c r="AP432" i="6"/>
  <c r="AL198" i="4"/>
  <c r="AP478" i="6"/>
  <c r="AL289" i="4"/>
  <c r="AP86" i="6"/>
  <c r="AP157" i="6"/>
  <c r="AL242" i="4"/>
  <c r="AP231" i="6"/>
  <c r="AP204" i="6"/>
  <c r="AP180" i="6"/>
  <c r="AP101" i="6"/>
  <c r="AP446" i="6"/>
  <c r="AL139" i="4"/>
  <c r="AP538" i="6"/>
  <c r="AL264" i="4"/>
  <c r="AL136" i="4"/>
  <c r="AP249" i="6"/>
  <c r="AP89" i="6"/>
  <c r="AP250" i="6"/>
  <c r="AP181" i="6"/>
  <c r="AP168" i="6"/>
  <c r="AL67" i="4"/>
  <c r="AL282" i="4"/>
  <c r="AP164" i="6"/>
  <c r="AL114" i="4"/>
  <c r="AL302" i="4"/>
  <c r="AP32" i="6"/>
  <c r="AP477" i="6"/>
  <c r="AP51" i="6"/>
  <c r="AP76" i="6"/>
  <c r="AL172" i="4"/>
  <c r="AP500" i="6"/>
  <c r="AL192" i="4"/>
  <c r="AP242" i="6"/>
  <c r="AL251" i="4"/>
  <c r="AP389" i="6"/>
  <c r="AL68" i="4"/>
  <c r="AP114" i="6"/>
  <c r="AL127" i="4"/>
  <c r="AL183" i="4"/>
  <c r="AL148" i="4"/>
  <c r="AP335" i="6"/>
  <c r="AP467" i="6"/>
  <c r="AP418" i="6"/>
  <c r="AP351" i="6"/>
  <c r="AP281" i="6"/>
  <c r="AL51" i="4"/>
  <c r="AP363" i="6"/>
  <c r="AP465" i="6"/>
  <c r="AP120" i="6"/>
  <c r="AP380" i="6"/>
  <c r="AL307" i="4"/>
  <c r="AP222" i="6"/>
  <c r="AP136" i="6"/>
  <c r="AP243" i="6"/>
  <c r="AP300" i="6"/>
  <c r="AP387" i="6"/>
  <c r="AL143" i="4"/>
  <c r="AP31" i="6"/>
  <c r="AL283" i="4"/>
  <c r="AL30" i="4"/>
  <c r="AP364" i="6"/>
  <c r="AP548" i="6"/>
  <c r="AP275" i="6"/>
  <c r="AP328" i="6"/>
  <c r="AP185" i="6"/>
  <c r="AP229" i="6"/>
  <c r="AL93" i="4"/>
  <c r="AP392" i="6"/>
  <c r="AL206" i="4"/>
  <c r="AL118" i="4"/>
  <c r="AP118" i="6"/>
  <c r="AP33" i="6"/>
  <c r="AL290" i="4"/>
  <c r="AP169" i="6"/>
  <c r="AP160" i="6"/>
  <c r="AP187" i="6"/>
  <c r="AP371" i="6"/>
  <c r="AP47" i="6"/>
  <c r="AP40" i="6"/>
  <c r="AP381" i="6"/>
  <c r="AP520" i="6"/>
  <c r="AL34" i="4"/>
  <c r="AP322" i="6"/>
  <c r="AL173" i="4"/>
  <c r="AL135" i="4"/>
  <c r="AP90" i="6"/>
  <c r="AL99" i="4"/>
  <c r="AP75" i="6"/>
  <c r="AP460" i="6"/>
  <c r="AL254" i="4"/>
  <c r="AP179" i="6"/>
  <c r="AL297" i="4"/>
  <c r="AP156" i="6"/>
  <c r="AP449" i="6"/>
  <c r="AP121" i="6"/>
  <c r="AP503" i="6"/>
  <c r="AP304" i="6"/>
  <c r="AL154" i="4"/>
  <c r="AP60" i="6"/>
  <c r="AP508" i="6"/>
  <c r="AP361" i="6"/>
  <c r="AL163" i="4"/>
  <c r="AP117" i="6"/>
  <c r="AP248" i="6"/>
  <c r="AP306" i="6"/>
  <c r="AL180" i="4"/>
  <c r="AP45" i="6"/>
  <c r="AP543" i="6"/>
  <c r="AP313" i="6"/>
  <c r="AL223" i="4"/>
  <c r="AL77" i="4"/>
  <c r="AP411" i="6"/>
  <c r="AP374" i="6"/>
  <c r="AP511" i="6"/>
  <c r="AP69" i="6"/>
  <c r="AP68" i="6"/>
  <c r="AP334" i="6"/>
  <c r="AL310" i="4"/>
  <c r="AP140" i="6"/>
  <c r="AL50" i="4"/>
  <c r="AL268" i="4"/>
  <c r="AP99" i="6"/>
  <c r="AP345" i="6"/>
  <c r="AP53" i="6"/>
  <c r="AP468" i="6"/>
  <c r="AP72" i="6"/>
  <c r="AL229" i="4"/>
  <c r="AP260" i="6"/>
  <c r="AP463" i="6"/>
  <c r="AP299" i="6"/>
  <c r="AP401" i="6"/>
  <c r="AL57" i="4"/>
  <c r="AL248" i="4"/>
  <c r="AL178" i="4"/>
  <c r="AP431" i="6"/>
  <c r="AL101" i="4"/>
  <c r="AP358" i="6"/>
  <c r="AP549" i="6"/>
  <c r="AP246" i="6"/>
  <c r="AL69" i="4"/>
  <c r="AP191" i="6"/>
  <c r="AP230" i="6"/>
  <c r="AL317" i="4"/>
  <c r="AP125" i="6"/>
  <c r="AP184" i="6"/>
  <c r="AP54" i="6"/>
  <c r="AL259" i="4"/>
  <c r="AL199" i="4"/>
  <c r="AP147" i="6"/>
  <c r="AP262" i="6"/>
  <c r="AL43" i="4"/>
  <c r="AP79" i="6"/>
  <c r="AP94" i="6"/>
  <c r="AP154" i="6"/>
  <c r="AP100" i="6"/>
  <c r="AL184" i="4"/>
  <c r="AL230" i="4"/>
  <c r="AP207" i="6"/>
  <c r="AL249" i="4"/>
  <c r="AL110" i="4"/>
  <c r="AP61" i="6"/>
  <c r="AP279" i="6"/>
  <c r="AP348" i="6"/>
  <c r="AL54" i="4"/>
  <c r="AP254" i="6"/>
  <c r="AP375" i="6"/>
  <c r="AL171" i="4"/>
  <c r="AL90" i="4"/>
  <c r="AL269" i="4"/>
  <c r="AL129" i="4"/>
  <c r="AP141" i="6"/>
  <c r="AP483" i="6"/>
  <c r="AL253" i="4"/>
  <c r="AL211" i="4"/>
  <c r="AP171" i="6"/>
  <c r="AP341" i="6"/>
  <c r="AP336" i="6"/>
  <c r="AP453" i="6"/>
  <c r="AP108" i="6"/>
  <c r="AP466" i="6"/>
  <c r="AP81" i="6"/>
  <c r="AP93" i="6"/>
  <c r="AL319" i="4"/>
  <c r="AL146" i="4"/>
  <c r="AL58" i="4"/>
  <c r="AP388" i="6"/>
  <c r="AP73" i="6"/>
  <c r="AL134" i="4"/>
  <c r="AL31" i="4"/>
  <c r="AL294" i="4"/>
  <c r="AP166" i="6"/>
  <c r="AL312" i="4"/>
  <c r="AP46" i="6"/>
  <c r="AL218" i="4"/>
  <c r="AP34" i="6"/>
  <c r="AL191" i="4"/>
  <c r="AP62" i="6"/>
  <c r="AP144" i="6"/>
  <c r="AP71" i="6"/>
  <c r="AP263" i="6"/>
  <c r="AP430" i="6"/>
  <c r="AP74" i="6"/>
  <c r="AP285" i="6"/>
  <c r="AL83" i="4"/>
  <c r="AP517" i="6"/>
  <c r="AL133" i="4"/>
  <c r="AL270" i="4"/>
  <c r="AP452" i="6"/>
  <c r="AP236" i="6"/>
  <c r="AP487" i="6"/>
  <c r="AL91" i="4"/>
  <c r="AP235" i="6"/>
  <c r="AP155" i="6"/>
  <c r="AP234" i="6"/>
  <c r="AL119" i="4"/>
  <c r="AP216" i="6"/>
  <c r="AP138" i="6"/>
  <c r="AP480" i="6"/>
  <c r="AP349" i="6"/>
  <c r="AL278" i="4"/>
  <c r="AP370" i="6"/>
  <c r="AL108" i="4"/>
  <c r="AP122" i="6"/>
  <c r="AL266" i="4"/>
  <c r="AP128" i="6"/>
  <c r="AL201" i="4"/>
  <c r="AP303" i="6"/>
  <c r="AL320" i="4"/>
  <c r="AP240" i="6"/>
  <c r="AP294" i="6"/>
  <c r="AP415" i="6"/>
  <c r="AP486" i="6"/>
  <c r="AP400" i="6"/>
  <c r="AP461" i="6"/>
  <c r="AP194" i="6"/>
  <c r="AL79" i="4"/>
  <c r="AP39" i="6"/>
  <c r="AP85" i="6"/>
  <c r="AL120" i="4"/>
  <c r="AP342" i="6"/>
  <c r="AP407" i="6"/>
  <c r="AP143" i="6"/>
  <c r="AL243" i="4"/>
  <c r="AP323" i="6"/>
  <c r="AL231" i="4"/>
  <c r="AP434" i="6"/>
  <c r="AP142" i="6"/>
  <c r="AL160" i="4"/>
  <c r="AP403" i="6"/>
  <c r="AP502" i="6"/>
  <c r="AP395" i="6"/>
  <c r="AP271" i="6"/>
  <c r="AP167" i="6"/>
  <c r="AP104" i="6"/>
  <c r="AP177" i="6"/>
  <c r="AL144" i="4"/>
  <c r="AP397" i="6"/>
  <c r="AP510" i="6"/>
  <c r="AP176" i="6"/>
  <c r="AP107" i="6"/>
  <c r="AP212" i="6"/>
  <c r="AL70" i="4"/>
  <c r="AL275" i="4"/>
  <c r="AL321" i="4"/>
  <c r="AL219" i="4"/>
  <c r="AP316" i="6"/>
  <c r="AL131" i="4"/>
  <c r="AL187" i="4"/>
  <c r="AL257" i="4"/>
  <c r="AP333" i="6"/>
  <c r="AP264" i="6"/>
  <c r="AL124" i="4"/>
  <c r="AL309" i="4"/>
  <c r="AL78" i="4"/>
  <c r="AL222" i="4"/>
  <c r="AL126" i="4"/>
  <c r="AL224" i="4"/>
  <c r="AP528" i="6"/>
  <c r="AP457" i="6"/>
  <c r="AP65" i="6"/>
  <c r="AP448" i="6"/>
  <c r="AP438" i="6"/>
  <c r="AL53" i="4"/>
  <c r="AP174" i="6"/>
  <c r="AP258" i="6"/>
  <c r="AL262" i="4"/>
  <c r="AL285" i="4"/>
  <c r="AL74" i="4"/>
  <c r="AL311" i="4"/>
  <c r="AP545" i="6"/>
  <c r="AP311" i="6"/>
  <c r="AP139" i="6"/>
  <c r="AL179" i="4"/>
  <c r="AP368" i="6"/>
  <c r="AP473" i="6"/>
  <c r="AP521" i="6"/>
  <c r="AP64" i="6"/>
  <c r="AL147" i="4"/>
  <c r="AP280" i="6"/>
  <c r="AL65" i="4"/>
  <c r="AL200" i="4"/>
  <c r="AP63" i="6"/>
  <c r="AP298" i="6"/>
  <c r="AL125" i="4"/>
  <c r="AL150" i="4"/>
  <c r="AL305" i="4"/>
  <c r="AP505" i="6"/>
  <c r="AP524" i="6"/>
  <c r="AP52" i="6"/>
  <c r="AP489" i="6"/>
  <c r="AP206" i="6"/>
  <c r="AP314" i="6"/>
  <c r="AL62" i="4"/>
  <c r="AL315" i="4"/>
  <c r="AL106" i="4"/>
  <c r="AL277" i="4"/>
  <c r="AP394" i="6"/>
  <c r="AP484" i="6"/>
  <c r="AP49" i="6"/>
  <c r="AP365" i="6"/>
  <c r="AP416" i="6"/>
  <c r="AP291" i="6"/>
  <c r="AL61" i="4"/>
  <c r="AL48" i="4"/>
  <c r="AL299" i="4"/>
  <c r="AP98" i="6"/>
  <c r="AP422" i="6"/>
  <c r="AL313" i="4"/>
  <c r="AP158" i="6"/>
  <c r="AP202" i="6"/>
  <c r="AP385" i="6"/>
  <c r="AL258" i="4"/>
  <c r="AP37" i="6"/>
  <c r="AL208" i="4"/>
  <c r="AL237" i="4"/>
  <c r="AL240" i="4"/>
  <c r="AP330" i="6"/>
  <c r="AL193" i="4"/>
  <c r="AP533" i="6"/>
  <c r="AP163" i="6"/>
  <c r="AL236" i="4"/>
  <c r="AL164" i="4"/>
  <c r="AP256" i="6"/>
  <c r="AP211" i="6"/>
  <c r="AP162" i="6"/>
  <c r="AP536" i="6"/>
  <c r="AL137" i="4"/>
  <c r="AP265" i="6"/>
  <c r="AP119" i="6"/>
  <c r="AL232" i="4"/>
  <c r="AP451" i="6"/>
  <c r="AL210" i="4"/>
  <c r="AL292" i="4"/>
  <c r="AP405" i="6"/>
  <c r="AL115" i="4"/>
  <c r="AL205" i="4"/>
  <c r="AP464" i="6"/>
  <c r="AP537" i="6"/>
  <c r="AL44" i="4"/>
  <c r="AL177" i="4"/>
  <c r="AP326" i="6"/>
  <c r="AL256" i="4"/>
  <c r="AP132" i="6"/>
  <c r="AL36" i="4"/>
  <c r="AL255" i="4"/>
  <c r="AL212" i="4"/>
  <c r="AP526" i="6"/>
  <c r="AP244" i="6"/>
  <c r="AP261" i="6"/>
  <c r="AL32" i="4"/>
  <c r="AP529" i="6"/>
  <c r="AL145" i="4"/>
  <c r="AP286" i="6"/>
  <c r="AL55" i="4"/>
  <c r="AP433" i="6"/>
  <c r="AP325" i="6"/>
  <c r="AP491" i="6"/>
  <c r="AL239" i="4"/>
  <c r="AP469" i="6"/>
  <c r="AL318" i="4"/>
  <c r="AP145" i="6"/>
  <c r="AP269" i="6"/>
  <c r="AP111" i="6"/>
  <c r="AP539" i="6"/>
  <c r="AL213" i="4"/>
  <c r="AP59" i="6"/>
  <c r="AL107" i="4"/>
  <c r="AP427" i="6"/>
  <c r="AL95" i="4"/>
  <c r="AL128" i="4"/>
  <c r="AL225" i="4"/>
  <c r="AP308" i="6"/>
  <c r="AP96" i="6"/>
  <c r="AP241" i="6"/>
  <c r="AP220" i="6"/>
  <c r="AP172" i="6"/>
  <c r="AP319" i="6"/>
  <c r="AP445" i="6"/>
  <c r="AL38" i="4"/>
  <c r="AP270" i="6"/>
  <c r="AL189" i="4"/>
  <c r="AL141" i="4"/>
  <c r="AL113" i="4"/>
  <c r="AP208" i="6"/>
  <c r="AP390" i="6"/>
  <c r="AL293" i="4"/>
  <c r="AL246" i="4"/>
  <c r="AL227" i="4"/>
  <c r="AP498" i="6"/>
  <c r="AP225" i="6"/>
  <c r="AP413" i="6"/>
  <c r="AL306" i="4"/>
  <c r="AP315" i="6"/>
  <c r="AL45" i="4"/>
  <c r="AP67" i="6"/>
  <c r="AL287" i="4"/>
  <c r="AL59" i="4"/>
  <c r="AP327" i="6"/>
  <c r="AP440" i="6"/>
  <c r="AP66" i="6"/>
  <c r="AP199" i="6"/>
  <c r="AP377" i="6"/>
  <c r="AL194" i="4"/>
  <c r="AL46" i="4"/>
  <c r="AP126" i="6"/>
  <c r="AP443" i="6"/>
  <c r="AL152" i="4"/>
  <c r="AL49" i="4"/>
  <c r="AP129" i="6"/>
  <c r="AL190" i="4"/>
  <c r="AL316" i="4"/>
  <c r="AP226" i="6"/>
  <c r="AP481" i="6"/>
  <c r="AL60" i="4"/>
  <c r="AL215" i="4"/>
  <c r="AL235" i="4"/>
  <c r="AL322" i="4"/>
  <c r="AP442" i="6"/>
  <c r="AP277" i="6"/>
  <c r="AL185" i="4"/>
  <c r="AP127" i="6"/>
  <c r="AP35" i="6"/>
  <c r="AP320" i="6"/>
  <c r="AP357" i="6"/>
  <c r="AP205" i="6"/>
  <c r="AL138" i="4"/>
  <c r="AP518" i="6"/>
  <c r="AP296" i="6"/>
  <c r="AP441" i="6"/>
  <c r="AL175" i="4"/>
  <c r="AL162" i="4"/>
  <c r="AP200" i="6"/>
  <c r="AP224" i="6"/>
  <c r="AL286" i="4"/>
  <c r="AP252" i="6"/>
  <c r="AP41" i="6"/>
  <c r="AP347" i="6"/>
  <c r="AP297" i="6"/>
  <c r="AP428" i="6"/>
  <c r="AL276" i="4"/>
  <c r="AP471" i="6"/>
  <c r="AP376" i="6"/>
  <c r="AP479" i="6"/>
  <c r="AP268" i="6"/>
  <c r="AP257" i="6"/>
  <c r="AP83" i="6"/>
  <c r="AP507" i="6"/>
  <c r="AP223" i="6"/>
  <c r="AP338" i="6"/>
  <c r="AL267" i="4"/>
  <c r="AL217" i="4"/>
  <c r="AP251" i="6"/>
  <c r="AP318" i="6"/>
  <c r="AL170" i="4"/>
  <c r="AL280" i="4"/>
  <c r="AP329" i="6"/>
  <c r="AP485" i="6"/>
  <c r="AP535" i="6"/>
  <c r="AL157" i="4"/>
  <c r="AP103" i="6"/>
  <c r="AL314" i="4"/>
  <c r="AP419" i="6"/>
  <c r="AP490" i="6"/>
  <c r="AP293" i="6"/>
  <c r="AP245" i="6"/>
  <c r="AL174" i="4"/>
  <c r="AP88" i="6"/>
  <c r="AP57" i="6"/>
  <c r="AL159" i="4"/>
  <c r="AL66" i="4"/>
  <c r="AL291" i="4"/>
  <c r="AL155" i="4"/>
  <c r="AP410" i="6"/>
  <c r="AP383" i="6"/>
  <c r="AP406" i="6"/>
  <c r="AP439" i="6"/>
  <c r="AP110" i="6"/>
  <c r="AL221" i="4"/>
  <c r="AP247" i="6"/>
  <c r="AP42" i="6"/>
  <c r="AL56" i="4"/>
  <c r="AP359" i="6"/>
  <c r="AP310" i="6"/>
  <c r="AL39" i="4"/>
  <c r="AP420" i="6"/>
  <c r="AP386" i="6"/>
  <c r="AP515" i="6"/>
  <c r="AL181" i="4"/>
  <c r="AP494" i="6"/>
  <c r="AP354" i="6"/>
  <c r="AP541" i="6"/>
  <c r="AP531" i="6"/>
  <c r="AP493" i="6"/>
  <c r="AL260" i="4"/>
  <c r="AP130" i="6"/>
  <c r="AP228" i="6"/>
  <c r="AP97" i="6"/>
  <c r="AP80" i="6"/>
  <c r="AL272" i="4"/>
  <c r="AP417" i="6"/>
  <c r="AP540" i="6"/>
  <c r="AP339" i="6"/>
  <c r="AP288" i="6"/>
  <c r="AP495" i="6"/>
  <c r="AP426" i="6"/>
  <c r="AP135" i="6"/>
  <c r="AP276" i="6"/>
  <c r="AL52" i="4"/>
  <c r="AL228" i="4"/>
  <c r="AP233" i="6"/>
  <c r="AP124" i="6"/>
  <c r="AP215" i="6"/>
  <c r="AL71" i="4"/>
  <c r="AP190" i="6"/>
  <c r="AL168" i="4"/>
  <c r="AP321" i="6"/>
  <c r="AL100" i="4"/>
  <c r="AL156" i="4"/>
  <c r="AP527" i="6"/>
  <c r="AP324" i="6"/>
  <c r="AP530" i="6"/>
  <c r="AL88" i="4"/>
  <c r="AP360" i="6"/>
  <c r="AP362" i="6"/>
  <c r="AP217" i="6"/>
  <c r="AP476" i="6"/>
  <c r="AP56" i="6"/>
  <c r="AP137" i="6"/>
  <c r="AL288" i="4"/>
  <c r="AP219" i="6"/>
  <c r="AP116" i="6"/>
  <c r="AP284" i="6"/>
  <c r="AP201" i="6"/>
  <c r="AP112" i="6"/>
  <c r="AP38" i="6"/>
  <c r="AP384" i="6"/>
  <c r="AP148" i="6"/>
  <c r="AP209" i="6"/>
  <c r="AP91" i="6"/>
  <c r="AL166" i="4"/>
  <c r="AP346" i="6"/>
  <c r="AP396" i="6"/>
  <c r="AL98" i="4"/>
  <c r="AL142" i="4"/>
  <c r="AL261" i="4"/>
  <c r="AP506" i="6"/>
  <c r="AP317" i="6"/>
  <c r="AP84" i="6"/>
  <c r="AL149" i="4"/>
  <c r="AP151" i="6"/>
  <c r="AL323" i="4"/>
  <c r="AL324" i="4"/>
  <c r="AL301" i="4"/>
  <c r="AP499" i="6"/>
  <c r="AP36" i="6"/>
  <c r="AP456" i="6"/>
  <c r="AP542" i="6"/>
  <c r="AL85" i="4"/>
  <c r="AP273" i="6"/>
  <c r="AP454" i="6"/>
  <c r="AP492" i="6"/>
  <c r="AL92" i="4"/>
  <c r="AP332" i="6"/>
  <c r="AL296" i="4"/>
  <c r="AL196" i="4"/>
  <c r="AL140" i="4"/>
  <c r="AP272" i="6"/>
  <c r="AL151" i="4"/>
  <c r="AP178" i="6"/>
  <c r="AP372" i="6"/>
  <c r="AP373" i="6"/>
  <c r="AP532" i="6"/>
  <c r="AP421" i="6"/>
  <c r="AP77" i="6"/>
  <c r="AL96" i="4"/>
  <c r="AP146" i="6"/>
  <c r="AP82" i="6"/>
  <c r="AL103" i="4"/>
  <c r="AP282" i="6"/>
  <c r="AP102" i="6"/>
  <c r="AL81" i="4"/>
  <c r="AL303" i="4"/>
  <c r="AL33" i="4"/>
  <c r="AL220" i="4"/>
  <c r="AP165" i="6"/>
  <c r="AP462" i="6"/>
  <c r="AP474" i="6"/>
  <c r="AP274" i="6"/>
  <c r="AP266" i="6"/>
  <c r="AL84" i="4"/>
  <c r="AP283" i="6"/>
  <c r="AP544" i="6"/>
  <c r="AL75" i="4"/>
  <c r="AP43" i="6"/>
  <c r="AL64" i="4"/>
  <c r="AP292" i="6"/>
  <c r="AL265" i="4"/>
  <c r="AL234" i="4"/>
  <c r="AL87" i="4"/>
  <c r="AP436" i="6"/>
  <c r="AP513" i="6"/>
  <c r="AP152" i="6"/>
  <c r="AP78" i="6"/>
  <c r="AL97" i="4"/>
  <c r="AP504" i="6"/>
  <c r="AP425" i="6"/>
  <c r="AP482" i="6"/>
  <c r="AL176" i="4"/>
  <c r="AL80" i="4"/>
  <c r="AP353" i="6"/>
  <c r="AP195" i="6"/>
  <c r="AP113" i="6"/>
  <c r="AP289" i="6"/>
  <c r="AL245" i="4"/>
  <c r="AL250" i="4"/>
  <c r="AP423" i="6"/>
  <c r="AP309" i="6"/>
  <c r="AP278" i="6"/>
  <c r="AP173" i="6"/>
  <c r="AP149" i="6"/>
  <c r="AL202" i="4"/>
  <c r="AP218" i="6"/>
  <c r="AL117" i="4"/>
  <c r="AP399" i="6"/>
  <c r="AP131" i="6"/>
  <c r="AL161" i="4"/>
  <c r="AP355" i="6"/>
  <c r="AP366" i="6"/>
  <c r="AP459" i="6"/>
  <c r="AL216" i="4"/>
  <c r="AL89" i="4"/>
  <c r="AP546" i="6"/>
  <c r="AP239" i="6"/>
  <c r="AP186" i="6"/>
  <c r="AL244" i="4"/>
  <c r="AL132" i="4"/>
  <c r="AL76" i="4"/>
  <c r="AP534" i="6"/>
  <c r="AP378" i="6"/>
  <c r="AP525" i="6"/>
  <c r="AP210" i="6"/>
  <c r="AP340" i="6"/>
  <c r="AP237" i="6"/>
  <c r="AP238" i="6"/>
  <c r="AP352" i="6"/>
  <c r="AP50" i="6"/>
  <c r="AP259" i="6"/>
  <c r="AL169" i="4"/>
  <c r="AP444" i="6"/>
  <c r="AL271" i="4"/>
  <c r="AP192" i="6"/>
  <c r="AP382" i="6"/>
  <c r="AL188" i="4"/>
  <c r="AP161" i="6"/>
  <c r="AP409" i="6"/>
  <c r="AL109" i="4"/>
  <c r="AP412" i="6"/>
  <c r="AP70" i="6"/>
  <c r="AP255" i="6"/>
  <c r="AP105" i="6"/>
  <c r="AL121" i="4"/>
  <c r="AL94" i="4"/>
  <c r="AL203" i="4"/>
  <c r="AL153" i="4"/>
  <c r="AL214" i="4"/>
  <c r="AP203" i="6"/>
  <c r="AL63" i="4"/>
  <c r="AP424" i="6"/>
  <c r="AP188" i="6"/>
  <c r="AP95" i="6"/>
  <c r="AP516" i="6"/>
  <c r="AP369" i="6"/>
  <c r="AP522" i="6"/>
  <c r="AL273" i="4"/>
  <c r="AL204" i="4"/>
  <c r="AL86" i="4"/>
  <c r="AP512" i="6"/>
  <c r="AP213" i="6"/>
  <c r="AL130" i="4"/>
  <c r="AL300" i="4"/>
  <c r="AP379" i="6"/>
  <c r="AP501" i="6"/>
  <c r="AP106" i="6"/>
  <c r="AL116" i="4"/>
  <c r="AL47" i="4"/>
  <c r="AP134" i="6"/>
  <c r="AP350" i="6"/>
  <c r="AP356" i="6"/>
  <c r="AL238" i="4"/>
  <c r="AL241" i="4"/>
  <c r="AP402" i="6"/>
  <c r="AL295" i="4"/>
  <c r="AP312" i="6"/>
  <c r="AP470" i="6"/>
  <c r="AP87" i="6"/>
  <c r="AP58" i="6"/>
  <c r="AL158" i="4"/>
  <c r="AL263" i="4"/>
  <c r="AP175" i="6"/>
  <c r="AL281" i="4"/>
  <c r="AL105" i="4"/>
  <c r="AP48" i="6"/>
  <c r="AL209" i="4"/>
  <c r="AL122" i="4"/>
  <c r="AP183" i="6"/>
  <c r="AL298" i="4"/>
  <c r="AP404" i="6"/>
  <c r="AP198" i="6"/>
  <c r="AP267" i="6"/>
  <c r="AP344" i="6"/>
  <c r="AP547" i="6"/>
  <c r="AP189" i="6"/>
  <c r="AP447" i="6"/>
  <c r="AP429" i="6"/>
  <c r="AL284" i="4"/>
  <c r="AP44" i="6"/>
  <c r="AP488" i="6"/>
  <c r="AL42" i="4"/>
  <c r="AP391" i="6"/>
  <c r="AP232" i="6"/>
  <c r="AP197" i="6"/>
  <c r="AL247" i="4"/>
  <c r="AP523" i="6"/>
  <c r="AL274" i="4"/>
  <c r="AP343" i="6"/>
  <c r="AP290" i="6"/>
  <c r="AL104" i="4"/>
  <c r="AP435" i="6"/>
  <c r="AL167" i="4"/>
  <c r="AL102" i="4"/>
  <c r="AP253" i="6"/>
  <c r="AL252" i="4"/>
  <c r="T591" i="9"/>
  <c r="T592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L27" i="4" a="1"/>
  <c r="AL27" i="4" s="1"/>
  <c r="AL28" i="4"/>
  <c r="AP28" i="6"/>
  <c r="AP27" i="6" a="1"/>
  <c r="AP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W6" i="9"/>
  <c r="X6" i="9"/>
  <c r="X6" i="9" a="1"/>
  <c r="P5" i="6"/>
  <c r="H3" i="2"/>
  <c r="W6" i="9" a="1"/>
  <c r="P5" i="6" a="1"/>
  <c r="H5" i="2"/>
  <c r="K5" i="2"/>
  <c r="K3" i="2"/>
  <c r="X6" i="5"/>
  <c r="X6" i="5" a="1"/>
  <c r="W6" i="5"/>
  <c r="P5" i="4"/>
  <c r="W6" i="5" a="1"/>
  <c r="P5" i="4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<sst xmlns="http://schemas.openxmlformats.org/spreadsheetml/2006/main" count="27567" uniqueCount="2251">
  <si>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</si>
  <si>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</si>
  <si>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</si>
  <si>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</si>
  <si>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</si>
  <si>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</si>
  <si>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</si>
  <si>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</si>
  <si>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</si>
  <si>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</si>
  <si>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</si>
  <si>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</si>
  <si>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</si>
  <si>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</si>
  <si>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</si>
  <si>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</si>
  <si>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</si>
  <si>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</si>
  <si>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</si>
  <si>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</si>
  <si>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</si>
  <si>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</si>
  <si>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</si>
  <si>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</si>
  <si>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</si>
  <si>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</si>
  <si>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</si>
  <si>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</si>
  <si>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</si>
  <si>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</si>
  <si>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</si>
  <si>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</si>
  <si>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</si>
  <si>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</si>
  <si>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</si>
  <si>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</si>
  <si>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</si>
  <si>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</si>
  <si>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</si>
  <si>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</si>
  <si>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</si>
  <si>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</si>
  <si>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</si>
  <si>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</si>
  <si>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</si>
  <si>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</si>
  <si>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</si>
  <si>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</si>
  <si>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</si>
  <si>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</si>
  <si>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</si>
  <si>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</si>
  <si>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</si>
  <si>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</si>
  <si>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</si>
  <si>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</si>
  <si>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</si>
  <si>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</si>
  <si>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</si>
  <si>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</si>
  <si>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</si>
  <si>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</si>
  <si>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</si>
  <si>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</si>
  <si>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</si>
  <si>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</si>
  <si>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</si>
  <si>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</si>
  <si>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</si>
  <si>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</si>
  <si>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</si>
  <si>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</si>
  <si>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</si>
  <si>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</si>
  <si>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</si>
  <si>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</si>
  <si>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</si>
  <si>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</si>
  <si>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</si>
  <si>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</si>
  <si>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</si>
  <si>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</si>
  <si>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</si>
  <si>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</si>
  <si>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</si>
  <si>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</si>
  <si>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</si>
  <si>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</si>
  <si>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</si>
  <si>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</si>
  <si>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</si>
  <si>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</si>
  <si>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</si>
  <si>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</si>
  <si>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</si>
  <si>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</si>
  <si>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</si>
  <si>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</si>
  <si>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</si>
  <si>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</si>
  <si>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</si>
  <si>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</si>
  <si>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</si>
  <si>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</si>
  <si>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</si>
  <si>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</si>
  <si>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</si>
  <si>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</si>
  <si>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</si>
  <si>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</si>
  <si>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</si>
  <si>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</si>
  <si>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</si>
  <si>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</si>
  <si>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</si>
  <si>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</si>
  <si>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</si>
  <si>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</si>
  <si>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</si>
  <si>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</si>
  <si>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</si>
  <si>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</si>
  <si>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</si>
  <si>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</si>
  <si>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</si>
  <si>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</si>
  <si>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</si>
  <si>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</si>
  <si>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</si>
  <si>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</si>
  <si>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</si>
  <si>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</si>
  <si>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</si>
  <si>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</si>
  <si>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</si>
  <si>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</si>
  <si>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</si>
  <si>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</si>
  <si>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</si>
  <si>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</si>
  <si>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</si>
  <si>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</si>
  <si>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</si>
  <si>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</si>
  <si>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</si>
  <si>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</si>
  <si>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</si>
  <si>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</si>
  <si>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</si>
  <si>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</si>
  <si>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</si>
  <si>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</si>
  <si>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</si>
  <si>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</si>
  <si>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</si>
  <si>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</si>
  <si>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</si>
  <si>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</si>
  <si>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</si>
  <si>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</si>
  <si>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</si>
  <si>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</si>
  <si>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</si>
  <si>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</si>
  <si>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</si>
  <si>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</si>
  <si>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</si>
  <si>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</si>
  <si>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</si>
  <si>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</si>
  <si>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</si>
  <si>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</si>
  <si>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</si>
  <si>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</si>
  <si>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</si>
  <si>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</si>
  <si>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</si>
  <si>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</si>
  <si>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</si>
  <si>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</si>
  <si>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</si>
  <si>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</si>
  <si>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</si>
  <si>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</si>
  <si>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</si>
  <si>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</si>
  <si>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</si>
  <si>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</si>
  <si>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</si>
  <si>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</si>
  <si>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</si>
  <si>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</si>
  <si>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</si>
  <si>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</si>
  <si>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</si>
  <si>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</si>
  <si>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</si>
  <si>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</si>
  <si>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</si>
  <si>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</si>
  <si>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</si>
  <si>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</si>
  <si>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</si>
  <si>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</si>
  <si>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</si>
  <si>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</si>
  <si>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</si>
  <si>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</si>
  <si>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</si>
  <si>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</si>
  <si>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</si>
  <si>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</si>
  <si>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</si>
  <si>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</si>
  <si>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</si>
  <si>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</si>
  <si>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</si>
  <si>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</si>
  <si>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</si>
  <si>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</si>
  <si>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</si>
  <si>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</si>
  <si>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</si>
  <si>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</si>
  <si>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</si>
  <si>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</si>
  <si>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</si>
  <si>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</si>
  <si>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</si>
  <si>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</si>
  <si>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</si>
  <si>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</si>
  <si>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</si>
  <si>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</si>
  <si>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</si>
  <si>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</si>
  <si>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</si>
  <si>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</si>
  <si>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</si>
  <si>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</si>
  <si>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</si>
  <si>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</si>
  <si>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</si>
  <si>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</si>
  <si>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</si>
  <si>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</si>
  <si>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</si>
  <si>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</si>
  <si>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</si>
  <si>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</si>
  <si>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</si>
  <si>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</si>
  <si>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</si>
  <si>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</si>
  <si>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</si>
  <si>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</si>
  <si>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</si>
  <si>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</si>
  <si>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</si>
  <si>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</si>
  <si>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</si>
  <si>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</si>
  <si>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</si>
  <si>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</si>
  <si>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</si>
  <si>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</si>
  <si>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</si>
  <si>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</si>
  <si>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</si>
  <si>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</si>
  <si>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</si>
  <si>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</si>
  <si>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</si>
  <si>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</si>
  <si>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</si>
  <si>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</si>
  <si>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</si>
  <si>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</si>
  <si>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</si>
  <si>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</si>
  <si>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</si>
  <si>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</si>
  <si>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</si>
  <si>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</si>
  <si>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</si>
  <si>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</si>
  <si>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</si>
  <si>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</si>
  <si>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</si>
  <si>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</si>
  <si>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</si>
  <si>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</si>
  <si>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</si>
  <si>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</si>
  <si>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</si>
  <si>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</si>
  <si>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</si>
  <si>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</si>
  <si>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</si>
  <si>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</si>
  <si>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</si>
  <si>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</si>
  <si>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</si>
  <si>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</si>
  <si>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</si>
  <si>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</si>
  <si>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</si>
  <si>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</si>
  <si>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</si>
  <si>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</si>
  <si>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</si>
  <si>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</si>
  <si>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</si>
  <si>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</si>
  <si>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</si>
  <si>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</si>
  <si>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</si>
  <si>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</si>
  <si>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</si>
  <si>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</si>
  <si>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</si>
  <si>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</si>
  <si>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</si>
  <si>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</si>
  <si>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</si>
  <si>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</si>
  <si>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</si>
  <si>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</si>
  <si>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</si>
  <si>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</si>
  <si>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</si>
  <si>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</si>
  <si>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</si>
  <si>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</si>
  <si>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</si>
  <si>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</si>
  <si>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</si>
  <si>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</si>
  <si>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</si>
  <si>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</si>
  <si>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</si>
  <si>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</si>
  <si>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</si>
  <si>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</si>
  <si>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</si>
  <si>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</si>
  <si>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</si>
  <si>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</si>
  <si>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</si>
  <si>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</si>
  <si>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</si>
  <si>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</si>
  <si>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</si>
  <si>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</si>
  <si>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</si>
  <si>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</si>
  <si>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</si>
  <si>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</si>
  <si>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</si>
  <si>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</si>
  <si>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</si>
  <si>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</si>
  <si>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</si>
  <si>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</si>
  <si>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</si>
  <si>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</si>
  <si>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</si>
  <si>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</si>
  <si>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</si>
  <si>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</si>
  <si>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</si>
  <si>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</si>
  <si>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</si>
  <si>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</si>
  <si>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</si>
  <si>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</si>
  <si>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</si>
  <si>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</si>
  <si>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</si>
  <si>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</si>
  <si>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</si>
  <si>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</si>
  <si>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</si>
  <si>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</si>
  <si>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</si>
  <si>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</si>
  <si>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</si>
  <si>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</si>
  <si>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</si>
  <si>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</si>
  <si>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</si>
  <si>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</si>
  <si>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</si>
  <si>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</si>
  <si>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</si>
  <si>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</si>
  <si>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</si>
  <si>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</si>
  <si>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</si>
  <si>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</si>
  <si>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</si>
  <si>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</si>
  <si>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</si>
  <si>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</si>
  <si>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</si>
  <si>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</si>
  <si>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</si>
  <si>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</si>
  <si>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</si>
  <si>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</si>
  <si>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</si>
  <si>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</si>
  <si>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</si>
  <si>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</si>
  <si>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</si>
  <si>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</si>
  <si>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</si>
  <si>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</si>
  <si>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</si>
  <si>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</si>
  <si>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</si>
  <si>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</si>
  <si>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</si>
  <si>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</si>
  <si>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</si>
  <si>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</si>
  <si>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</si>
  <si>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</si>
  <si>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</si>
  <si>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</si>
  <si>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</si>
  <si>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</si>
  <si>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</si>
  <si>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</si>
  <si>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</si>
  <si>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</si>
  <si>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</si>
  <si>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</si>
  <si>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</si>
  <si>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</si>
  <si>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</si>
  <si>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</si>
  <si>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</si>
  <si>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</si>
  <si>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</si>
  <si>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</si>
  <si>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</si>
  <si>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</si>
  <si>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</si>
  <si>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</si>
  <si>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</si>
  <si>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</si>
  <si>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</si>
  <si>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</si>
  <si>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</si>
  <si>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</si>
  <si>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</si>
  <si>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</si>
  <si>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</si>
  <si>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</si>
  <si>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</si>
  <si>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</si>
  <si>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</si>
  <si>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</si>
  <si>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</si>
  <si>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</si>
  <si>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</si>
  <si>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</si>
  <si>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</si>
  <si>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</si>
  <si>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</si>
  <si>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</si>
  <si>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</si>
  <si>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</si>
  <si>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</si>
  <si>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</si>
  <si>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</si>
  <si>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</si>
  <si>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</si>
  <si>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</si>
  <si>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</si>
  <si>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</si>
  <si>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</si>
  <si>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</si>
  <si>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</si>
  <si>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</si>
  <si>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</si>
  <si>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</si>
  <si>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</si>
  <si>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</si>
  <si>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</si>
  <si>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</si>
  <si>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</si>
  <si>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</si>
  <si>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</si>
  <si>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</si>
  <si>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</si>
  <si>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</si>
  <si>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</si>
  <si>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</si>
  <si>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</si>
  <si>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</si>
  <si>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</si>
  <si>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</si>
  <si>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</si>
  <si>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</si>
  <si>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</si>
  <si>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</si>
  <si>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</si>
  <si>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</si>
  <si>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</si>
  <si>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</si>
  <si>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</si>
  <si>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</si>
  <si>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</si>
  <si>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</si>
  <si>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</si>
  <si>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</si>
  <si>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</si>
  <si>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</si>
  <si>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</si>
  <si>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</si>
  <si>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</si>
  <si>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</si>
  <si>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</si>
  <si>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</si>
  <si>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</si>
  <si>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</si>
  <si>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</si>
  <si>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</si>
  <si>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</si>
  <si>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</si>
  <si>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</si>
  <si>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</si>
  <si>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</si>
  <si>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</si>
  <si>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</si>
  <si>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</si>
  <si>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</si>
  <si>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</si>
  <si>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</si>
  <si>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</si>
  <si>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</si>
  <si>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</si>
  <si>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</si>
  <si>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</si>
  <si>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</si>
  <si>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</si>
  <si>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</si>
  <si>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</si>
  <si>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</si>
  <si>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</si>
  <si>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</si>
  <si>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</si>
  <si>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</si>
  <si>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</si>
  <si>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</si>
  <si>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</si>
  <si>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</si>
  <si>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</si>
  <si>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</si>
  <si>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</si>
  <si>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</si>
  <si>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</si>
  <si>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</si>
  <si>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</si>
  <si>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</si>
  <si>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</si>
  <si>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</si>
  <si>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</si>
  <si>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</si>
  <si>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</si>
  <si>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</si>
  <si>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</si>
  <si>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</si>
  <si>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</si>
  <si>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</si>
  <si>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</si>
  <si>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</si>
  <si>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</si>
  <si>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</si>
  <si>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</si>
  <si>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</si>
  <si>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</si>
  <si>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</si>
  <si>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</si>
  <si>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</si>
  <si>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</si>
  <si>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</si>
  <si>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</si>
  <si>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</si>
  <si>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</si>
  <si>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</si>
  <si>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</si>
  <si>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</si>
  <si>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</si>
  <si>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</si>
  <si>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</si>
  <si>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</si>
  <si>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</si>
  <si>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</si>
  <si>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</si>
  <si>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</si>
  <si>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</si>
  <si>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</si>
  <si>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</si>
  <si>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</si>
  <si>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</si>
  <si>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</si>
  <si>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</si>
  <si>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</si>
  <si>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</si>
  <si>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</si>
  <si>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</si>
  <si>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</si>
  <si>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</si>
  <si>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</si>
  <si>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</si>
  <si>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</si>
  <si>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</si>
  <si>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</si>
  <si>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</si>
  <si>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</si>
  <si>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</si>
  <si>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</si>
  <si>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</si>
  <si>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</si>
  <si>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</si>
  <si>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</si>
  <si>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</si>
  <si>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</si>
  <si>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</si>
  <si>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</si>
  <si>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</si>
  <si>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</si>
  <si>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</si>
  <si>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</si>
  <si>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</si>
  <si>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</si>
  <si>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</si>
  <si>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</si>
  <si>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</si>
  <si>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</si>
  <si>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</si>
  <si>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</si>
  <si>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</si>
  <si>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</si>
  <si>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</si>
  <si>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</si>
  <si>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</si>
  <si>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</si>
  <si>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</si>
  <si>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</si>
  <si>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</si>
  <si>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</si>
  <si>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</si>
  <si>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</si>
  <si>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</si>
  <si>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</si>
  <si>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</si>
  <si>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</si>
  <si>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</si>
  <si>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</si>
  <si>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</si>
  <si>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</si>
  <si>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</si>
  <si>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</si>
  <si>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</si>
  <si>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</si>
  <si>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</si>
  <si>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</si>
  <si>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</si>
  <si>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</si>
  <si>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</si>
  <si>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</si>
  <si>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</si>
  <si>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</si>
  <si>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</si>
  <si>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</si>
  <si>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</si>
  <si>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</si>
  <si>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</si>
  <si>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</si>
  <si>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</si>
  <si>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</si>
  <si>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</si>
  <si>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</si>
  <si>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</si>
  <si>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</si>
  <si>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</si>
  <si>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</si>
  <si>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</si>
  <si>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</si>
  <si>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</si>
  <si>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</si>
  <si>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</si>
  <si>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</si>
  <si>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</si>
  <si>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</si>
  <si>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</si>
  <si>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</si>
  <si>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</si>
  <si>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</si>
  <si>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</si>
  <si>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</si>
  <si>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</si>
  <si>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</si>
  <si>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</si>
  <si>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</si>
  <si>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</si>
  <si>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</si>
  <si>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</si>
  <si>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</si>
  <si>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</si>
  <si>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</si>
  <si>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</si>
  <si>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</si>
  <si>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</si>
  <si>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</si>
  <si>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</si>
  <si>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</si>
  <si>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</si>
  <si>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</si>
  <si>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</si>
  <si>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</si>
  <si>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</si>
  <si>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</si>
  <si>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</si>
  <si>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</si>
  <si>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</si>
  <si>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</si>
  <si>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</si>
  <si>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</si>
  <si>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</si>
  <si>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</si>
  <si>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</si>
  <si>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</si>
  <si>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</si>
  <si>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</si>
  <si>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</si>
  <si>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</si>
  <si>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</si>
  <si>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</si>
  <si>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</si>
  <si>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</si>
  <si>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</si>
  <si>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</si>
  <si>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</si>
  <si>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</si>
  <si>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</si>
  <si>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</si>
  <si>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</si>
  <si>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</si>
  <si>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</si>
  <si>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</si>
  <si>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</si>
  <si>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</si>
  <si>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</si>
  <si>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</si>
  <si>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</si>
  <si>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</si>
  <si>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</si>
  <si>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</si>
  <si>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</si>
  <si>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</si>
  <si>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</si>
  <si>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</si>
  <si>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</si>
  <si>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</si>
  <si>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</si>
  <si>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</si>
  <si>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</si>
  <si>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</si>
  <si>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</si>
  <si>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</si>
  <si>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</si>
  <si>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</si>
  <si>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</si>
  <si>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</si>
  <si>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</si>
  <si>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</si>
  <si>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</si>
  <si>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</si>
  <si>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</si>
  <si>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</si>
  <si>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</si>
  <si>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</si>
  <si>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</si>
  <si>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</si>
  <si>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</si>
  <si>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</si>
  <si>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</si>
  <si>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</si>
  <si>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</si>
  <si>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</si>
  <si>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</si>
  <si>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</si>
  <si>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</si>
  <si>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</si>
  <si>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</si>
  <si>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</si>
  <si>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</si>
  <si>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</si>
  <si>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</si>
  <si>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</si>
  <si>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</si>
  <si>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</si>
  <si>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</si>
  <si>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</si>
  <si>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</si>
  <si>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</si>
  <si>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</si>
  <si>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</si>
  <si>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</si>
  <si>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</si>
  <si>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</si>
  <si>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</si>
  <si>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</si>
  <si>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</si>
  <si>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</si>
  <si>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</si>
  <si>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</si>
  <si>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</si>
  <si>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</si>
  <si>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</si>
  <si>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</si>
  <si>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</si>
  <si>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</si>
  <si>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</si>
  <si>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</si>
  <si>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</si>
  <si>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</si>
  <si>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</si>
  <si>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</si>
  <si>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</si>
  <si>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</si>
  <si>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</si>
  <si>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</si>
  <si>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</si>
  <si>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</si>
  <si>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</si>
  <si>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</si>
  <si>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</si>
  <si>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</si>
  <si>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</si>
  <si>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</si>
  <si>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</si>
  <si>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</si>
  <si>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</si>
  <si>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</si>
  <si>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</si>
  <si>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</si>
  <si>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</si>
  <si>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</si>
  <si>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</si>
  <si>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</si>
  <si>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</si>
  <si>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</si>
  <si>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</si>
  <si>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</si>
  <si>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</si>
  <si>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</si>
  <si>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</si>
  <si>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</si>
  <si>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</si>
  <si>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</si>
  <si>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</si>
  <si>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</si>
  <si>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</si>
  <si>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</si>
  <si>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</si>
  <si>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</si>
  <si>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</si>
  <si>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</si>
  <si>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</si>
  <si>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</si>
  <si>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</si>
  <si>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</si>
  <si>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</si>
  <si>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</si>
  <si>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</si>
  <si>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</si>
  <si>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</si>
  <si>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</si>
  <si>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</si>
  <si>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</si>
  <si>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</si>
  <si>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</si>
  <si>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</si>
  <si>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</si>
  <si>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</si>
  <si>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</si>
  <si>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</si>
  <si>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</si>
  <si>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</si>
  <si>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</si>
  <si>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</si>
  <si>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</si>
  <si>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</si>
  <si>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</si>
  <si>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</si>
  <si>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</si>
  <si>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</si>
  <si>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</si>
  <si>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</si>
  <si>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</si>
  <si>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</si>
  <si>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</si>
  <si>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</si>
  <si>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</si>
  <si>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</si>
  <si>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</si>
  <si>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</si>
  <si>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</si>
  <si>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</si>
  <si>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</si>
  <si>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</si>
  <si>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</si>
  <si>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</si>
  <si>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</si>
  <si>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</si>
  <si>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</si>
  <si>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</si>
  <si>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</si>
  <si>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</si>
  <si>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</si>
  <si>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</si>
  <si>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</si>
  <si>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</si>
  <si>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</si>
  <si>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</si>
  <si>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</si>
  <si>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</si>
  <si>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</si>
  <si>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</si>
  <si>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</si>
  <si>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</si>
  <si>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</si>
  <si>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</si>
  <si>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</si>
  <si>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</si>
  <si>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</si>
  <si>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</si>
  <si>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</si>
  <si>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</si>
  <si>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</si>
  <si>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</si>
  <si>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</si>
  <si>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</si>
  <si>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</si>
  <si>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</si>
  <si>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</si>
  <si>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</si>
  <si>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</si>
  <si>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</si>
  <si>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</si>
  <si>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</si>
  <si>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</si>
  <si>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</si>
  <si>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</si>
  <si>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</si>
  <si>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</si>
  <si>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</si>
  <si>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</si>
  <si>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</si>
  <si>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</si>
  <si>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</si>
  <si>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</si>
  <si>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</si>
  <si>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</si>
  <si>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</si>
  <si>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</si>
  <si>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</si>
  <si>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</si>
  <si>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</si>
  <si>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</si>
  <si>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</si>
  <si>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</si>
  <si>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</si>
  <si>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</si>
  <si>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</si>
  <si>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</si>
  <si>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</si>
  <si>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</si>
  <si>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</si>
  <si>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</si>
  <si>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</si>
  <si>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</si>
  <si>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</si>
  <si>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</si>
  <si>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</si>
  <si>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</si>
  <si>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</si>
  <si>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</si>
  <si>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</si>
  <si>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</si>
  <si>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</si>
  <si>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</si>
  <si>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</si>
  <si>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</si>
  <si>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</si>
  <si>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</si>
  <si>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</si>
  <si>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</si>
  <si>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</si>
  <si>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</si>
  <si>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</si>
  <si>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</si>
  <si>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</si>
  <si>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</si>
  <si>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</si>
  <si>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</si>
  <si>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</si>
  <si>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</si>
  <si>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</si>
  <si>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</si>
  <si>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</si>
  <si>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</si>
  <si>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</si>
  <si>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</si>
  <si>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</si>
  <si>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</si>
  <si>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</si>
  <si>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</si>
  <si>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</si>
  <si>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</si>
  <si>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</si>
  <si>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</si>
  <si>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</si>
  <si>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</si>
  <si>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</si>
  <si>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</si>
  <si>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</si>
  <si>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</si>
  <si>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</si>
  <si>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</si>
  <si>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</si>
  <si>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</si>
  <si>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</si>
  <si>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</si>
  <si>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</si>
  <si>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</si>
  <si>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</si>
  <si>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</si>
  <si>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</si>
  <si>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</si>
  <si>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</si>
  <si>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</si>
  <si>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</si>
  <si>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</si>
  <si>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</si>
  <si>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</si>
  <si>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</si>
  <si>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</si>
  <si>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</si>
  <si>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</si>
  <si>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</si>
  <si>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</si>
  <si>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</si>
  <si>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</si>
  <si>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</si>
  <si>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</si>
  <si>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</si>
  <si>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</si>
  <si>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</si>
  <si>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</si>
  <si>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</si>
  <si>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</si>
  <si>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</si>
  <si>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</si>
  <si>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</si>
  <si>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</si>
  <si>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</si>
  <si>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</si>
  <si>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</si>
  <si>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</si>
  <si>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</si>
  <si>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</si>
  <si>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</si>
  <si>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</si>
  <si>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</si>
  <si>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</si>
  <si>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</si>
  <si>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</si>
  <si>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</si>
  <si>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</si>
  <si>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</si>
  <si>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</si>
  <si>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</si>
  <si>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</si>
  <si>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</si>
  <si>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</si>
  <si>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</si>
  <si>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</si>
  <si>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</si>
  <si>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</si>
  <si>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</si>
  <si>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</si>
  <si>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</si>
  <si>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</si>
  <si>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</si>
  <si>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</si>
  <si>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</si>
  <si>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</si>
  <si>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</si>
  <si>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</si>
  <si>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</si>
  <si>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</si>
  <si>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</si>
  <si>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</si>
  <si>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</si>
  <si>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</si>
  <si>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</si>
  <si>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</si>
  <si>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</si>
  <si>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</si>
  <si>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</si>
  <si>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</si>
  <si>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</si>
  <si>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</si>
  <si>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</si>
  <si>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</si>
  <si>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</si>
  <si>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</si>
  <si>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</si>
  <si>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</si>
  <si>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</si>
  <si>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</si>
  <si>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</si>
  <si>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</si>
  <si>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</si>
  <si>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</si>
  <si>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</si>
  <si>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</si>
  <si>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</si>
  <si>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</si>
  <si>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</si>
  <si>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</si>
  <si>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</si>
  <si>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</si>
  <si>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</si>
  <si>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</si>
  <si>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</si>
  <si>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</si>
  <si>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</si>
  <si>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</si>
  <si>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</si>
  <si>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</si>
  <si>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</si>
  <si>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</si>
  <si>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</si>
  <si>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</si>
  <si>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</si>
  <si>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</si>
  <si>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</si>
  <si>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</si>
  <si>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</si>
  <si>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</si>
  <si>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</si>
  <si>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</si>
  <si>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</si>
  <si>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</si>
  <si>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</si>
  <si>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</si>
  <si>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</si>
  <si>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</si>
  <si>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</si>
  <si>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</si>
  <si>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</si>
  <si>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</si>
  <si>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</si>
  <si>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</si>
  <si>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</si>
  <si>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</si>
  <si>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</si>
  <si>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</si>
  <si>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</si>
  <si>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</si>
  <si>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</si>
  <si>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</si>
  <si>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</si>
  <si>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</si>
  <si>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</si>
  <si>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</si>
  <si>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</si>
  <si>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</si>
  <si>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</si>
  <si>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</si>
  <si>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</si>
  <si>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</si>
  <si>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</si>
  <si>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</si>
  <si>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</si>
  <si>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</si>
  <si>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</si>
  <si>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</si>
  <si>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</si>
  <si>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</si>
  <si>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</si>
  <si>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</si>
  <si>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</si>
  <si>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</si>
  <si>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</si>
  <si>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</si>
  <si>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</si>
  <si>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</si>
  <si>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</si>
  <si>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</si>
  <si>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</si>
  <si>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</si>
  <si>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</si>
  <si>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</si>
  <si>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</si>
  <si>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</si>
  <si>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</si>
  <si>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</si>
  <si>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</si>
  <si>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</si>
  <si>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</si>
  <si>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</si>
  <si>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</si>
  <si>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</si>
  <si>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</si>
  <si>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</si>
  <si>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</si>
  <si>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</si>
  <si>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</si>
  <si>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</si>
  <si>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</si>
  <si>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</si>
  <si>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</si>
  <si>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</si>
  <si>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</si>
  <si>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</si>
  <si>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</si>
  <si>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</si>
  <si>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</si>
  <si>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</si>
  <si>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</si>
  <si>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</si>
  <si>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</si>
  <si>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</si>
  <si>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</si>
  <si>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</si>
  <si>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</si>
  <si>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</si>
  <si>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</si>
  <si>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</si>
  <si>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</si>
  <si>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</si>
  <si>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</si>
  <si>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</si>
  <si>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</si>
  <si>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</si>
  <si>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</si>
  <si>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</si>
  <si>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</si>
  <si>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</si>
  <si>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</si>
  <si>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</si>
  <si>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</si>
  <si>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</si>
  <si>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</si>
  <si>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</si>
  <si>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</si>
  <si>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</si>
  <si>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</si>
  <si>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</si>
  <si>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</si>
  <si>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</si>
  <si>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</si>
  <si>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</si>
  <si>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</si>
  <si>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</si>
  <si>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</si>
  <si>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</si>
  <si>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</si>
  <si>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</si>
  <si>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</si>
  <si>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</si>
  <si>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</si>
  <si>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</si>
  <si>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</si>
  <si>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</si>
  <si>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</si>
  <si>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</si>
  <si>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</si>
  <si>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</si>
  <si>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</si>
  <si>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</si>
  <si>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</si>
  <si>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</si>
  <si>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</si>
  <si>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</si>
  <si>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</si>
  <si>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</si>
  <si>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</si>
  <si>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</si>
  <si>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</si>
  <si>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</si>
  <si>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</si>
  <si>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</si>
  <si>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</si>
  <si>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</si>
  <si>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</si>
  <si>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</si>
  <si>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</si>
  <si>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</si>
  <si>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</si>
  <si>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</si>
  <si>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</si>
  <si>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</si>
  <si>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</si>
  <si>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</si>
  <si>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</si>
  <si>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</si>
  <si>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</si>
  <si>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</si>
  <si>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</si>
  <si>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</si>
  <si>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</si>
  <si>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</si>
  <si>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</si>
  <si>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</si>
  <si>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</si>
  <si>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</si>
  <si>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</si>
  <si>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</si>
  <si>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</si>
  <si>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</si>
  <si>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</si>
  <si>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</si>
  <si>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</si>
  <si>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</si>
  <si>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</si>
  <si>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</si>
  <si>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</si>
  <si>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</si>
  <si>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</si>
  <si>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</si>
  <si>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</si>
  <si>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</si>
  <si>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</si>
  <si>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</si>
  <si>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</si>
  <si>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</si>
  <si>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</si>
  <si>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</si>
  <si>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</si>
  <si>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</si>
  <si>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</si>
  <si>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</si>
  <si>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</si>
  <si>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</si>
  <si>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</si>
  <si>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</si>
  <si>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</si>
  <si>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</si>
  <si>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</si>
  <si>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</si>
  <si>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</si>
  <si>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</si>
  <si>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</si>
  <si>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</si>
  <si>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</si>
  <si>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</si>
  <si>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</si>
  <si>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</si>
  <si>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</si>
  <si>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</si>
  <si>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</si>
  <si>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</si>
  <si>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</si>
  <si>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</si>
  <si>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</si>
  <si>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</si>
  <si>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</si>
  <si>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</si>
  <si>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</si>
  <si>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</si>
  <si>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</si>
  <si>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</si>
  <si>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</si>
  <si>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</si>
  <si>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</si>
  <si>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</si>
  <si>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</si>
  <si>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</si>
  <si>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</si>
  <si>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</si>
  <si>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</si>
  <si>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</si>
  <si>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</si>
  <si>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</si>
  <si>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</si>
  <si>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</si>
  <si>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</si>
  <si>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</si>
  <si>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</si>
  <si>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</si>
  <si>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</si>
  <si>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</si>
  <si>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</si>
  <si>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</si>
  <si>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</si>
  <si>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</si>
  <si>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</si>
  <si>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</si>
  <si>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</si>
  <si>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</si>
  <si>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</si>
  <si>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</si>
  <si>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</si>
  <si>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</si>
  <si>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</si>
  <si>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</si>
  <si>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</si>
  <si>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</si>
  <si>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</si>
  <si>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</si>
  <si>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</si>
  <si>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</si>
  <si>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</si>
  <si>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</si>
  <si>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</si>
  <si>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</si>
  <si>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</si>
  <si>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</si>
  <si>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</si>
  <si>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</si>
  <si>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</si>
  <si>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</si>
  <si>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</si>
  <si>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</si>
  <si>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</si>
  <si>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</si>
  <si>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</si>
  <si>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</si>
  <si>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</si>
  <si>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</si>
  <si>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</si>
  <si>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</si>
  <si>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</si>
  <si>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</si>
  <si>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</si>
  <si>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</si>
  <si>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</si>
  <si>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</si>
  <si>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</si>
  <si>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</si>
  <si>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</si>
  <si>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</si>
  <si>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</si>
  <si>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</si>
  <si>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</si>
  <si>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</si>
  <si>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</si>
  <si>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</si>
  <si>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</si>
  <si>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</si>
  <si>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</si>
  <si>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</si>
  <si>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</si>
  <si>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</si>
  <si>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</si>
  <si>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</si>
  <si>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</si>
  <si>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</si>
  <si>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</si>
  <si>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</si>
  <si>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</si>
  <si>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</si>
  <si>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</si>
  <si>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</si>
  <si>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</si>
  <si>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</si>
  <si>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</si>
  <si>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</si>
  <si>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</si>
  <si>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</si>
  <si>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</si>
  <si>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</si>
  <si>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</si>
  <si>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</si>
  <si>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</si>
  <si>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</si>
  <si>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</si>
  <si>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</si>
  <si>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</si>
  <si>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</si>
  <si>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</si>
  <si>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</si>
  <si>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</si>
  <si>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</si>
  <si>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</si>
  <si>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</si>
  <si>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</si>
  <si>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</si>
  <si>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</si>
  <si>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</si>
  <si>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</si>
  <si>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</si>
  <si>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</si>
  <si>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</si>
  <si>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</si>
  <si>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</si>
  <si>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</si>
  <si>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</si>
  <si>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</si>
  <si>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</si>
  <si>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</si>
  <si>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</si>
  <si>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</si>
  <si>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</si>
  <si>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</si>
  <si>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</si>
  <si>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</si>
  <si>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</si>
  <si>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</si>
  <si>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</si>
  <si>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</si>
  <si>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</si>
  <si>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</si>
  <si>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</si>
  <si>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</si>
  <si>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</si>
  <si>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</si>
  <si>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</si>
  <si>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</si>
  <si>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</si>
  <si>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</si>
  <si>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</si>
  <si>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</si>
  <si>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</si>
  <si>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</si>
  <si>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</si>
  <si>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</si>
  <si>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</si>
  <si>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</si>
  <si>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</si>
  <si>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</si>
  <si>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</si>
  <si>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</si>
  <si>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</si>
  <si>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</si>
  <si>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</si>
  <si>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</si>
  <si>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</si>
  <si>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</si>
  <si>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</si>
  <si>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</si>
  <si>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</si>
  <si>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</si>
  <si>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</si>
  <si>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</si>
  <si>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</si>
  <si>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</si>
  <si>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</si>
  <si>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</si>
  <si>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</si>
  <si>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</si>
  <si>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</si>
  <si>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</si>
  <si>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</si>
  <si>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</si>
  <si>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</si>
  <si>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</si>
  <si>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</si>
  <si>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</si>
  <si>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</si>
  <si>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</si>
  <si>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</si>
  <si>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</si>
  <si>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</si>
  <si>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</si>
  <si>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</si>
  <si>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</si>
  <si>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</si>
  <si>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</si>
  <si>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</si>
  <si>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</si>
  <si>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</si>
  <si>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</si>
  <si>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</si>
  <si>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</si>
  <si>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</si>
  <si>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</si>
  <si>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</si>
  <si>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</si>
  <si>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</si>
  <si>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</si>
  <si>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</si>
  <si>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</si>
  <si>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</si>
  <si>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</si>
  <si>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</si>
  <si>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</si>
  <si>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</si>
  <si>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</si>
  <si>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</si>
  <si>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</si>
  <si>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</si>
  <si>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</si>
  <si>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</si>
  <si>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</si>
  <si>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</si>
  <si>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</si>
  <si>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</si>
  <si>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</si>
  <si>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</si>
  <si>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</si>
  <si>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</si>
  <si>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</si>
  <si>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</si>
  <si>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</si>
  <si>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</si>
  <si>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</si>
  <si>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</si>
  <si>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</si>
  <si>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</si>
  <si>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</si>
  <si>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</si>
  <si>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</si>
  <si>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</si>
  <si>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</si>
  <si>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</si>
  <si>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</si>
  <si>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</si>
  <si>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</si>
  <si>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</si>
  <si>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</si>
  <si>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</si>
  <si>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</si>
  <si>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</si>
  <si>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</si>
  <si>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</si>
  <si>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</si>
  <si>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</si>
  <si>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</si>
  <si>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</si>
  <si>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</si>
  <si>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</si>
  <si>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</si>
  <si>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</si>
  <si>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</si>
  <si>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</si>
  <si>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</si>
  <si>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</si>
  <si>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</si>
  <si>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</si>
  <si>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</si>
  <si>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</si>
  <si>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</si>
  <si>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</si>
  <si>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</si>
  <si>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</si>
  <si>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</si>
  <si>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</si>
  <si>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</si>
  <si>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</si>
  <si>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</si>
  <si>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</si>
  <si>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</si>
  <si>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</si>
  <si>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</si>
  <si>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</si>
  <si>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</si>
  <si>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</si>
  <si>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</si>
  <si>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</si>
  <si>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</si>
  <si>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</si>
  <si>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</si>
  <si>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</si>
  <si>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</si>
  <si>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</si>
  <si>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</si>
  <si>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</si>
  <si>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</si>
  <si>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</si>
  <si>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</si>
  <si>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</si>
  <si>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</si>
  <si>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</si>
  <si>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</si>
  <si>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</si>
  <si>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</si>
  <si>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</si>
  <si>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</si>
  <si>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</si>
  <si>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</si>
  <si>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</si>
  <si>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</si>
  <si>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</si>
  <si>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</si>
  <si>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</si>
  <si>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</si>
  <si>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</si>
  <si>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</si>
  <si>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</si>
  <si>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</si>
  <si>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</si>
  <si>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</si>
  <si>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</si>
  <si>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</si>
  <si>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</si>
  <si>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</si>
  <si>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</si>
  <si>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</si>
  <si>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</si>
  <si>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</si>
  <si>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</si>
  <si>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</si>
  <si>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</si>
  <si>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</si>
  <si>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</si>
  <si>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</si>
  <si>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</si>
  <si>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</si>
  <si>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</si>
  <si>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</si>
  <si>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</si>
  <si>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</si>
  <si>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</si>
  <si>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</si>
  <si>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</si>
  <si>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</si>
  <si>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</si>
  <si>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</si>
  <si>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</si>
  <si>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</si>
  <si>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</si>
  <si>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</si>
  <si>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</si>
  <si>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</si>
  <si>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</si>
  <si>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</si>
  <si>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</si>
  <si>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</si>
  <si>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</si>
  <si>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</si>
  <si>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</si>
  <si>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</si>
  <si>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</si>
  <si>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</si>
  <si>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</si>
  <si>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</si>
  <si>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</si>
  <si>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</si>
  <si>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</si>
  <si>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</si>
  <si>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</si>
  <si>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</si>
  <si>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</si>
  <si>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</si>
  <si>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</si>
  <si>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</si>
  <si>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</si>
  <si>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</si>
  <si>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</si>
  <si>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</si>
  <si>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</si>
  <si>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</si>
  <si>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</si>
  <si>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</si>
  <si>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</si>
  <si>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</si>
  <si>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</si>
  <si>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</si>
  <si>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</si>
  <si>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</si>
  <si>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</si>
  <si>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</si>
  <si>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</si>
  <si>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</si>
  <si>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</si>
  <si>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</si>
  <si>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</si>
  <si>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</si>
  <si>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</si>
  <si>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</si>
  <si>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</si>
  <si>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</si>
  <si>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</si>
  <si>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</si>
  <si>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</si>
  <si>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</si>
  <si>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</si>
  <si>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</si>
  <si>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</si>
  <si>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</si>
  <si>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</si>
  <si>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</si>
  <si>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</si>
  <si>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</si>
  <si>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</si>
  <si>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</si>
  <si>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</si>
  <si>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</si>
  <si>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</si>
  <si>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</si>
  <si>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</si>
  <si>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</si>
  <si>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</si>
  <si>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</si>
  <si>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</si>
  <si>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</si>
  <si>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</si>
  <si>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</si>
  <si>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</si>
  <si>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</si>
  <si>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</si>
  <si>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</si>
  <si>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</si>
  <si>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</si>
  <si>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</si>
  <si>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</si>
  <si>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</si>
  <si>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</si>
  <si>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</si>
  <si>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</si>
  <si>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</si>
  <si>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</si>
  <si>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</si>
  <si>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</si>
  <si>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</si>
  <si>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</si>
  <si>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</si>
  <si>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</si>
  <si>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</si>
  <si>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</si>
  <si>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</si>
  <si>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</si>
  <si>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</si>
  <si>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</si>
  <si>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</si>
  <si>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</si>
  <si>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</si>
  <si>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</si>
  <si>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</si>
  <si>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</si>
  <si>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</si>
  <si>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</si>
  <si>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</si>
  <si>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</si>
  <si>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</si>
  <si>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</si>
  <si>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</si>
  <si>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</si>
  <si>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</si>
  <si>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</si>
  <si>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</si>
  <si>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</si>
  <si>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</si>
  <si>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</si>
  <si>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</si>
  <si>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</si>
  <si>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</si>
  <si>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</si>
  <si>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</si>
  <si>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</si>
  <si>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</si>
  <si>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</si>
  <si>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</si>
  <si>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</si>
  <si>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</si>
  <si>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</si>
  <si>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</si>
  <si>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</si>
  <si>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</si>
  <si>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</si>
  <si>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</si>
  <si>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</si>
  <si>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</si>
  <si>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</si>
  <si>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</si>
  <si>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</si>
  <si>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</si>
  <si>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</si>
  <si>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</si>
  <si>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</si>
  <si>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</si>
  <si>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</si>
  <si>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</si>
  <si>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</si>
  <si>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</si>
  <si>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</si>
  <si>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</si>
  <si>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</si>
  <si>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</si>
  <si>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</si>
  <si>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</si>
  <si>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</si>
  <si>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</si>
  <si>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</si>
  <si>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</si>
  <si>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</si>
  <si>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</si>
  <si>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</si>
  <si>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</si>
  <si>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</si>
  <si>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</si>
  <si>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</si>
  <si>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</si>
  <si>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</si>
  <si>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</si>
  <si>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</si>
  <si>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</si>
  <si>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</si>
  <si>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</si>
  <si>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</si>
  <si>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</si>
  <si>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</si>
  <si>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</si>
  <si>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</si>
  <si>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</si>
  <si>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</si>
  <si>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</si>
  <si>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</si>
  <si>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</si>
  <si>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</si>
  <si>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</si>
  <si>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</si>
  <si>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</si>
  <si>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</si>
  <si>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</si>
  <si>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</si>
  <si>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</si>
  <si>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</si>
  <si>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</si>
  <si>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</si>
  <si>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</si>
  <si>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</si>
  <si>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</si>
  <si>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</si>
  <si>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</si>
  <si>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</si>
  <si>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</si>
  <si>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</si>
  <si>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</si>
  <si>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</si>
  <si>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</si>
  <si>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</si>
  <si>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</si>
  <si>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</si>
  <si>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</si>
  <si>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</si>
  <si>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</si>
  <si>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</si>
  <si>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</si>
  <si>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</si>
  <si>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</si>
  <si>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</si>
  <si>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</si>
  <si>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</si>
  <si>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</si>
  <si>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</si>
  <si>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</si>
  <si>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</si>
  <si>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</si>
  <si>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</si>
  <si>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</si>
  <si>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</si>
  <si>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</si>
  <si>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</si>
  <si>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</si>
  <si>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</si>
  <si>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</si>
  <si>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</si>
  <si>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</si>
  <si>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</si>
  <si>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</si>
  <si>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</si>
  <si>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</si>
  <si>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</si>
  <si>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</si>
  <si>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</si>
  <si>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</si>
  <si>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</si>
  <si>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</si>
  <si>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</si>
  <si>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</si>
  <si>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</si>
  <si>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</si>
  <si>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</si>
  <si>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</si>
  <si>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</si>
  <si>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</si>
  <si>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</si>
  <si>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</si>
  <si>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</si>
  <si>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</si>
  <si>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</si>
  <si>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</si>
  <si>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</si>
  <si>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</si>
  <si>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</si>
  <si>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</si>
  <si>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</si>
  <si>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</si>
  <si>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</si>
  <si>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</si>
  <si>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</si>
  <si>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</si>
  <si>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</si>
  <si>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</si>
  <si>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</si>
  <si>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</si>
  <si>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</si>
  <si>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</si>
  <si>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</si>
  <si>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</si>
  <si>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</si>
  <si>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</si>
  <si>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</si>
  <si>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</si>
  <si>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</si>
  <si>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</si>
  <si>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</si>
  <si>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</si>
  <si>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</si>
  <si>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</si>
  <si>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</si>
  <si>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</si>
  <si>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</si>
  <si>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</si>
  <si>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</si>
  <si>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</si>
  <si>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</si>
  <si>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</si>
  <si>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</si>
  <si>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</si>
  <si>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</si>
  <si>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</si>
  <si>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</si>
  <si>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</si>
  <si>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</si>
  <si>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</si>
  <si>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</si>
  <si>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</si>
  <si>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</si>
  <si>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</si>
  <si>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</si>
  <si>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</si>
  <si>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</si>
  <si>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</si>
  <si>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</si>
  <si>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</si>
  <si>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</si>
  <si>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</si>
  <si>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</si>
  <si>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</si>
  <si>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</si>
  <si>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</si>
  <si>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</si>
  <si>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</si>
  <si>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</si>
  <si>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</si>
  <si>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</si>
  <si>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</si>
  <si>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</si>
  <si>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</si>
  <si>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</si>
  <si>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</si>
  <si>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</si>
  <si>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</si>
  <si>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</si>
  <si>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</si>
  <si>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</si>
  <si>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</si>
  <si>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</si>
  <si>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</si>
  <si>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</si>
  <si>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</si>
  <si>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</si>
  <si>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</si>
  <si>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</si>
  <si>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</si>
  <si>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</si>
  <si>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</si>
  <si>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</si>
  <si>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</si>
  <si>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</si>
  <si>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</si>
  <si>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</si>
  <si>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</si>
  <si>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</si>
  <si>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</si>
  <si>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</si>
  <si>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</si>
  <si>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</si>
  <si>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</si>
  <si>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</si>
  <si>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</si>
  <si>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</si>
  <si>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</si>
  <si>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</si>
  <si>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</si>
  <si>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</si>
  <si>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</si>
  <si>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</si>
  <si>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</si>
  <si>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</si>
  <si>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</si>
  <si>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</si>
  <si>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</si>
  <si>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</si>
  <si>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</si>
  <si>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</si>
  <si>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</si>
  <si>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</si>
  <si>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</si>
  <si>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</si>
  <si>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</si>
  <si>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</si>
  <si>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</si>
  <si>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</si>
  <si>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</si>
  <si>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</si>
  <si>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</si>
  <si>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</si>
  <si>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</si>
  <si>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</si>
  <si>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</si>
  <si>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</si>
  <si>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</si>
  <si>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</si>
  <si>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</si>
  <si>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</si>
  <si>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</si>
  <si>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</si>
  <si>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</si>
  <si>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</si>
  <si>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</si>
  <si>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</si>
  <si>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</si>
  <si>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</si>
  <si>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</si>
  <si>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</si>
  <si>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</si>
  <si>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</si>
  <si>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</si>
  <si>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</si>
  <si>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</si>
  <si>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</si>
  <si>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</si>
  <si>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</si>
  <si>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</si>
  <si>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</si>
  <si>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</si>
  <si>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</si>
  <si>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</si>
  <si>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</si>
  <si>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</si>
  <si>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</si>
  <si>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</si>
  <si>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</si>
  <si>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</si>
  <si>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</si>
  <si>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</si>
  <si>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</si>
  <si>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</si>
  <si>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</si>
  <si>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</si>
  <si>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</si>
  <si>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</si>
  <si>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</si>
  <si>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</si>
  <si>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</si>
  <si>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</si>
  <si>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</si>
  <si>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</si>
  <si>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</si>
  <si>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</si>
  <si>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</si>
  <si>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</si>
  <si>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</si>
  <si>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</si>
  <si>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</si>
  <si>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</si>
  <si>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</si>
  <si>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</si>
  <si>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</si>
  <si>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</si>
  <si>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</si>
  <si>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</si>
  <si>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</si>
  <si>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</si>
  <si>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</si>
  <si>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</si>
  <si>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</si>
  <si>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</si>
  <si>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</si>
  <si>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</si>
  <si>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</si>
  <si>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</si>
  <si>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</si>
  <si>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</si>
  <si>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</si>
  <si>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</si>
  <si>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</si>
  <si>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</si>
  <si>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</si>
  <si>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</si>
  <si>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</si>
  <si>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</si>
  <si>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</si>
  <si>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</si>
  <si>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</si>
  <si>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</si>
  <si>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</si>
  <si>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</si>
  <si>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</si>
  <si>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</si>
  <si>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</si>
  <si>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</si>
  <si>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</si>
  <si>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</si>
  <si>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</si>
  <si>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</si>
  <si>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</si>
  <si>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</si>
  <si>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</si>
  <si>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</si>
  <si>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</si>
  <si>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</si>
  <si>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</si>
  <si>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</si>
  <si>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</si>
  <si>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</si>
  <si>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</si>
  <si>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</si>
  <si>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</si>
  <si>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</si>
  <si>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</si>
  <si>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</si>
  <si>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</si>
  <si>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</si>
  <si>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</si>
  <si>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B</t>
  </si>
  <si>
    <t>A</t>
  </si>
  <si>
    <t>B A</t>
  </si>
  <si>
    <t>ECG BFD</t>
  </si>
  <si>
    <t>FED ABCG</t>
  </si>
  <si>
    <t xml:space="preserve">A D BC </t>
  </si>
  <si>
    <t>C</t>
  </si>
  <si>
    <t>AC</t>
  </si>
  <si>
    <t>BCD</t>
  </si>
  <si>
    <t>BC</t>
  </si>
  <si>
    <t>CBD</t>
  </si>
  <si>
    <t xml:space="preserve">EDC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</si>
</sst>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133664.64094000001</v>
      </c>
      <c r="G3" s="94">
        <f>SUM(G4:G23)</f>
        <v>200372.62250611477</v>
      </c>
      <c r="H3" s="94">
        <f ca="1">SUM(H4:H23)</f>
        <v>9242</v>
      </c>
      <c r="I3" s="95">
        <f>IFERROR(F3/E3," ")</f>
        <v>0.40014889225543582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40975.799999999988</v>
      </c>
      <c r="G4" s="100">
        <f>+E4-F4</f>
        <v>99111.800000000105</v>
      </c>
      <c r="H4" s="100"/>
      <c r="I4" s="101">
        <f t="shared" ref="I4:I23" si="0">IFERROR(F4/E4," ")</f>
        <v>0.29250126349512706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92688.840940000009</v>
      </c>
      <c r="G5" s="100">
        <f t="shared" ref="G5:G7" si="1">+E5-F5</f>
        <v>101260.82250611468</v>
      </c>
      <c r="H5" s="100">
        <f ca="1">'BTP-A320M4130'!P5</f>
        <v>9242</v>
      </c>
      <c r="I5" s="101">
        <f t="shared" si="0"/>
        <v>0.47790153018621701</v>
      </c>
      <c r="J5" s="100">
        <f>[1]Progress!$BH$4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AW332"/>
  <sheetViews>
    <sheetView tabSelected="1" zoomScale="85" zoomScaleNormal="85" workbookViewId="0">
      <pane xSplit="13" ySplit="29" topLeftCell="AB30" activePane="bottomRight" state="frozen"/>
      <selection activeCell="O42" sqref="O42"/>
      <selection pane="topRight" activeCell="O42" sqref="O42"/>
      <selection pane="bottomLeft" activeCell="O42" sqref="O42"/>
      <selection pane="bottomRight" activeCell="AP340" sqref="AP34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6" width="6.875" style="3" customWidth="1"/>
    <col min="37" max="37" width="7.25" style="3" customWidth="1"/>
    <col min="38" max="38" width="8.625" style="3" customWidth="1"/>
    <col min="39" max="39" width="9.875" style="3" customWidth="1"/>
    <col min="40" max="40" width="8.625" style="3" customWidth="1"/>
    <col min="41" max="41" width="8.75" style="3" customWidth="1"/>
    <col min="42" max="42" width="7.5" style="3" customWidth="1"/>
    <col min="43" max="45" width="9" style="3" customWidth="1"/>
    <col min="46" max="46" width="8.75" style="3" customWidth="1"/>
    <col min="47" max="47" width="8.625" style="3" customWidth="1"/>
    <col min="48" max="49" width="9" style="3" customWidth="1"/>
    <col min="50" max="16384" width="8.75" style="3"/>
  </cols>
  <sheetData>
    <row r="1" spans="4:37" ht="19.5">
      <c r="D1" s="1" t="s">
        <v>818</v>
      </c>
      <c r="E1" s="2"/>
      <c r="F1" s="2"/>
      <c r="G1" s="2"/>
      <c r="H1" s="2"/>
    </row>
    <row r="2" spans="4:37" ht="13.5" thickBot="1"/>
    <row r="3" spans="4:3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 spans="4:3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5"/>
    </row>
    <row r="5" spans="4:37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304</v>
      </c>
      <c r="N5" s="30">
        <f>H8</f>
        <v>40975.799999999988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 spans="4:37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304</v>
      </c>
      <c r="H6" s="26" cm="1">
        <f t="array" ref="H6">SUMPRODUCT(--($C$30:$C$332=$D6),$L$30:$L$332,$J$30:$J$332)</f>
        <v>40975.799999999988</v>
      </c>
      <c r="I6" s="26" cm="1">
        <f t="array" ref="I6">SUMPRODUCT(--($C$30:$C$332=$D6),$M$30:$M$332)</f>
        <v>461</v>
      </c>
      <c r="J6" s="27" cm="1">
        <f t="array" ref="J6">SUMPRODUCT(--($C$30:$C$332=$D6),$M$30:$M$332,$J$30:$J$332)</f>
        <v>99111.800000000017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 spans="4:37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7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304</v>
      </c>
      <c r="H8" s="41">
        <f t="shared" si="0"/>
        <v>40975.799999999988</v>
      </c>
      <c r="I8" s="41">
        <f t="shared" si="0"/>
        <v>461</v>
      </c>
      <c r="J8" s="42">
        <f t="shared" si="0"/>
        <v>99111.800000000017</v>
      </c>
    </row>
    <row r="9" spans="4:37" ht="13.5" hidden="1" outlineLevel="1" thickTop="1"/>
    <row r="10" spans="4:3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7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</row>
    <row r="12" spans="4:37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</row>
    <row r="13" spans="4:37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</row>
    <row r="14" spans="4:37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</row>
    <row r="15" spans="4:37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</row>
    <row r="16" spans="4:37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</row>
    <row r="17" spans="3:49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</row>
    <row r="18" spans="3:49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</row>
    <row r="19" spans="3:49" ht="13.5" hidden="1" outlineLevel="1" thickTop="1"/>
    <row r="20" spans="3:4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49" ht="13.5" hidden="1" outlineLevel="1" thickTop="1">
      <c r="D21" s="63" t="s">
        <v>13</v>
      </c>
      <c r="E21" s="64" t="str" cm="1">
        <f t="array" ref="E21:M21">_xlfn._xlws.SORT(MID(TRANSPOSE(_xlfn.UNIQUE(_xlfn._xlws.FILTER(AN30:AN332,(C30:C332=$D$21)*(M30:M332&lt;&gt;0)))),3,3),,1)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 spans="3:49" ht="30.75" hidden="1" customHeight="1" outlineLevel="2">
      <c r="D22" s="66" t="s">
        <v>24</v>
      </c>
      <c r="E22" s="67" t="e" cm="1">
        <f t="array" ref="E22">SUMPRODUCT(--($C$30:$C$332=$D$21),--($AN$30:$AN$332="PL"&amp;E$21),$J$30:$J$332,$I$30:$I$332)/(7.85*E$21)</f>
        <v>#VALUE!</v>
      </c>
      <c r="F22" s="67" t="e" cm="1">
        <f t="array" ref="F22">SUMPRODUCT(--($C$30:$C$332=$D$21),--($AN$30:$AN$332="PL"&amp;F$21),$J$30:$J$332,$I$30:$I$332)/(7.85*F$21)</f>
        <v>#VALUE!</v>
      </c>
      <c r="G22" s="67" t="e" cm="1">
        <f t="array" ref="G22">SUMPRODUCT(--($C$30:$C$332=$D$21),--($AN$30:$AN$332="PL"&amp;G$21),$J$30:$J$332,$I$30:$I$332)/(7.85*G$21)</f>
        <v>#VALUE!</v>
      </c>
      <c r="H22" s="67" t="e" cm="1">
        <f t="array" ref="H22">SUMPRODUCT(--($C$30:$C$332=$D$21),--($AN$30:$AN$332="PL"&amp;H$21),$J$30:$J$332,$I$30:$I$332)/(7.85*H$21)</f>
        <v>#VALUE!</v>
      </c>
      <c r="I22" s="67" t="e" cm="1">
        <f t="array" ref="I22">SUMPRODUCT(--($C$30:$C$332=$D$21),--($AN$30:$AN$332="PL"&amp;I$21),$J$30:$J$332,$I$30:$I$332)/(7.85*I$21)</f>
        <v>#VALUE!</v>
      </c>
      <c r="J22" s="67" t="e" cm="1">
        <f t="array" ref="J22">SUMPRODUCT(--($C$30:$C$332=$D$21),--($AN$30:$AN$332="PL"&amp;J$21),$J$30:$J$332,$I$30:$I$332)/(7.85*J$21)</f>
        <v>#VALUE!</v>
      </c>
      <c r="K22" s="67" t="e" cm="1">
        <f t="array" ref="K22">SUMPRODUCT(--($C$30:$C$332=$D$21),--($AN$30:$AN$332="PL"&amp;K$21),$J$30:$J$332,$I$30:$I$332)/(7.85*K$21)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</row>
    <row r="23" spans="3:49" ht="21" hidden="1" customHeight="1" outlineLevel="2">
      <c r="D23" s="66" t="s">
        <v>17</v>
      </c>
      <c r="E23" s="69" t="e" cm="1">
        <f t="array" ref="E23">SUMPRODUCT(--($C$30:$C$332=$D$21),--($AN$30:$AN$332="PL"&amp;E$21),$I$30:$I$332)</f>
        <v>#VALUE!</v>
      </c>
      <c r="F23" s="69" t="e" cm="1">
        <f t="array" ref="F23">SUMPRODUCT(--($C$30:$C$332=$D$21),--($AN$30:$AN$332="PL"&amp;F$21),$I$30:$I$332)</f>
        <v>#VALUE!</v>
      </c>
      <c r="G23" s="69" t="e" cm="1">
        <f t="array" ref="G23">SUMPRODUCT(--($C$30:$C$332=$D$21),--($AN$30:$AN$332="PL"&amp;G$21),$I$30:$I$332)</f>
        <v>#VALUE!</v>
      </c>
      <c r="H23" s="69" t="e" cm="1">
        <f t="array" ref="H23">SUMPRODUCT(--($C$30:$C$332=$D$21),--($AN$30:$AN$332="PL"&amp;H$21),$I$30:$I$332)</f>
        <v>#VALUE!</v>
      </c>
      <c r="I23" s="69" t="e" cm="1">
        <f t="array" ref="I23">SUMPRODUCT(--($C$30:$C$332=$D$21),--($AN$30:$AN$332="PL"&amp;I$21),$I$30:$I$332)</f>
        <v>#VALUE!</v>
      </c>
      <c r="J23" s="69" t="e" cm="1">
        <f t="array" ref="J23">SUMPRODUCT(--($C$30:$C$332=$D$21),--($AN$30:$AN$332="PL"&amp;J$21),$I$30:$I$332)</f>
        <v>#VALUE!</v>
      </c>
      <c r="K23" s="69" t="e" cm="1">
        <f t="array" ref="K23">SUMPRODUCT(--($C$30:$C$332=$D$21),--($AN$30:$AN$332="PL"&amp;K$21),$I$30:$I$332)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</row>
    <row r="24" spans="3:49" ht="25.9" hidden="1" customHeight="1" outlineLevel="2">
      <c r="D24" s="66" t="s">
        <v>25</v>
      </c>
      <c r="E24" s="67" t="e" cm="1">
        <f t="array" ref="E24">SUMPRODUCT(--($C$30:$C$332=$D$21),--($AN$30:$AN$332="PL"&amp;E$21),$J$30:$J$332,$M$30:$M$332)/(7.85*E$21)</f>
        <v>#VALUE!</v>
      </c>
      <c r="F24" s="67" t="e" cm="1">
        <f t="array" ref="F24">SUMPRODUCT(--($C$30:$C$332=$D$21),--($AN$30:$AN$332="PL"&amp;F$21),$J$30:$J$332,$M$30:$M$332)/(7.85*F$21)</f>
        <v>#VALUE!</v>
      </c>
      <c r="G24" s="67" t="e" cm="1">
        <f t="array" ref="G24">SUMPRODUCT(--($C$30:$C$332=$D$21),--($AN$30:$AN$332="PL"&amp;G$21),$J$30:$J$332,$M$30:$M$332)/(7.85*G$21)</f>
        <v>#VALUE!</v>
      </c>
      <c r="H24" s="67" t="e" cm="1">
        <f t="array" ref="H24">SUMPRODUCT(--($C$30:$C$332=$D$21),--($AN$30:$AN$332="PL"&amp;H$21),$J$30:$J$332,$M$30:$M$332)/(7.85*H$21)</f>
        <v>#VALUE!</v>
      </c>
      <c r="I24" s="67" t="e" cm="1">
        <f t="array" ref="I24">SUMPRODUCT(--($C$30:$C$332=$D$21),--($AN$30:$AN$332="PL"&amp;I$21),$J$30:$J$332,$M$30:$M$332)/(7.85*I$21)</f>
        <v>#VALUE!</v>
      </c>
      <c r="J24" s="67" t="e" cm="1">
        <f t="array" ref="J24">SUMPRODUCT(--($C$30:$C$332=$D$21),--($AN$30:$AN$332="PL"&amp;J$21),$J$30:$J$332,$M$30:$M$332)/(7.85*J$21)</f>
        <v>#VALUE!</v>
      </c>
      <c r="K24" s="67" t="e" cm="1">
        <f t="array" ref="K24">SUMPRODUCT(--($C$30:$C$332=$D$21),--($AN$30:$AN$332="PL"&amp;K$21),$J$30:$J$332,$M$30:$M$332)/(7.85*K$21)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</row>
    <row r="25" spans="3:49" ht="19.5" hidden="1" customHeight="1" outlineLevel="2">
      <c r="D25" s="71" t="s">
        <v>26</v>
      </c>
      <c r="E25" s="69" t="e" cm="1">
        <f t="array" ref="E25">SUMPRODUCT(--($C$30:$C$332=$D$21),--($AN$30:$AN$332="PL"&amp;E$21),$M$30:$M$332)</f>
        <v>#VALUE!</v>
      </c>
      <c r="F25" s="69" t="e" cm="1">
        <f t="array" ref="F25">SUMPRODUCT(--($C$30:$C$332=$D$21),--($AN$30:$AN$332="PL"&amp;F$21),$M$30:$M$332)</f>
        <v>#VALUE!</v>
      </c>
      <c r="G25" s="69" t="e" cm="1">
        <f t="array" ref="G25">SUMPRODUCT(--($C$30:$C$332=$D$21),--($AN$30:$AN$332="PL"&amp;G$21),$M$30:$M$332)</f>
        <v>#VALUE!</v>
      </c>
      <c r="H25" s="69" t="e" cm="1">
        <f t="array" ref="H25">SUMPRODUCT(--($C$30:$C$332=$D$21),--($AN$30:$AN$332="PL"&amp;H$21),$M$30:$M$332)</f>
        <v>#VALUE!</v>
      </c>
      <c r="I25" s="69" t="e" cm="1">
        <f t="array" ref="I25">SUMPRODUCT(--($C$30:$C$332=$D$21),--($AN$30:$AN$332="PL"&amp;I$21),$M$30:$M$332)</f>
        <v>#VALUE!</v>
      </c>
      <c r="J25" s="69" t="e" cm="1">
        <f t="array" ref="J25">SUMPRODUCT(--($C$30:$C$332=$D$21),--($AN$30:$AN$332="PL"&amp;J$21),$M$30:$M$332)</f>
        <v>#VALUE!</v>
      </c>
      <c r="K25" s="69" t="e" cm="1">
        <f t="array" ref="K25">SUMPRODUCT(--($C$30:$C$332=$D$21),--($AN$30:$AN$332="PL"&amp;K$21),$M$30:$M$332)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</row>
    <row r="26" spans="3:49" ht="25.9" hidden="1" customHeight="1" outlineLevel="1" collapsed="1" thickBot="1">
      <c r="D26" s="72" t="s">
        <v>27</v>
      </c>
      <c r="E26" s="67" t="e" cm="1">
        <f t="array" ref="E26">SUMPRODUCT(--($C$30:$C$332=$D$21),--($AN$30:$AN$332="PL"&amp;E$21),$J$30:$J$332,$M$30:$M$332)</f>
        <v>#VALUE!</v>
      </c>
      <c r="F26" s="67" t="e" cm="1">
        <f t="array" ref="F26">SUMPRODUCT(--($C$30:$C$332=$D$21),--($AN$30:$AN$332="PL"&amp;F$21),$J$30:$J$332,$M$30:$M$332)</f>
        <v>#VALUE!</v>
      </c>
      <c r="G26" s="67" t="e" cm="1">
        <f t="array" ref="G26">SUMPRODUCT(--($C$30:$C$332=$D$21),--($AN$30:$AN$332="PL"&amp;G$21),$J$30:$J$332,$M$30:$M$332)</f>
        <v>#VALUE!</v>
      </c>
      <c r="H26" s="67" t="e" cm="1">
        <f t="array" ref="H26">SUMPRODUCT(--($C$30:$C$332=$D$21),--($AN$30:$AN$332="PL"&amp;H$21),$J$30:$J$332,$M$30:$M$332)</f>
        <v>#VALUE!</v>
      </c>
      <c r="I26" s="67" t="e" cm="1">
        <f t="array" ref="I26">SUMPRODUCT(--($C$30:$C$332=$D$21),--($AN$30:$AN$332="PL"&amp;I$21),$J$30:$J$332,$M$30:$M$332)</f>
        <v>#VALUE!</v>
      </c>
      <c r="J26" s="67" t="e" cm="1">
        <f t="array" ref="J26">SUMPRODUCT(--($C$30:$C$332=$D$21),--($AN$30:$AN$332="PL"&amp;J$21),$J$30:$J$332,$M$30:$M$332)</f>
        <v>#VALUE!</v>
      </c>
      <c r="K26" s="67" t="e" cm="1">
        <f t="array" ref="K26">SUMPRODUCT(--($C$30:$C$332=$D$21),--($AN$30:$AN$332="PL"&amp;K$21),$J$30:$J$332,$M$30:$M$332)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 spans="3:49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0</v>
      </c>
      <c r="AL27" s="73" t="e" cm="1">
        <f t="array" ref="AL27">SUMPRODUCT($J$30:$J$332,AL30:AL332,--(AL30:AL332&lt;&gt;""))</f>
        <v>#VALUE!</v>
      </c>
    </row>
    <row r="28" spans="3:4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K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si="1"/>
        <v>0</v>
      </c>
      <c r="AL28" s="75" t="e">
        <f t="shared" ref="AL28" si="8">SUM(AL30:AL332)</f>
        <v>#VALUE!</v>
      </c>
      <c r="AM28" s="74"/>
      <c r="AN28" s="74"/>
    </row>
    <row r="29" spans="3:4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8" t="s">
        <v>34</v>
      </c>
      <c r="AL29" s="77" t="s">
        <v>35</v>
      </c>
      <c r="AM29" s="77" t="s">
        <v>36</v>
      </c>
      <c r="AN29" s="77" t="s">
        <v>37</v>
      </c>
      <c r="AO29" s="80" t="s">
        <v>38</v>
      </c>
      <c r="AP29" s="80" t="s">
        <v>39</v>
      </c>
      <c r="AQ29" s="80" t="s">
        <v>40</v>
      </c>
      <c r="AR29" s="80" t="s">
        <v>41</v>
      </c>
      <c r="AS29" s="80" t="s">
        <v>42</v>
      </c>
      <c r="AT29" s="80" t="s">
        <v>43</v>
      </c>
      <c r="AU29" s="81" t="s">
        <v>44</v>
      </c>
      <c r="AV29" s="80"/>
      <c r="AW29" s="80"/>
    </row>
    <row r="30" spans="3:49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9">MIN(SUM(N30:AK30),I30)</f>
        <v>0</v>
      </c>
      <c r="M30" s="26">
        <f t="shared" ref="M30:M269" si="10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67" t="e">
        <f>SUMIFS([2]Up!$J:$J,[2]Up!$D:$D,D30)</f>
        <v>#VALUE!</v>
      </c>
      <c r="AM30" s="82"/>
      <c r="AN30" s="82" t="str">
        <f t="shared" ref="AN30:AN269" si="11">IFERROR(IF(C30="Plate",LEFT(E30,FIND("*",E30,1)-1),""),IF(C30="Plate",LEFT(E30,FIND("x",E30,1)-1),""))</f>
        <v>PL10</v>
      </c>
      <c r="AO30" s="53" t="str">
        <f t="shared" ref="AO30:AO269" si="12">IF(ROUND(SUM(N30:AK30)-I30,0)&gt;0,"Thừa "&amp;SUM(N30:AK30)-I30,"")</f>
        <v/>
      </c>
      <c r="AP30" s="53" t="s">
        <v>148</v>
      </c>
      <c r="AQ30" s="53"/>
      <c r="AR30" s="53"/>
      <c r="AS30" s="53" t="s">
        <v>57</v>
      </c>
      <c r="AT30" s="53">
        <v>12</v>
      </c>
      <c r="AU30" s="83"/>
      <c r="AV30" s="53"/>
      <c r="AW30" s="53"/>
    </row>
    <row r="31" spans="3:49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9"/>
        <v>0</v>
      </c>
      <c r="M31" s="26">
        <f t="shared" si="10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67" t="e">
        <f>SUMIFS([2]Up!$J:$J,[2]Up!$D:$D,D31)</f>
        <v>#VALUE!</v>
      </c>
      <c r="AM31" s="82"/>
      <c r="AN31" s="82" t="e">
        <f t="shared" si="11"/>
        <v>#VALUE!</v>
      </c>
      <c r="AO31" s="53" t="str">
        <f t="shared" si="12"/>
        <v/>
      </c>
      <c r="AP31" s="53" t="s">
        <v>154</v>
      </c>
      <c r="AQ31" s="53"/>
      <c r="AR31" s="53"/>
      <c r="AS31" s="53" t="s">
        <v>57</v>
      </c>
      <c r="AT31" s="53">
        <v>6</v>
      </c>
      <c r="AU31" s="83"/>
      <c r="AV31" s="53"/>
      <c r="AW31" s="53"/>
    </row>
    <row r="32" spans="3:49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9"/>
        <v>0</v>
      </c>
      <c r="M32" s="26">
        <f t="shared" si="10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67" t="e">
        <f>SUMIFS([2]Up!$J:$J,[2]Up!$D:$D,D32)</f>
        <v>#VALUE!</v>
      </c>
      <c r="AM32" s="82"/>
      <c r="AN32" s="82" t="str">
        <f t="shared" si="11"/>
        <v>PL10</v>
      </c>
      <c r="AO32" s="53" t="str">
        <f t="shared" si="12"/>
        <v/>
      </c>
      <c r="AP32" s="53" t="s">
        <v>154</v>
      </c>
      <c r="AQ32" s="84" t="s">
        <v>210</v>
      </c>
      <c r="AR32" s="53"/>
      <c r="AS32" s="53" t="s">
        <v>211</v>
      </c>
      <c r="AT32" s="53">
        <v>2</v>
      </c>
      <c r="AU32" s="83">
        <v>46201</v>
      </c>
      <c r="AV32" s="53"/>
      <c r="AW32" s="53"/>
    </row>
    <row r="33" spans="3:49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9"/>
        <v>0</v>
      </c>
      <c r="M33" s="26">
        <f t="shared" si="10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67" t="e">
        <f>SUMIFS([2]Up!$J:$J,[2]Up!$D:$D,D33)</f>
        <v>#VALUE!</v>
      </c>
      <c r="AM33" s="82"/>
      <c r="AN33" s="82" t="str">
        <f t="shared" si="11"/>
        <v>PL10</v>
      </c>
      <c r="AO33" s="53" t="str">
        <f t="shared" si="12"/>
        <v/>
      </c>
      <c r="AP33" s="53" t="s">
        <v>154</v>
      </c>
      <c r="AQ33" s="84" t="s">
        <v>210</v>
      </c>
      <c r="AR33" s="53"/>
      <c r="AS33" s="53" t="s">
        <v>211</v>
      </c>
      <c r="AT33" s="53">
        <v>4</v>
      </c>
      <c r="AU33" s="83">
        <v>46201</v>
      </c>
      <c r="AV33" s="53"/>
      <c r="AW33" s="53"/>
    </row>
    <row r="34" spans="3:49" ht="14.25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9"/>
        <v>1</v>
      </c>
      <c r="M34" s="26">
        <f t="shared" si="10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67" t="e">
        <f>SUMIFS([2]Up!$J:$J,[2]Up!$D:$D,D34)</f>
        <v>#VALUE!</v>
      </c>
      <c r="AM34" s="82" t="s">
        <v>2240</v>
      </c>
      <c r="AN34" s="82" t="e">
        <f t="shared" si="11"/>
        <v>#VALUE!</v>
      </c>
      <c r="AO34" s="53" t="str">
        <f t="shared" si="12"/>
        <v/>
      </c>
      <c r="AP34" s="53" t="s">
        <v>154</v>
      </c>
      <c r="AQ34" s="53"/>
      <c r="AR34" s="53"/>
      <c r="AS34" s="53" t="s">
        <v>57</v>
      </c>
      <c r="AT34" s="53">
        <v>6</v>
      </c>
      <c r="AU34" s="83"/>
      <c r="AV34" s="53"/>
      <c r="AW34" s="53"/>
    </row>
    <row r="35" spans="3:49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9"/>
        <v>0</v>
      </c>
      <c r="M35" s="26">
        <f t="shared" si="10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67" t="e">
        <f>SUMIFS([2]Up!$J:$J,[2]Up!$D:$D,D35)</f>
        <v>#VALUE!</v>
      </c>
      <c r="AM35" s="82"/>
      <c r="AN35" s="82" t="str">
        <f t="shared" si="11"/>
        <v>PL10</v>
      </c>
      <c r="AO35" s="53" t="str">
        <f t="shared" si="12"/>
        <v/>
      </c>
      <c r="AP35" s="53" t="s">
        <v>148</v>
      </c>
      <c r="AQ35" s="84" t="s">
        <v>210</v>
      </c>
      <c r="AR35" s="53"/>
      <c r="AS35" s="53" t="s">
        <v>211</v>
      </c>
      <c r="AT35" s="53">
        <v>2</v>
      </c>
      <c r="AU35" s="83">
        <v>46201</v>
      </c>
      <c r="AV35" s="53"/>
      <c r="AW35" s="53"/>
    </row>
    <row r="36" spans="3:49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9"/>
        <v>0</v>
      </c>
      <c r="M36" s="26">
        <f t="shared" si="10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67" t="e">
        <f>SUMIFS([2]Up!$J:$J,[2]Up!$D:$D,D36)</f>
        <v>#VALUE!</v>
      </c>
      <c r="AM36" s="82"/>
      <c r="AN36" s="82" t="str">
        <f t="shared" si="11"/>
        <v>PL10</v>
      </c>
      <c r="AO36" s="53" t="str">
        <f t="shared" si="12"/>
        <v/>
      </c>
      <c r="AP36" s="53" t="s">
        <v>154</v>
      </c>
      <c r="AQ36" s="84" t="s">
        <v>210</v>
      </c>
      <c r="AR36" s="53"/>
      <c r="AS36" s="53" t="s">
        <v>211</v>
      </c>
      <c r="AT36" s="53">
        <v>4</v>
      </c>
      <c r="AU36" s="83">
        <v>46201</v>
      </c>
      <c r="AV36" s="53"/>
      <c r="AW36" s="53"/>
    </row>
    <row r="37" spans="3:49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9"/>
        <v>0</v>
      </c>
      <c r="M37" s="26">
        <f t="shared" si="10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67" t="e">
        <f>SUMIFS([2]Up!$J:$J,[2]Up!$D:$D,D37)</f>
        <v>#VALUE!</v>
      </c>
      <c r="AM37" s="82"/>
      <c r="AN37" s="82" t="str">
        <f t="shared" si="11"/>
        <v>PL10</v>
      </c>
      <c r="AO37" s="53" t="str">
        <f t="shared" si="12"/>
        <v/>
      </c>
      <c r="AP37" s="53" t="s">
        <v>154</v>
      </c>
      <c r="AQ37" s="84" t="s">
        <v>210</v>
      </c>
      <c r="AR37" s="53"/>
      <c r="AS37" s="53" t="s">
        <v>211</v>
      </c>
      <c r="AT37" s="53">
        <v>4</v>
      </c>
      <c r="AU37" s="83">
        <v>46201</v>
      </c>
      <c r="AV37" s="53"/>
      <c r="AW37" s="53"/>
    </row>
    <row r="38" spans="3:49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9"/>
        <v>0</v>
      </c>
      <c r="M38" s="26">
        <f t="shared" si="10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67" t="e">
        <f>SUMIFS([2]Up!$J:$J,[2]Up!$D:$D,D38)</f>
        <v>#VALUE!</v>
      </c>
      <c r="AM38" s="82"/>
      <c r="AN38" s="82" t="str">
        <f t="shared" si="11"/>
        <v>PL10</v>
      </c>
      <c r="AO38" s="53" t="str">
        <f t="shared" si="12"/>
        <v/>
      </c>
      <c r="AP38" s="53" t="s">
        <v>154</v>
      </c>
      <c r="AQ38" s="84" t="s">
        <v>210</v>
      </c>
      <c r="AR38" s="53"/>
      <c r="AS38" s="53" t="s">
        <v>211</v>
      </c>
      <c r="AT38" s="53">
        <v>4</v>
      </c>
      <c r="AU38" s="83">
        <v>46201</v>
      </c>
      <c r="AV38" s="53"/>
      <c r="AW38" s="53"/>
    </row>
    <row r="39" spans="3:49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9"/>
        <v>0</v>
      </c>
      <c r="M39" s="26">
        <f t="shared" si="10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67" t="e">
        <f>SUMIFS([2]Up!$J:$J,[2]Up!$D:$D,D39)</f>
        <v>#VALUE!</v>
      </c>
      <c r="AM39" s="82"/>
      <c r="AN39" s="82" t="str">
        <f t="shared" si="11"/>
        <v>PL10</v>
      </c>
      <c r="AO39" s="53" t="str">
        <f t="shared" si="12"/>
        <v/>
      </c>
      <c r="AP39" s="53" t="s">
        <v>154</v>
      </c>
      <c r="AQ39" s="84" t="s">
        <v>210</v>
      </c>
      <c r="AR39" s="53"/>
      <c r="AS39" s="53" t="s">
        <v>211</v>
      </c>
      <c r="AT39" s="53">
        <v>4</v>
      </c>
      <c r="AU39" s="83">
        <v>46201</v>
      </c>
      <c r="AV39" s="53"/>
      <c r="AW39" s="53"/>
    </row>
    <row r="40" spans="3:49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9"/>
        <v>0</v>
      </c>
      <c r="M40" s="26">
        <f t="shared" si="10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67" t="e">
        <f>SUMIFS([2]Up!$J:$J,[2]Up!$D:$D,D40)</f>
        <v>#VALUE!</v>
      </c>
      <c r="AM40" s="82"/>
      <c r="AN40" s="82" t="str">
        <f t="shared" si="11"/>
        <v>PL10</v>
      </c>
      <c r="AO40" s="53" t="str">
        <f t="shared" si="12"/>
        <v/>
      </c>
      <c r="AP40" s="53" t="s">
        <v>154</v>
      </c>
      <c r="AQ40" s="84" t="s">
        <v>210</v>
      </c>
      <c r="AR40" s="53"/>
      <c r="AS40" s="53" t="s">
        <v>211</v>
      </c>
      <c r="AT40" s="53">
        <v>4</v>
      </c>
      <c r="AU40" s="83">
        <v>46201</v>
      </c>
      <c r="AV40" s="53"/>
      <c r="AW40" s="53"/>
    </row>
    <row r="41" spans="3:49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9"/>
        <v>0</v>
      </c>
      <c r="M41" s="26">
        <f t="shared" si="10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67" t="e">
        <f>SUMIFS([2]Up!$J:$J,[2]Up!$D:$D,D41)</f>
        <v>#VALUE!</v>
      </c>
      <c r="AM41" s="82"/>
      <c r="AN41" s="82" t="str">
        <f t="shared" si="11"/>
        <v>PL10</v>
      </c>
      <c r="AO41" s="53" t="str">
        <f t="shared" si="12"/>
        <v/>
      </c>
      <c r="AP41" s="53" t="s">
        <v>154</v>
      </c>
      <c r="AQ41" s="84" t="s">
        <v>210</v>
      </c>
      <c r="AR41" s="53"/>
      <c r="AS41" s="53" t="s">
        <v>211</v>
      </c>
      <c r="AT41" s="53">
        <v>4</v>
      </c>
      <c r="AU41" s="83">
        <v>46201</v>
      </c>
      <c r="AV41" s="53"/>
      <c r="AW41" s="53"/>
    </row>
    <row r="42" spans="3:49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9"/>
        <v>0</v>
      </c>
      <c r="M42" s="26">
        <f t="shared" si="10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67" t="e">
        <f>SUMIFS([2]Up!$J:$J,[2]Up!$D:$D,D42)</f>
        <v>#VALUE!</v>
      </c>
      <c r="AM42" s="82"/>
      <c r="AN42" s="82" t="str">
        <f t="shared" si="11"/>
        <v>PL10</v>
      </c>
      <c r="AO42" s="53" t="str">
        <f t="shared" si="12"/>
        <v/>
      </c>
      <c r="AP42" s="53" t="s">
        <v>154</v>
      </c>
      <c r="AQ42" s="84" t="s">
        <v>210</v>
      </c>
      <c r="AR42" s="53"/>
      <c r="AS42" s="53" t="s">
        <v>211</v>
      </c>
      <c r="AT42" s="53">
        <v>4</v>
      </c>
      <c r="AU42" s="83">
        <v>46201</v>
      </c>
      <c r="AV42" s="53"/>
      <c r="AW42" s="53"/>
    </row>
    <row r="43" spans="3:49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9"/>
        <v>0</v>
      </c>
      <c r="M43" s="26">
        <f t="shared" si="10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67" t="e">
        <f>SUMIFS([2]Up!$J:$J,[2]Up!$D:$D,D43)</f>
        <v>#VALUE!</v>
      </c>
      <c r="AM43" s="82"/>
      <c r="AN43" s="82" t="str">
        <f t="shared" si="11"/>
        <v>PL10</v>
      </c>
      <c r="AO43" s="53" t="str">
        <f t="shared" si="12"/>
        <v/>
      </c>
      <c r="AP43" s="53" t="s">
        <v>154</v>
      </c>
      <c r="AQ43" s="84" t="s">
        <v>210</v>
      </c>
      <c r="AR43" s="53"/>
      <c r="AS43" s="53" t="s">
        <v>211</v>
      </c>
      <c r="AT43" s="53">
        <v>4</v>
      </c>
      <c r="AU43" s="83">
        <v>46201</v>
      </c>
      <c r="AV43" s="53"/>
      <c r="AW43" s="53"/>
    </row>
    <row r="44" spans="3:49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9"/>
        <v>0</v>
      </c>
      <c r="M44" s="26">
        <f t="shared" si="10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67" t="e">
        <f>SUMIFS([2]Up!$J:$J,[2]Up!$D:$D,D44)</f>
        <v>#VALUE!</v>
      </c>
      <c r="AM44" s="82"/>
      <c r="AN44" s="82" t="str">
        <f t="shared" si="11"/>
        <v>PL10</v>
      </c>
      <c r="AO44" s="53" t="str">
        <f t="shared" si="12"/>
        <v/>
      </c>
      <c r="AP44" s="53" t="s">
        <v>154</v>
      </c>
      <c r="AQ44" s="84" t="s">
        <v>210</v>
      </c>
      <c r="AR44" s="53"/>
      <c r="AS44" s="53" t="s">
        <v>211</v>
      </c>
      <c r="AT44" s="53">
        <v>4</v>
      </c>
      <c r="AU44" s="83">
        <v>46201</v>
      </c>
      <c r="AV44" s="53"/>
      <c r="AW44" s="53"/>
    </row>
    <row r="45" spans="3:49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9"/>
        <v>0</v>
      </c>
      <c r="M45" s="26">
        <f t="shared" si="10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67" t="e">
        <f>SUMIFS([2]Up!$J:$J,[2]Up!$D:$D,D45)</f>
        <v>#VALUE!</v>
      </c>
      <c r="AM45" s="82"/>
      <c r="AN45" s="82" t="str">
        <f t="shared" si="11"/>
        <v>PL10</v>
      </c>
      <c r="AO45" s="53" t="str">
        <f t="shared" si="12"/>
        <v/>
      </c>
      <c r="AP45" s="53" t="s">
        <v>154</v>
      </c>
      <c r="AQ45" s="84" t="s">
        <v>210</v>
      </c>
      <c r="AR45" s="53"/>
      <c r="AS45" s="53" t="s">
        <v>211</v>
      </c>
      <c r="AT45" s="53">
        <v>4</v>
      </c>
      <c r="AU45" s="83">
        <v>46201</v>
      </c>
      <c r="AV45" s="53"/>
      <c r="AW45" s="53"/>
    </row>
    <row r="46" spans="3:49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9"/>
        <v>1</v>
      </c>
      <c r="M46" s="26">
        <f t="shared" si="10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67" t="e">
        <f>SUMIFS([2]Up!$J:$J,[2]Up!$D:$D,D46)</f>
        <v>#VALUE!</v>
      </c>
      <c r="AM46" s="82"/>
      <c r="AN46" s="82" t="str">
        <f t="shared" si="11"/>
        <v>PL20</v>
      </c>
      <c r="AO46" s="53" t="str">
        <f t="shared" si="12"/>
        <v/>
      </c>
      <c r="AP46" s="53" t="s">
        <v>148</v>
      </c>
      <c r="AQ46" s="84" t="s">
        <v>319</v>
      </c>
      <c r="AR46" s="53"/>
      <c r="AS46" s="53" t="s">
        <v>320</v>
      </c>
      <c r="AT46" s="53">
        <v>1</v>
      </c>
      <c r="AU46" s="83">
        <v>46202</v>
      </c>
      <c r="AV46" s="53"/>
      <c r="AW46" s="53"/>
    </row>
    <row r="47" spans="3:49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9"/>
        <v>2</v>
      </c>
      <c r="M47" s="26">
        <f t="shared" si="10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67" t="e">
        <f>SUMIFS([2]Up!$J:$J,[2]Up!$D:$D,D47)</f>
        <v>#VALUE!</v>
      </c>
      <c r="AM47" s="82"/>
      <c r="AN47" s="82" t="str">
        <f t="shared" si="11"/>
        <v>PL20</v>
      </c>
      <c r="AO47" s="53" t="str">
        <f t="shared" si="12"/>
        <v/>
      </c>
      <c r="AP47" s="53" t="s">
        <v>148</v>
      </c>
      <c r="AQ47" s="84" t="s">
        <v>319</v>
      </c>
      <c r="AR47" s="53"/>
      <c r="AS47" s="53" t="s">
        <v>320</v>
      </c>
      <c r="AT47" s="53">
        <v>2</v>
      </c>
      <c r="AU47" s="83">
        <v>46202</v>
      </c>
      <c r="AV47" s="53"/>
      <c r="AW47" s="53"/>
    </row>
    <row r="48" spans="3:49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9"/>
        <v>1</v>
      </c>
      <c r="M48" s="26">
        <f t="shared" si="10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67" t="e">
        <f>SUMIFS([2]Up!$J:$J,[2]Up!$D:$D,D48)</f>
        <v>#VALUE!</v>
      </c>
      <c r="AM48" s="82"/>
      <c r="AN48" s="82" t="str">
        <f t="shared" si="11"/>
        <v>PL20</v>
      </c>
      <c r="AO48" s="53" t="str">
        <f t="shared" si="12"/>
        <v/>
      </c>
      <c r="AP48" s="53" t="s">
        <v>148</v>
      </c>
      <c r="AQ48" s="84" t="s">
        <v>319</v>
      </c>
      <c r="AR48" s="53"/>
      <c r="AS48" s="53" t="s">
        <v>320</v>
      </c>
      <c r="AT48" s="53">
        <v>1</v>
      </c>
      <c r="AU48" s="83">
        <v>46202</v>
      </c>
      <c r="AV48" s="53"/>
      <c r="AW48" s="53"/>
    </row>
    <row r="49" spans="3:49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9"/>
        <v>1</v>
      </c>
      <c r="M49" s="26">
        <f t="shared" si="10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67" t="e">
        <f>SUMIFS([2]Up!$J:$J,[2]Up!$D:$D,D49)</f>
        <v>#VALUE!</v>
      </c>
      <c r="AM49" s="82"/>
      <c r="AN49" s="82" t="str">
        <f t="shared" si="11"/>
        <v>PL20</v>
      </c>
      <c r="AO49" s="53" t="str">
        <f t="shared" si="12"/>
        <v/>
      </c>
      <c r="AP49" s="53" t="s">
        <v>148</v>
      </c>
      <c r="AQ49" s="84" t="s">
        <v>319</v>
      </c>
      <c r="AR49" s="53"/>
      <c r="AS49" s="53" t="s">
        <v>320</v>
      </c>
      <c r="AT49" s="53">
        <v>1</v>
      </c>
      <c r="AU49" s="83">
        <v>46202</v>
      </c>
      <c r="AV49" s="53"/>
      <c r="AW49" s="53"/>
    </row>
    <row r="50" spans="3:49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9"/>
        <v>2</v>
      </c>
      <c r="M50" s="26">
        <f t="shared" si="10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67" t="e">
        <f>SUMIFS([2]Up!$J:$J,[2]Up!$D:$D,D50)</f>
        <v>#VALUE!</v>
      </c>
      <c r="AM50" s="82"/>
      <c r="AN50" s="82" t="str">
        <f t="shared" si="11"/>
        <v>PL20</v>
      </c>
      <c r="AO50" s="53" t="str">
        <f t="shared" si="12"/>
        <v/>
      </c>
      <c r="AP50" s="53" t="s">
        <v>148</v>
      </c>
      <c r="AQ50" s="84" t="s">
        <v>319</v>
      </c>
      <c r="AR50" s="53"/>
      <c r="AS50" s="53" t="s">
        <v>320</v>
      </c>
      <c r="AT50" s="53">
        <v>2</v>
      </c>
      <c r="AU50" s="83">
        <v>46202</v>
      </c>
      <c r="AV50" s="53"/>
      <c r="AW50" s="53"/>
    </row>
    <row r="51" spans="3:49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9"/>
        <v>2</v>
      </c>
      <c r="M51" s="26">
        <f t="shared" si="10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67" t="e">
        <f>SUMIFS([2]Up!$J:$J,[2]Up!$D:$D,D51)</f>
        <v>#VALUE!</v>
      </c>
      <c r="AM51" s="82"/>
      <c r="AN51" s="82" t="str">
        <f t="shared" si="11"/>
        <v>PL25</v>
      </c>
      <c r="AO51" s="53" t="str">
        <f t="shared" si="12"/>
        <v/>
      </c>
      <c r="AP51" s="53" t="s">
        <v>148</v>
      </c>
      <c r="AQ51" s="53" t="s">
        <v>803</v>
      </c>
      <c r="AR51" s="53"/>
      <c r="AS51" s="53" t="s">
        <v>804</v>
      </c>
      <c r="AT51" s="53">
        <v>2</v>
      </c>
      <c r="AU51" s="83">
        <v>46196</v>
      </c>
      <c r="AV51" s="53"/>
      <c r="AW51" s="53"/>
    </row>
    <row r="52" spans="3:49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9"/>
        <v>16</v>
      </c>
      <c r="M52" s="26">
        <f t="shared" si="10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67" t="e">
        <f>SUMIFS([2]Up!$J:$J,[2]Up!$D:$D,D52)</f>
        <v>#VALUE!</v>
      </c>
      <c r="AM52" s="82"/>
      <c r="AN52" s="82" t="str">
        <f t="shared" si="11"/>
        <v>PL15</v>
      </c>
      <c r="AO52" s="53" t="str">
        <f t="shared" si="12"/>
        <v/>
      </c>
      <c r="AP52" s="53" t="s">
        <v>148</v>
      </c>
      <c r="AQ52" s="84" t="s">
        <v>200</v>
      </c>
      <c r="AR52" s="53"/>
      <c r="AS52" s="53" t="s">
        <v>201</v>
      </c>
      <c r="AT52" s="53">
        <v>16</v>
      </c>
      <c r="AU52" s="83">
        <v>46201</v>
      </c>
      <c r="AV52" s="53"/>
      <c r="AW52" s="53"/>
    </row>
    <row r="53" spans="3:49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9"/>
        <v>16</v>
      </c>
      <c r="M53" s="26">
        <f t="shared" si="10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67" t="e">
        <f>SUMIFS([2]Up!$J:$J,[2]Up!$D:$D,D53)</f>
        <v>#VALUE!</v>
      </c>
      <c r="AM53" s="82"/>
      <c r="AN53" s="82" t="str">
        <f t="shared" si="11"/>
        <v>PL15</v>
      </c>
      <c r="AO53" s="53" t="str">
        <f t="shared" si="12"/>
        <v/>
      </c>
      <c r="AP53" s="53" t="s">
        <v>148</v>
      </c>
      <c r="AQ53" s="84" t="s">
        <v>200</v>
      </c>
      <c r="AR53" s="53"/>
      <c r="AS53" s="53" t="s">
        <v>201</v>
      </c>
      <c r="AT53" s="53">
        <v>16</v>
      </c>
      <c r="AU53" s="83">
        <v>46201</v>
      </c>
      <c r="AV53" s="53"/>
      <c r="AW53" s="53"/>
    </row>
    <row r="54" spans="3:49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9"/>
        <v>16</v>
      </c>
      <c r="M54" s="26">
        <f t="shared" si="10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67" t="e">
        <f>SUMIFS([2]Up!$J:$J,[2]Up!$D:$D,D54)</f>
        <v>#VALUE!</v>
      </c>
      <c r="AM54" s="82"/>
      <c r="AN54" s="82" t="str">
        <f t="shared" si="11"/>
        <v>PL15</v>
      </c>
      <c r="AO54" s="53" t="str">
        <f t="shared" si="12"/>
        <v/>
      </c>
      <c r="AP54" s="53" t="s">
        <v>148</v>
      </c>
      <c r="AQ54" s="84" t="s">
        <v>200</v>
      </c>
      <c r="AR54" s="53"/>
      <c r="AS54" s="53" t="s">
        <v>201</v>
      </c>
      <c r="AT54" s="53">
        <v>16</v>
      </c>
      <c r="AU54" s="83">
        <v>46201</v>
      </c>
      <c r="AV54" s="53"/>
      <c r="AW54" s="53"/>
    </row>
    <row r="55" spans="3:49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9"/>
        <v>15</v>
      </c>
      <c r="M55" s="26">
        <f t="shared" si="10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67" t="e">
        <f>SUMIFS([2]Up!$J:$J,[2]Up!$D:$D,D55)</f>
        <v>#VALUE!</v>
      </c>
      <c r="AM55" s="82"/>
      <c r="AN55" s="82" t="str">
        <f t="shared" si="11"/>
        <v>PL15</v>
      </c>
      <c r="AO55" s="53" t="str">
        <f t="shared" si="12"/>
        <v/>
      </c>
      <c r="AP55" s="53" t="s">
        <v>148</v>
      </c>
      <c r="AQ55" s="84" t="s">
        <v>200</v>
      </c>
      <c r="AR55" s="53"/>
      <c r="AS55" s="53" t="s">
        <v>201</v>
      </c>
      <c r="AT55" s="53">
        <v>16</v>
      </c>
      <c r="AU55" s="83">
        <v>46201</v>
      </c>
      <c r="AV55" s="53"/>
      <c r="AW55" s="53"/>
    </row>
    <row r="56" spans="3:49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9"/>
        <v>0</v>
      </c>
      <c r="M56" s="26">
        <f t="shared" si="10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67" t="e">
        <f>SUMIFS([2]Up!$J:$J,[2]Up!$D:$D,D56)</f>
        <v>#VALUE!</v>
      </c>
      <c r="AM56" s="82"/>
      <c r="AN56" s="82" t="str">
        <f t="shared" si="11"/>
        <v>PL15</v>
      </c>
      <c r="AO56" s="53" t="str">
        <f t="shared" si="12"/>
        <v/>
      </c>
      <c r="AP56" s="53" t="s">
        <v>148</v>
      </c>
      <c r="AQ56" s="53"/>
      <c r="AR56" s="53"/>
      <c r="AS56" s="53"/>
      <c r="AT56" s="53"/>
      <c r="AU56" s="83"/>
      <c r="AV56" s="53"/>
      <c r="AW56" s="53"/>
    </row>
    <row r="57" spans="3:49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9"/>
        <v>0</v>
      </c>
      <c r="M57" s="26">
        <f t="shared" si="10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67" t="e">
        <f>SUMIFS([2]Up!$J:$J,[2]Up!$D:$D,D57)</f>
        <v>#VALUE!</v>
      </c>
      <c r="AM57" s="82"/>
      <c r="AN57" s="82" t="str">
        <f t="shared" si="11"/>
        <v>PL15</v>
      </c>
      <c r="AO57" s="53" t="str">
        <f t="shared" si="12"/>
        <v/>
      </c>
      <c r="AP57" s="53" t="s">
        <v>148</v>
      </c>
      <c r="AQ57" s="53"/>
      <c r="AR57" s="53"/>
      <c r="AS57" s="53"/>
      <c r="AT57" s="53"/>
      <c r="AU57" s="83"/>
      <c r="AV57" s="53"/>
      <c r="AW57" s="53"/>
    </row>
    <row r="58" spans="3:49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9"/>
        <v>0</v>
      </c>
      <c r="M58" s="26">
        <f t="shared" si="10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67" t="e">
        <f>SUMIFS([2]Up!$J:$J,[2]Up!$D:$D,D58)</f>
        <v>#VALUE!</v>
      </c>
      <c r="AM58" s="82"/>
      <c r="AN58" s="82" t="str">
        <f t="shared" si="11"/>
        <v>PL25</v>
      </c>
      <c r="AO58" s="53" t="str">
        <f t="shared" si="12"/>
        <v/>
      </c>
      <c r="AP58" s="53" t="s">
        <v>148</v>
      </c>
      <c r="AQ58" s="53" t="s">
        <v>803</v>
      </c>
      <c r="AR58" s="53"/>
      <c r="AS58" s="53" t="s">
        <v>804</v>
      </c>
      <c r="AT58" s="53">
        <v>1</v>
      </c>
      <c r="AU58" s="83">
        <v>46196</v>
      </c>
      <c r="AV58" s="53"/>
      <c r="AW58" s="53"/>
    </row>
    <row r="59" spans="3:49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9"/>
        <v>0</v>
      </c>
      <c r="M59" s="26">
        <f t="shared" si="10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67" t="e">
        <f>SUMIFS([2]Up!$J:$J,[2]Up!$D:$D,D59)</f>
        <v>#VALUE!</v>
      </c>
      <c r="AM59" s="82"/>
      <c r="AN59" s="82" t="str">
        <f t="shared" si="11"/>
        <v>PL25</v>
      </c>
      <c r="AO59" s="53" t="str">
        <f t="shared" si="12"/>
        <v/>
      </c>
      <c r="AP59" s="53" t="s">
        <v>148</v>
      </c>
      <c r="AQ59" s="53" t="s">
        <v>803</v>
      </c>
      <c r="AR59" s="53"/>
      <c r="AS59" s="53" t="s">
        <v>804</v>
      </c>
      <c r="AT59" s="53">
        <v>2</v>
      </c>
      <c r="AU59" s="83">
        <v>46196</v>
      </c>
      <c r="AV59" s="53"/>
      <c r="AW59" s="53"/>
    </row>
    <row r="60" spans="3:49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9"/>
        <v>0</v>
      </c>
      <c r="M60" s="26">
        <f t="shared" si="10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67" t="e">
        <f>SUMIFS([2]Up!$J:$J,[2]Up!$D:$D,D60)</f>
        <v>#VALUE!</v>
      </c>
      <c r="AM60" s="82"/>
      <c r="AN60" s="82" t="str">
        <f t="shared" si="11"/>
        <v>PL20</v>
      </c>
      <c r="AO60" s="53" t="str">
        <f t="shared" si="12"/>
        <v/>
      </c>
      <c r="AP60" s="53" t="s">
        <v>148</v>
      </c>
      <c r="AQ60" s="84" t="s">
        <v>319</v>
      </c>
      <c r="AR60" s="53"/>
      <c r="AS60" s="53" t="s">
        <v>320</v>
      </c>
      <c r="AT60" s="53">
        <v>1</v>
      </c>
      <c r="AU60" s="83">
        <v>46202</v>
      </c>
      <c r="AV60" s="53"/>
      <c r="AW60" s="53"/>
    </row>
    <row r="61" spans="3:49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9"/>
        <v>0</v>
      </c>
      <c r="M61" s="26">
        <f t="shared" si="10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67" t="e">
        <f>SUMIFS([2]Up!$J:$J,[2]Up!$D:$D,D61)</f>
        <v>#VALUE!</v>
      </c>
      <c r="AM61" s="82"/>
      <c r="AN61" s="82" t="str">
        <f t="shared" si="11"/>
        <v>PL20</v>
      </c>
      <c r="AO61" s="53" t="str">
        <f t="shared" si="12"/>
        <v/>
      </c>
      <c r="AP61" s="53" t="s">
        <v>148</v>
      </c>
      <c r="AQ61" s="84" t="s">
        <v>319</v>
      </c>
      <c r="AR61" s="53"/>
      <c r="AS61" s="53" t="s">
        <v>320</v>
      </c>
      <c r="AT61" s="53">
        <v>2</v>
      </c>
      <c r="AU61" s="83">
        <v>46202</v>
      </c>
      <c r="AV61" s="53"/>
      <c r="AW61" s="53"/>
    </row>
    <row r="62" spans="3:49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9"/>
        <v>0</v>
      </c>
      <c r="M62" s="26">
        <f t="shared" si="10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67" t="e">
        <f>SUMIFS([2]Up!$J:$J,[2]Up!$D:$D,D62)</f>
        <v>#VALUE!</v>
      </c>
      <c r="AM62" s="82"/>
      <c r="AN62" s="82" t="str">
        <f t="shared" si="11"/>
        <v>PL20</v>
      </c>
      <c r="AO62" s="53" t="str">
        <f t="shared" si="12"/>
        <v/>
      </c>
      <c r="AP62" s="53" t="s">
        <v>148</v>
      </c>
      <c r="AQ62" s="53"/>
      <c r="AR62" s="53"/>
      <c r="AS62" s="53" t="s">
        <v>57</v>
      </c>
      <c r="AT62" s="53">
        <v>2</v>
      </c>
      <c r="AU62" s="83"/>
      <c r="AV62" s="53"/>
      <c r="AW62" s="53"/>
    </row>
    <row r="63" spans="3:49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9"/>
        <v>0</v>
      </c>
      <c r="M63" s="26">
        <f t="shared" si="10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67" t="e">
        <f>SUMIFS([2]Up!$J:$J,[2]Up!$D:$D,D63)</f>
        <v>#VALUE!</v>
      </c>
      <c r="AM63" s="82"/>
      <c r="AN63" s="82" t="str">
        <f t="shared" si="11"/>
        <v>PL20</v>
      </c>
      <c r="AO63" s="53" t="str">
        <f t="shared" si="12"/>
        <v/>
      </c>
      <c r="AP63" s="53" t="s">
        <v>148</v>
      </c>
      <c r="AQ63" s="84" t="s">
        <v>319</v>
      </c>
      <c r="AR63" s="53"/>
      <c r="AS63" s="53" t="s">
        <v>320</v>
      </c>
      <c r="AT63" s="53">
        <v>2</v>
      </c>
      <c r="AU63" s="83">
        <v>46202</v>
      </c>
      <c r="AV63" s="53"/>
      <c r="AW63" s="53"/>
    </row>
    <row r="64" spans="3:49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9"/>
        <v>2</v>
      </c>
      <c r="M64" s="26">
        <f t="shared" si="10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67" t="e">
        <f>SUMIFS([2]Up!$J:$J,[2]Up!$D:$D,D64)</f>
        <v>#VALUE!</v>
      </c>
      <c r="AM64" s="82" t="s">
        <v>2233</v>
      </c>
      <c r="AN64" s="82" t="str">
        <f t="shared" si="11"/>
        <v>PL20</v>
      </c>
      <c r="AO64" s="53" t="str">
        <f t="shared" si="12"/>
        <v/>
      </c>
      <c r="AP64" s="53" t="s">
        <v>148</v>
      </c>
      <c r="AQ64" s="53"/>
      <c r="AR64" s="53"/>
      <c r="AS64" s="53" t="s">
        <v>57</v>
      </c>
      <c r="AT64" s="53">
        <v>2</v>
      </c>
      <c r="AU64" s="83"/>
      <c r="AV64" s="53"/>
      <c r="AW64" s="53"/>
    </row>
    <row r="65" spans="3:49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9"/>
        <v>0</v>
      </c>
      <c r="M65" s="26">
        <f t="shared" si="10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67" t="e">
        <f>SUMIFS([2]Up!$J:$J,[2]Up!$D:$D,D65)</f>
        <v>#VALUE!</v>
      </c>
      <c r="AM65" s="82"/>
      <c r="AN65" s="82" t="str">
        <f t="shared" si="11"/>
        <v>PL20</v>
      </c>
      <c r="AO65" s="53" t="str">
        <f t="shared" si="12"/>
        <v/>
      </c>
      <c r="AP65" s="53" t="s">
        <v>148</v>
      </c>
      <c r="AQ65" s="84" t="s">
        <v>319</v>
      </c>
      <c r="AR65" s="53"/>
      <c r="AS65" s="53" t="s">
        <v>320</v>
      </c>
      <c r="AT65" s="53">
        <v>2</v>
      </c>
      <c r="AU65" s="83">
        <v>46202</v>
      </c>
      <c r="AV65" s="53"/>
      <c r="AW65" s="53"/>
    </row>
    <row r="66" spans="3:49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9"/>
        <v>2</v>
      </c>
      <c r="M66" s="26">
        <f t="shared" si="10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67" t="e">
        <f>SUMIFS([2]Up!$J:$J,[2]Up!$D:$D,D66)</f>
        <v>#VALUE!</v>
      </c>
      <c r="AM66" s="82" t="s">
        <v>2234</v>
      </c>
      <c r="AN66" s="82" t="str">
        <f t="shared" si="11"/>
        <v>PL20</v>
      </c>
      <c r="AO66" s="53" t="str">
        <f t="shared" si="12"/>
        <v>Thừa 2</v>
      </c>
      <c r="AP66" s="53" t="s">
        <v>148</v>
      </c>
      <c r="AQ66" s="53"/>
      <c r="AR66" s="53"/>
      <c r="AS66" s="53" t="s">
        <v>57</v>
      </c>
      <c r="AT66" s="53">
        <v>2</v>
      </c>
      <c r="AU66" s="83"/>
      <c r="AV66" s="53"/>
      <c r="AW66" s="53"/>
    </row>
    <row r="67" spans="3:49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9"/>
        <v>0</v>
      </c>
      <c r="M67" s="26">
        <f t="shared" si="10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67" t="e">
        <f>SUMIFS([2]Up!$J:$J,[2]Up!$D:$D,D67)</f>
        <v>#VALUE!</v>
      </c>
      <c r="AM67" s="82"/>
      <c r="AN67" s="82" t="str">
        <f t="shared" si="11"/>
        <v>PL20</v>
      </c>
      <c r="AO67" s="53" t="str">
        <f t="shared" si="12"/>
        <v/>
      </c>
      <c r="AP67" s="53" t="s">
        <v>148</v>
      </c>
      <c r="AQ67" s="84" t="s">
        <v>319</v>
      </c>
      <c r="AR67" s="53"/>
      <c r="AS67" s="53" t="s">
        <v>320</v>
      </c>
      <c r="AT67" s="53">
        <v>2</v>
      </c>
      <c r="AU67" s="83">
        <v>46202</v>
      </c>
      <c r="AV67" s="53"/>
      <c r="AW67" s="53"/>
    </row>
    <row r="68" spans="3:49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9"/>
        <v>2</v>
      </c>
      <c r="M68" s="26">
        <f t="shared" si="10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67" t="e">
        <f>SUMIFS([2]Up!$J:$J,[2]Up!$D:$D,D68)</f>
        <v>#VALUE!</v>
      </c>
      <c r="AM68" s="82" t="s">
        <v>2076</v>
      </c>
      <c r="AN68" s="82" t="str">
        <f t="shared" si="11"/>
        <v>PL15</v>
      </c>
      <c r="AO68" s="53" t="str">
        <f t="shared" si="12"/>
        <v>Thừa 2</v>
      </c>
      <c r="AP68" s="53" t="s">
        <v>148</v>
      </c>
      <c r="AQ68" s="84" t="s">
        <v>200</v>
      </c>
      <c r="AR68" s="53"/>
      <c r="AS68" s="53" t="s">
        <v>201</v>
      </c>
      <c r="AT68" s="53">
        <v>2</v>
      </c>
      <c r="AU68" s="83">
        <v>46201</v>
      </c>
      <c r="AV68" s="53"/>
      <c r="AW68" s="53"/>
    </row>
    <row r="69" spans="3:49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9"/>
        <v>12</v>
      </c>
      <c r="M69" s="26">
        <f t="shared" si="10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67" t="e">
        <f>SUMIFS([2]Up!$J:$J,[2]Up!$D:$D,D69)</f>
        <v>#VALUE!</v>
      </c>
      <c r="AM69" s="82" t="s">
        <v>2080</v>
      </c>
      <c r="AN69" s="82" t="str">
        <f t="shared" si="11"/>
        <v>PL15</v>
      </c>
      <c r="AO69" s="53" t="str">
        <f t="shared" si="12"/>
        <v>Thừa 12</v>
      </c>
      <c r="AP69" s="53" t="s">
        <v>148</v>
      </c>
      <c r="AQ69" s="84" t="s">
        <v>200</v>
      </c>
      <c r="AR69" s="53"/>
      <c r="AS69" s="53" t="s">
        <v>201</v>
      </c>
      <c r="AT69" s="53">
        <v>12</v>
      </c>
      <c r="AU69" s="83">
        <v>46201</v>
      </c>
      <c r="AV69" s="53"/>
      <c r="AW69" s="53"/>
    </row>
    <row r="70" spans="3:49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9"/>
        <v>4</v>
      </c>
      <c r="M70" s="26">
        <f t="shared" si="10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67" t="e">
        <f>SUMIFS([2]Up!$J:$J,[2]Up!$D:$D,D70)</f>
        <v>#VALUE!</v>
      </c>
      <c r="AM70" s="82" t="s">
        <v>2079</v>
      </c>
      <c r="AN70" s="82" t="str">
        <f t="shared" si="11"/>
        <v>PL15</v>
      </c>
      <c r="AO70" s="53" t="str">
        <f t="shared" si="12"/>
        <v>Thừa 4</v>
      </c>
      <c r="AP70" s="53" t="s">
        <v>148</v>
      </c>
      <c r="AQ70" s="84" t="s">
        <v>200</v>
      </c>
      <c r="AR70" s="53"/>
      <c r="AS70" s="53" t="s">
        <v>201</v>
      </c>
      <c r="AT70" s="53">
        <v>4</v>
      </c>
      <c r="AU70" s="83">
        <v>46201</v>
      </c>
      <c r="AV70" s="53"/>
      <c r="AW70" s="53"/>
    </row>
    <row r="71" spans="3:49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9"/>
        <v>4</v>
      </c>
      <c r="M71" s="26">
        <f t="shared" si="10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67" t="e">
        <f>SUMIFS([2]Up!$J:$J,[2]Up!$D:$D,D71)</f>
        <v>#VALUE!</v>
      </c>
      <c r="AM71" s="82" t="s">
        <v>951</v>
      </c>
      <c r="AN71" s="82" t="e">
        <f t="shared" si="11"/>
        <v>#VALUE!</v>
      </c>
      <c r="AO71" s="53" t="str">
        <f t="shared" si="12"/>
        <v>Thừa 14</v>
      </c>
      <c r="AP71" s="53" t="s">
        <v>154</v>
      </c>
      <c r="AQ71" s="53"/>
      <c r="AR71" s="53"/>
      <c r="AS71" s="53" t="s">
        <v>57</v>
      </c>
      <c r="AT71" s="53">
        <v>4</v>
      </c>
      <c r="AU71" s="83"/>
      <c r="AV71" s="53"/>
      <c r="AW71" s="53"/>
    </row>
    <row r="72" spans="3:49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9"/>
        <v>4</v>
      </c>
      <c r="M72" s="26">
        <f t="shared" si="10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67" t="e">
        <f>SUMIFS([2]Up!$J:$J,[2]Up!$D:$D,D72)</f>
        <v>#VALUE!</v>
      </c>
      <c r="AM72" s="82"/>
      <c r="AN72" s="82" t="str">
        <f t="shared" si="11"/>
        <v>PL10</v>
      </c>
      <c r="AO72" s="53" t="str">
        <f t="shared" si="12"/>
        <v/>
      </c>
      <c r="AP72" s="53" t="s">
        <v>148</v>
      </c>
      <c r="AQ72" s="84" t="s">
        <v>210</v>
      </c>
      <c r="AR72" s="53"/>
      <c r="AS72" s="53" t="s">
        <v>211</v>
      </c>
      <c r="AT72" s="53">
        <v>4</v>
      </c>
      <c r="AU72" s="83">
        <v>46201</v>
      </c>
      <c r="AV72" s="53"/>
      <c r="AW72" s="53"/>
    </row>
    <row r="73" spans="3:49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9"/>
        <v>1</v>
      </c>
      <c r="M73" s="26">
        <f t="shared" si="10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67" t="e">
        <f>SUMIFS([2]Up!$J:$J,[2]Up!$D:$D,D73)</f>
        <v>#VALUE!</v>
      </c>
      <c r="AM73" s="82" t="s">
        <v>2078</v>
      </c>
      <c r="AN73" s="82" t="str">
        <f t="shared" si="11"/>
        <v>PL15</v>
      </c>
      <c r="AO73" s="53" t="str">
        <f t="shared" si="12"/>
        <v>Thừa 2</v>
      </c>
      <c r="AP73" s="53" t="s">
        <v>148</v>
      </c>
      <c r="AQ73" s="53"/>
      <c r="AR73" s="53"/>
      <c r="AS73" s="53" t="s">
        <v>57</v>
      </c>
      <c r="AT73" s="53">
        <v>1</v>
      </c>
      <c r="AU73" s="83"/>
      <c r="AV73" s="53"/>
      <c r="AW73" s="53"/>
    </row>
    <row r="74" spans="3:49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9"/>
        <v>1</v>
      </c>
      <c r="M74" s="26">
        <f t="shared" si="10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67" t="e">
        <f>SUMIFS([2]Up!$J:$J,[2]Up!$D:$D,D74)</f>
        <v>#VALUE!</v>
      </c>
      <c r="AM74" s="82" t="s">
        <v>2237</v>
      </c>
      <c r="AN74" s="82" t="e">
        <f t="shared" si="11"/>
        <v>#VALUE!</v>
      </c>
      <c r="AO74" s="53" t="str">
        <f t="shared" si="12"/>
        <v>Thừa 3</v>
      </c>
      <c r="AP74" s="53" t="s">
        <v>154</v>
      </c>
      <c r="AQ74" s="53"/>
      <c r="AR74" s="53"/>
      <c r="AS74" s="53" t="s">
        <v>57</v>
      </c>
      <c r="AT74" s="53">
        <v>1</v>
      </c>
      <c r="AU74" s="83"/>
      <c r="AV74" s="53"/>
      <c r="AW74" s="53"/>
    </row>
    <row r="75" spans="3:49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9"/>
        <v>0</v>
      </c>
      <c r="M75" s="26">
        <f t="shared" si="10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67" t="e">
        <f>SUMIFS([2]Up!$J:$J,[2]Up!$D:$D,D75)</f>
        <v>#VALUE!</v>
      </c>
      <c r="AM75" s="82"/>
      <c r="AN75" s="82" t="e">
        <f t="shared" si="11"/>
        <v>#VALUE!</v>
      </c>
      <c r="AO75" s="53" t="str">
        <f t="shared" si="12"/>
        <v/>
      </c>
      <c r="AP75" s="53" t="s">
        <v>154</v>
      </c>
      <c r="AQ75" s="53"/>
      <c r="AR75" s="53"/>
      <c r="AS75" s="53" t="s">
        <v>57</v>
      </c>
      <c r="AT75" s="53">
        <v>1</v>
      </c>
      <c r="AU75" s="83"/>
      <c r="AV75" s="53"/>
      <c r="AW75" s="53"/>
    </row>
    <row r="76" spans="3:49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9"/>
        <v>0</v>
      </c>
      <c r="M76" s="26">
        <f t="shared" si="10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67" t="e">
        <f>SUMIFS([2]Up!$J:$J,[2]Up!$D:$D,D76)</f>
        <v>#VALUE!</v>
      </c>
      <c r="AM76" s="82"/>
      <c r="AN76" s="82" t="e">
        <f t="shared" si="11"/>
        <v>#VALUE!</v>
      </c>
      <c r="AO76" s="53" t="str">
        <f t="shared" si="12"/>
        <v/>
      </c>
      <c r="AP76" s="53" t="s">
        <v>154</v>
      </c>
      <c r="AQ76" s="53"/>
      <c r="AR76" s="53"/>
      <c r="AS76" s="53" t="s">
        <v>57</v>
      </c>
      <c r="AT76" s="53">
        <v>1</v>
      </c>
      <c r="AU76" s="83"/>
      <c r="AV76" s="53"/>
      <c r="AW76" s="53"/>
    </row>
    <row r="77" spans="3:49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9"/>
        <v>2</v>
      </c>
      <c r="M77" s="26">
        <f t="shared" si="10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67" t="e">
        <f>SUMIFS([2]Up!$J:$J,[2]Up!$D:$D,D77)</f>
        <v>#VALUE!</v>
      </c>
      <c r="AM77" s="82"/>
      <c r="AN77" s="82" t="str">
        <f t="shared" si="11"/>
        <v>PL12</v>
      </c>
      <c r="AO77" s="53" t="str">
        <f t="shared" si="12"/>
        <v/>
      </c>
      <c r="AP77" s="53" t="s">
        <v>148</v>
      </c>
      <c r="AQ77" s="84" t="s">
        <v>304</v>
      </c>
      <c r="AR77" s="53"/>
      <c r="AS77" s="53" t="s">
        <v>305</v>
      </c>
      <c r="AT77" s="53">
        <v>2</v>
      </c>
      <c r="AU77" s="83">
        <v>46196</v>
      </c>
      <c r="AV77" s="53"/>
      <c r="AW77" s="53"/>
    </row>
    <row r="78" spans="3:49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9"/>
        <v>2</v>
      </c>
      <c r="M78" s="26">
        <f t="shared" si="10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67" t="e">
        <f>SUMIFS([2]Up!$J:$J,[2]Up!$D:$D,D78)</f>
        <v>#VALUE!</v>
      </c>
      <c r="AM78" s="82"/>
      <c r="AN78" s="82" t="str">
        <f t="shared" si="11"/>
        <v>PL15</v>
      </c>
      <c r="AO78" s="53" t="str">
        <f t="shared" si="12"/>
        <v/>
      </c>
      <c r="AP78" s="53" t="s">
        <v>148</v>
      </c>
      <c r="AQ78" s="84" t="s">
        <v>200</v>
      </c>
      <c r="AR78" s="53"/>
      <c r="AS78" s="53" t="s">
        <v>201</v>
      </c>
      <c r="AT78" s="53">
        <v>2</v>
      </c>
      <c r="AU78" s="83">
        <v>46201</v>
      </c>
      <c r="AV78" s="53"/>
      <c r="AW78" s="53"/>
    </row>
    <row r="79" spans="3:49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9"/>
        <v>1</v>
      </c>
      <c r="M79" s="26">
        <f t="shared" si="10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67" t="e">
        <f>SUMIFS([2]Up!$J:$J,[2]Up!$D:$D,D79)</f>
        <v>#VALUE!</v>
      </c>
      <c r="AM79" s="82" t="s">
        <v>2071</v>
      </c>
      <c r="AN79" s="82" t="str">
        <f t="shared" si="11"/>
        <v>PL15</v>
      </c>
      <c r="AO79" s="53" t="str">
        <f t="shared" si="12"/>
        <v>Thừa 4</v>
      </c>
      <c r="AP79" s="53" t="s">
        <v>148</v>
      </c>
      <c r="AQ79" s="53"/>
      <c r="AR79" s="53"/>
      <c r="AS79" s="53" t="s">
        <v>57</v>
      </c>
      <c r="AT79" s="53">
        <v>1</v>
      </c>
      <c r="AU79" s="83"/>
      <c r="AV79" s="53"/>
      <c r="AW79" s="53"/>
    </row>
    <row r="80" spans="3:49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9"/>
        <v>2</v>
      </c>
      <c r="M80" s="26">
        <f t="shared" si="10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67" t="e">
        <f>SUMIFS([2]Up!$J:$J,[2]Up!$D:$D,D80)</f>
        <v>#VALUE!</v>
      </c>
      <c r="AM80" s="82"/>
      <c r="AN80" s="82" t="str">
        <f t="shared" si="11"/>
        <v>PL15</v>
      </c>
      <c r="AO80" s="53" t="str">
        <f t="shared" si="12"/>
        <v/>
      </c>
      <c r="AP80" s="53" t="s">
        <v>148</v>
      </c>
      <c r="AQ80" s="84" t="s">
        <v>200</v>
      </c>
      <c r="AR80" s="53"/>
      <c r="AS80" s="53" t="s">
        <v>201</v>
      </c>
      <c r="AT80" s="53">
        <v>2</v>
      </c>
      <c r="AU80" s="83">
        <v>46201</v>
      </c>
      <c r="AV80" s="53"/>
      <c r="AW80" s="53"/>
    </row>
    <row r="81" spans="3:49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9"/>
        <v>1</v>
      </c>
      <c r="M81" s="26">
        <f t="shared" si="10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67" t="e">
        <f>SUMIFS([2]Up!$J:$J,[2]Up!$D:$D,D81)</f>
        <v>#VALUE!</v>
      </c>
      <c r="AM81" s="82" t="s">
        <v>847</v>
      </c>
      <c r="AN81" s="82" t="str">
        <f t="shared" si="11"/>
        <v>PL20</v>
      </c>
      <c r="AO81" s="53" t="str">
        <f t="shared" si="12"/>
        <v>Thừa 1</v>
      </c>
      <c r="AP81" s="53" t="s">
        <v>148</v>
      </c>
      <c r="AQ81" s="53"/>
      <c r="AR81" s="53"/>
      <c r="AS81" s="53" t="s">
        <v>57</v>
      </c>
      <c r="AT81" s="53">
        <v>1</v>
      </c>
      <c r="AU81" s="83"/>
      <c r="AV81" s="53"/>
      <c r="AW81" s="53"/>
    </row>
    <row r="82" spans="3:49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9"/>
        <v>1</v>
      </c>
      <c r="M82" s="26">
        <f t="shared" si="10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67" t="e">
        <f>SUMIFS([2]Up!$J:$J,[2]Up!$D:$D,D82)</f>
        <v>#VALUE!</v>
      </c>
      <c r="AM82" s="82"/>
      <c r="AN82" s="82" t="str">
        <f t="shared" si="11"/>
        <v>PL20</v>
      </c>
      <c r="AO82" s="53" t="str">
        <f t="shared" si="12"/>
        <v/>
      </c>
      <c r="AP82" s="53" t="s">
        <v>148</v>
      </c>
      <c r="AQ82" s="84" t="s">
        <v>319</v>
      </c>
      <c r="AR82" s="53"/>
      <c r="AS82" s="53" t="s">
        <v>320</v>
      </c>
      <c r="AT82" s="53">
        <v>2</v>
      </c>
      <c r="AU82" s="83">
        <v>46202</v>
      </c>
      <c r="AV82" s="53"/>
      <c r="AW82" s="53"/>
    </row>
    <row r="83" spans="3:49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9"/>
        <v>0</v>
      </c>
      <c r="M83" s="26">
        <f t="shared" si="10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67" t="e">
        <f>SUMIFS([2]Up!$J:$J,[2]Up!$D:$D,D83)</f>
        <v>#VALUE!</v>
      </c>
      <c r="AM83" s="82"/>
      <c r="AN83" s="82" t="str">
        <f t="shared" si="11"/>
        <v>PL12</v>
      </c>
      <c r="AO83" s="53" t="str">
        <f t="shared" si="12"/>
        <v/>
      </c>
      <c r="AP83" s="53" t="s">
        <v>154</v>
      </c>
      <c r="AQ83" s="84" t="s">
        <v>304</v>
      </c>
      <c r="AR83" s="53"/>
      <c r="AS83" s="53" t="s">
        <v>305</v>
      </c>
      <c r="AT83" s="53">
        <v>1</v>
      </c>
      <c r="AU83" s="83">
        <v>46196</v>
      </c>
      <c r="AV83" s="53"/>
      <c r="AW83" s="53"/>
    </row>
    <row r="84" spans="3:49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9"/>
        <v>0</v>
      </c>
      <c r="M84" s="26">
        <f t="shared" si="10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67" t="e">
        <f>SUMIFS([2]Up!$J:$J,[2]Up!$D:$D,D84)</f>
        <v>#VALUE!</v>
      </c>
      <c r="AM84" s="82"/>
      <c r="AN84" s="82" t="str">
        <f t="shared" si="11"/>
        <v>PL12</v>
      </c>
      <c r="AO84" s="53" t="str">
        <f t="shared" si="12"/>
        <v/>
      </c>
      <c r="AP84" s="53" t="s">
        <v>154</v>
      </c>
      <c r="AQ84" s="84" t="s">
        <v>304</v>
      </c>
      <c r="AR84" s="53"/>
      <c r="AS84" s="53" t="s">
        <v>305</v>
      </c>
      <c r="AT84" s="53">
        <v>1</v>
      </c>
      <c r="AU84" s="83">
        <v>46196</v>
      </c>
      <c r="AV84" s="53"/>
      <c r="AW84" s="53"/>
    </row>
    <row r="85" spans="3:49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9"/>
        <v>1</v>
      </c>
      <c r="M85" s="26">
        <f t="shared" si="10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67" t="e">
        <f>SUMIFS([2]Up!$J:$J,[2]Up!$D:$D,D85)</f>
        <v>#VALUE!</v>
      </c>
      <c r="AM85" s="82"/>
      <c r="AN85" s="82" t="str">
        <f t="shared" si="11"/>
        <v>PL15</v>
      </c>
      <c r="AO85" s="53" t="str">
        <f t="shared" si="12"/>
        <v/>
      </c>
      <c r="AP85" s="53" t="s">
        <v>148</v>
      </c>
      <c r="AQ85" s="84" t="s">
        <v>200</v>
      </c>
      <c r="AR85" s="53"/>
      <c r="AS85" s="53" t="s">
        <v>201</v>
      </c>
      <c r="AT85" s="53">
        <v>1</v>
      </c>
      <c r="AU85" s="83">
        <v>46201</v>
      </c>
      <c r="AV85" s="53"/>
      <c r="AW85" s="53"/>
    </row>
    <row r="86" spans="3:49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9"/>
        <v>0</v>
      </c>
      <c r="M86" s="26">
        <f t="shared" si="10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67" t="e">
        <f>SUMIFS([2]Up!$J:$J,[2]Up!$D:$D,D86)</f>
        <v>#VALUE!</v>
      </c>
      <c r="AM86" s="82"/>
      <c r="AN86" s="82" t="e">
        <f t="shared" si="11"/>
        <v>#VALUE!</v>
      </c>
      <c r="AO86" s="53" t="str">
        <f t="shared" si="12"/>
        <v/>
      </c>
      <c r="AP86" s="53" t="s">
        <v>154</v>
      </c>
      <c r="AQ86" s="53"/>
      <c r="AR86" s="53"/>
      <c r="AS86" s="53" t="s">
        <v>57</v>
      </c>
      <c r="AT86" s="53">
        <v>1</v>
      </c>
      <c r="AU86" s="83"/>
      <c r="AV86" s="53"/>
      <c r="AW86" s="53"/>
    </row>
    <row r="87" spans="3:49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9"/>
        <v>1</v>
      </c>
      <c r="M87" s="26">
        <f t="shared" si="10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67" t="e">
        <f>SUMIFS([2]Up!$J:$J,[2]Up!$D:$D,D87)</f>
        <v>#VALUE!</v>
      </c>
      <c r="AM87" s="82"/>
      <c r="AN87" s="82" t="str">
        <f t="shared" si="11"/>
        <v>PL10</v>
      </c>
      <c r="AO87" s="53" t="str">
        <f t="shared" si="12"/>
        <v/>
      </c>
      <c r="AP87" s="53" t="s">
        <v>148</v>
      </c>
      <c r="AQ87" s="84" t="s">
        <v>210</v>
      </c>
      <c r="AR87" s="53"/>
      <c r="AS87" s="53" t="s">
        <v>211</v>
      </c>
      <c r="AT87" s="53">
        <v>1</v>
      </c>
      <c r="AU87" s="83">
        <v>46201</v>
      </c>
      <c r="AV87" s="53"/>
      <c r="AW87" s="53"/>
    </row>
    <row r="88" spans="3:49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9"/>
        <v>1</v>
      </c>
      <c r="M88" s="26">
        <f t="shared" si="10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67" t="e">
        <f>SUMIFS([2]Up!$J:$J,[2]Up!$D:$D,D88)</f>
        <v>#VALUE!</v>
      </c>
      <c r="AM88" s="82"/>
      <c r="AN88" s="82" t="str">
        <f t="shared" si="11"/>
        <v>PL10</v>
      </c>
      <c r="AO88" s="53" t="str">
        <f t="shared" si="12"/>
        <v/>
      </c>
      <c r="AP88" s="53" t="s">
        <v>148</v>
      </c>
      <c r="AQ88" s="84" t="s">
        <v>210</v>
      </c>
      <c r="AR88" s="53"/>
      <c r="AS88" s="53" t="s">
        <v>211</v>
      </c>
      <c r="AT88" s="53">
        <v>1</v>
      </c>
      <c r="AU88" s="83">
        <v>46201</v>
      </c>
      <c r="AV88" s="53"/>
      <c r="AW88" s="53"/>
    </row>
    <row r="89" spans="3:49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9"/>
        <v>1</v>
      </c>
      <c r="M89" s="26">
        <f t="shared" si="10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67" t="e">
        <f>SUMIFS([2]Up!$J:$J,[2]Up!$D:$D,D89)</f>
        <v>#VALUE!</v>
      </c>
      <c r="AM89" s="82"/>
      <c r="AN89" s="82" t="str">
        <f t="shared" si="11"/>
        <v>PL10</v>
      </c>
      <c r="AO89" s="53" t="str">
        <f t="shared" si="12"/>
        <v/>
      </c>
      <c r="AP89" s="53" t="s">
        <v>148</v>
      </c>
      <c r="AQ89" s="84" t="s">
        <v>210</v>
      </c>
      <c r="AR89" s="53"/>
      <c r="AS89" s="53" t="s">
        <v>211</v>
      </c>
      <c r="AT89" s="53">
        <v>1</v>
      </c>
      <c r="AU89" s="83">
        <v>46201</v>
      </c>
      <c r="AV89" s="53"/>
      <c r="AW89" s="53"/>
    </row>
    <row r="90" spans="3:49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9"/>
        <v>1</v>
      </c>
      <c r="M90" s="26">
        <f t="shared" si="10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67" t="e">
        <f>SUMIFS([2]Up!$J:$J,[2]Up!$D:$D,D90)</f>
        <v>#VALUE!</v>
      </c>
      <c r="AM90" s="82"/>
      <c r="AN90" s="82" t="str">
        <f t="shared" si="11"/>
        <v>PL10</v>
      </c>
      <c r="AO90" s="53" t="str">
        <f t="shared" si="12"/>
        <v/>
      </c>
      <c r="AP90" s="53" t="s">
        <v>148</v>
      </c>
      <c r="AQ90" s="84" t="s">
        <v>210</v>
      </c>
      <c r="AR90" s="53"/>
      <c r="AS90" s="53" t="s">
        <v>211</v>
      </c>
      <c r="AT90" s="53">
        <v>1</v>
      </c>
      <c r="AU90" s="83">
        <v>46201</v>
      </c>
      <c r="AV90" s="53"/>
      <c r="AW90" s="53"/>
    </row>
    <row r="91" spans="3:49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9"/>
        <v>1</v>
      </c>
      <c r="M91" s="26">
        <f t="shared" si="10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67" t="e">
        <f>SUMIFS([2]Up!$J:$J,[2]Up!$D:$D,D91)</f>
        <v>#VALUE!</v>
      </c>
      <c r="AM91" s="82"/>
      <c r="AN91" s="82" t="str">
        <f t="shared" si="11"/>
        <v>PL10</v>
      </c>
      <c r="AO91" s="53" t="str">
        <f t="shared" si="12"/>
        <v/>
      </c>
      <c r="AP91" s="53" t="s">
        <v>148</v>
      </c>
      <c r="AQ91" s="84" t="s">
        <v>210</v>
      </c>
      <c r="AR91" s="53"/>
      <c r="AS91" s="53" t="s">
        <v>211</v>
      </c>
      <c r="AT91" s="53">
        <v>1</v>
      </c>
      <c r="AU91" s="83">
        <v>46201</v>
      </c>
      <c r="AV91" s="53"/>
      <c r="AW91" s="53"/>
    </row>
    <row r="92" spans="3:49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9"/>
        <v>1</v>
      </c>
      <c r="M92" s="26">
        <f t="shared" si="10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67" t="e">
        <f>SUMIFS([2]Up!$J:$J,[2]Up!$D:$D,D92)</f>
        <v>#VALUE!</v>
      </c>
      <c r="AM92" s="82"/>
      <c r="AN92" s="82" t="str">
        <f t="shared" si="11"/>
        <v>PL15</v>
      </c>
      <c r="AO92" s="53" t="str">
        <f t="shared" si="12"/>
        <v/>
      </c>
      <c r="AP92" s="53" t="s">
        <v>148</v>
      </c>
      <c r="AQ92" s="84" t="s">
        <v>200</v>
      </c>
      <c r="AR92" s="53"/>
      <c r="AS92" s="53" t="s">
        <v>201</v>
      </c>
      <c r="AT92" s="53">
        <v>1</v>
      </c>
      <c r="AU92" s="83">
        <v>46201</v>
      </c>
      <c r="AV92" s="53"/>
      <c r="AW92" s="53"/>
    </row>
    <row r="93" spans="3:49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9"/>
        <v>1</v>
      </c>
      <c r="M93" s="26">
        <f t="shared" si="10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67" t="e">
        <f>SUMIFS([2]Up!$J:$J,[2]Up!$D:$D,D93)</f>
        <v>#VALUE!</v>
      </c>
      <c r="AM93" s="82"/>
      <c r="AN93" s="82" t="str">
        <f t="shared" si="11"/>
        <v>PL20</v>
      </c>
      <c r="AO93" s="53" t="str">
        <f t="shared" si="12"/>
        <v/>
      </c>
      <c r="AP93" s="53" t="s">
        <v>148</v>
      </c>
      <c r="AQ93" s="84" t="s">
        <v>319</v>
      </c>
      <c r="AR93" s="53"/>
      <c r="AS93" s="53" t="s">
        <v>320</v>
      </c>
      <c r="AT93" s="53">
        <v>1</v>
      </c>
      <c r="AU93" s="83">
        <v>46202</v>
      </c>
      <c r="AV93" s="53"/>
      <c r="AW93" s="53"/>
    </row>
    <row r="94" spans="3:49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9"/>
        <v>1</v>
      </c>
      <c r="M94" s="26">
        <f t="shared" si="10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67" t="e">
        <f>SUMIFS([2]Up!$J:$J,[2]Up!$D:$D,D94)</f>
        <v>#VALUE!</v>
      </c>
      <c r="AM94" s="82"/>
      <c r="AN94" s="82" t="str">
        <f t="shared" si="11"/>
        <v>PL20</v>
      </c>
      <c r="AO94" s="53" t="str">
        <f t="shared" si="12"/>
        <v/>
      </c>
      <c r="AP94" s="53" t="s">
        <v>148</v>
      </c>
      <c r="AQ94" s="84" t="s">
        <v>319</v>
      </c>
      <c r="AR94" s="53"/>
      <c r="AS94" s="53" t="s">
        <v>320</v>
      </c>
      <c r="AT94" s="53">
        <v>1</v>
      </c>
      <c r="AU94" s="83">
        <v>46202</v>
      </c>
      <c r="AV94" s="53"/>
      <c r="AW94" s="53"/>
    </row>
    <row r="95" spans="3:49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9"/>
        <v>1</v>
      </c>
      <c r="M95" s="26">
        <f t="shared" si="10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67" t="e">
        <f>SUMIFS([2]Up!$J:$J,[2]Up!$D:$D,D95)</f>
        <v>#VALUE!</v>
      </c>
      <c r="AM95" s="82"/>
      <c r="AN95" s="82" t="str">
        <f t="shared" si="11"/>
        <v>PL15</v>
      </c>
      <c r="AO95" s="53" t="str">
        <f t="shared" si="12"/>
        <v/>
      </c>
      <c r="AP95" s="53" t="s">
        <v>148</v>
      </c>
      <c r="AQ95" s="84" t="s">
        <v>200</v>
      </c>
      <c r="AR95" s="53"/>
      <c r="AS95" s="53" t="s">
        <v>201</v>
      </c>
      <c r="AT95" s="53">
        <v>1</v>
      </c>
      <c r="AU95" s="83">
        <v>46201</v>
      </c>
      <c r="AV95" s="53"/>
      <c r="AW95" s="53"/>
    </row>
    <row r="96" spans="3:49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9"/>
        <v>1</v>
      </c>
      <c r="M96" s="26">
        <f t="shared" si="10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67" t="e">
        <f>SUMIFS([2]Up!$J:$J,[2]Up!$D:$D,D96)</f>
        <v>#VALUE!</v>
      </c>
      <c r="AM96" s="82"/>
      <c r="AN96" s="82" t="str">
        <f t="shared" si="11"/>
        <v>PL10</v>
      </c>
      <c r="AO96" s="53" t="str">
        <f t="shared" si="12"/>
        <v/>
      </c>
      <c r="AP96" s="53" t="s">
        <v>148</v>
      </c>
      <c r="AQ96" s="84" t="s">
        <v>210</v>
      </c>
      <c r="AR96" s="53"/>
      <c r="AS96" s="53" t="s">
        <v>211</v>
      </c>
      <c r="AT96" s="53">
        <v>1</v>
      </c>
      <c r="AU96" s="83">
        <v>46201</v>
      </c>
      <c r="AV96" s="53"/>
      <c r="AW96" s="53"/>
    </row>
    <row r="97" spans="3:49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9"/>
        <v>1</v>
      </c>
      <c r="M97" s="26">
        <f t="shared" si="10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67" t="e">
        <f>SUMIFS([2]Up!$J:$J,[2]Up!$D:$D,D97)</f>
        <v>#VALUE!</v>
      </c>
      <c r="AM97" s="82"/>
      <c r="AN97" s="82" t="str">
        <f t="shared" si="11"/>
        <v>PL10</v>
      </c>
      <c r="AO97" s="53" t="str">
        <f t="shared" si="12"/>
        <v/>
      </c>
      <c r="AP97" s="53" t="s">
        <v>148</v>
      </c>
      <c r="AQ97" s="84" t="s">
        <v>210</v>
      </c>
      <c r="AR97" s="53"/>
      <c r="AS97" s="53" t="s">
        <v>211</v>
      </c>
      <c r="AT97" s="53">
        <v>1</v>
      </c>
      <c r="AU97" s="83">
        <v>46201</v>
      </c>
      <c r="AV97" s="53"/>
      <c r="AW97" s="53"/>
    </row>
    <row r="98" spans="3:49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9"/>
        <v>1</v>
      </c>
      <c r="M98" s="26">
        <f t="shared" si="10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67" t="e">
        <f>SUMIFS([2]Up!$J:$J,[2]Up!$D:$D,D98)</f>
        <v>#VALUE!</v>
      </c>
      <c r="AM98" s="82"/>
      <c r="AN98" s="82" t="str">
        <f t="shared" si="11"/>
        <v>PL10</v>
      </c>
      <c r="AO98" s="53" t="str">
        <f t="shared" si="12"/>
        <v/>
      </c>
      <c r="AP98" s="53" t="s">
        <v>148</v>
      </c>
      <c r="AQ98" s="84" t="s">
        <v>210</v>
      </c>
      <c r="AR98" s="53"/>
      <c r="AS98" s="53" t="s">
        <v>211</v>
      </c>
      <c r="AT98" s="53">
        <v>1</v>
      </c>
      <c r="AU98" s="83">
        <v>46201</v>
      </c>
      <c r="AV98" s="53"/>
      <c r="AW98" s="53"/>
    </row>
    <row r="99" spans="3:49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9"/>
        <v>1</v>
      </c>
      <c r="M99" s="26">
        <f t="shared" si="10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67" t="e">
        <f>SUMIFS([2]Up!$J:$J,[2]Up!$D:$D,D99)</f>
        <v>#VALUE!</v>
      </c>
      <c r="AM99" s="82"/>
      <c r="AN99" s="82" t="str">
        <f t="shared" si="11"/>
        <v>PL10</v>
      </c>
      <c r="AO99" s="53" t="str">
        <f t="shared" si="12"/>
        <v/>
      </c>
      <c r="AP99" s="53" t="s">
        <v>148</v>
      </c>
      <c r="AQ99" s="84" t="s">
        <v>210</v>
      </c>
      <c r="AR99" s="53"/>
      <c r="AS99" s="53" t="s">
        <v>211</v>
      </c>
      <c r="AT99" s="53">
        <v>1</v>
      </c>
      <c r="AU99" s="83">
        <v>46201</v>
      </c>
      <c r="AV99" s="53"/>
      <c r="AW99" s="53"/>
    </row>
    <row r="100" spans="3:49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9"/>
        <v>1</v>
      </c>
      <c r="M100" s="26">
        <f t="shared" si="10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67" t="e">
        <f>SUMIFS([2]Up!$J:$J,[2]Up!$D:$D,D100)</f>
        <v>#VALUE!</v>
      </c>
      <c r="AM100" s="82"/>
      <c r="AN100" s="82" t="str">
        <f t="shared" si="11"/>
        <v>PL10</v>
      </c>
      <c r="AO100" s="53" t="str">
        <f t="shared" si="12"/>
        <v/>
      </c>
      <c r="AP100" s="53" t="s">
        <v>148</v>
      </c>
      <c r="AQ100" s="84" t="s">
        <v>210</v>
      </c>
      <c r="AR100" s="53"/>
      <c r="AS100" s="53" t="s">
        <v>211</v>
      </c>
      <c r="AT100" s="53">
        <v>1</v>
      </c>
      <c r="AU100" s="83">
        <v>46201</v>
      </c>
      <c r="AV100" s="53"/>
      <c r="AW100" s="53"/>
    </row>
    <row r="101" spans="3:49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9"/>
        <v>0</v>
      </c>
      <c r="M101" s="26">
        <f t="shared" si="10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67" t="e">
        <f>SUMIFS([2]Up!$J:$J,[2]Up!$D:$D,D101)</f>
        <v>#VALUE!</v>
      </c>
      <c r="AM101" s="82"/>
      <c r="AN101" s="82" t="e">
        <f t="shared" si="11"/>
        <v>#VALUE!</v>
      </c>
      <c r="AO101" s="53" t="str">
        <f t="shared" si="12"/>
        <v/>
      </c>
      <c r="AP101" s="53" t="s">
        <v>154</v>
      </c>
      <c r="AQ101" s="53"/>
      <c r="AR101" s="53"/>
      <c r="AS101" s="53" t="s">
        <v>57</v>
      </c>
      <c r="AT101" s="53">
        <v>1</v>
      </c>
      <c r="AU101" s="83"/>
      <c r="AV101" s="53"/>
      <c r="AW101" s="53"/>
    </row>
    <row r="102" spans="3:49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9"/>
        <v>1</v>
      </c>
      <c r="M102" s="26">
        <f t="shared" si="10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67" t="e">
        <f>SUMIFS([2]Up!$J:$J,[2]Up!$D:$D,D102)</f>
        <v>#VALUE!</v>
      </c>
      <c r="AM102" s="82"/>
      <c r="AN102" s="82" t="str">
        <f t="shared" si="11"/>
        <v>PL15</v>
      </c>
      <c r="AO102" s="53" t="str">
        <f t="shared" si="12"/>
        <v/>
      </c>
      <c r="AP102" s="53" t="s">
        <v>148</v>
      </c>
      <c r="AQ102" s="84" t="s">
        <v>200</v>
      </c>
      <c r="AR102" s="53"/>
      <c r="AS102" s="53" t="s">
        <v>201</v>
      </c>
      <c r="AT102" s="53">
        <v>1</v>
      </c>
      <c r="AU102" s="83">
        <v>46201</v>
      </c>
      <c r="AV102" s="53"/>
      <c r="AW102" s="53"/>
    </row>
    <row r="103" spans="3:49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9"/>
        <v>1</v>
      </c>
      <c r="M103" s="26">
        <f t="shared" si="10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67" t="e">
        <f>SUMIFS([2]Up!$J:$J,[2]Up!$D:$D,D103)</f>
        <v>#VALUE!</v>
      </c>
      <c r="AM103" s="82"/>
      <c r="AN103" s="82" t="str">
        <f t="shared" si="11"/>
        <v>PL20</v>
      </c>
      <c r="AO103" s="53" t="str">
        <f t="shared" si="12"/>
        <v/>
      </c>
      <c r="AP103" s="53" t="s">
        <v>148</v>
      </c>
      <c r="AQ103" s="84" t="s">
        <v>319</v>
      </c>
      <c r="AR103" s="53"/>
      <c r="AS103" s="53" t="s">
        <v>320</v>
      </c>
      <c r="AT103" s="53">
        <v>1</v>
      </c>
      <c r="AU103" s="83">
        <v>46202</v>
      </c>
      <c r="AV103" s="53"/>
      <c r="AW103" s="53"/>
    </row>
    <row r="104" spans="3:49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9"/>
        <v>1</v>
      </c>
      <c r="M104" s="26">
        <f t="shared" si="10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67" t="e">
        <f>SUMIFS([2]Up!$J:$J,[2]Up!$D:$D,D104)</f>
        <v>#VALUE!</v>
      </c>
      <c r="AM104" s="82"/>
      <c r="AN104" s="82" t="str">
        <f t="shared" si="11"/>
        <v>PL20</v>
      </c>
      <c r="AO104" s="53" t="str">
        <f t="shared" si="12"/>
        <v/>
      </c>
      <c r="AP104" s="53" t="s">
        <v>148</v>
      </c>
      <c r="AQ104" s="84" t="s">
        <v>319</v>
      </c>
      <c r="AR104" s="53"/>
      <c r="AS104" s="53" t="s">
        <v>320</v>
      </c>
      <c r="AT104" s="53">
        <v>1</v>
      </c>
      <c r="AU104" s="83">
        <v>46202</v>
      </c>
      <c r="AV104" s="53"/>
      <c r="AW104" s="53"/>
    </row>
    <row r="105" spans="3:49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9"/>
        <v>1</v>
      </c>
      <c r="M105" s="26">
        <f t="shared" si="10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67" t="e">
        <f>SUMIFS([2]Up!$J:$J,[2]Up!$D:$D,D105)</f>
        <v>#VALUE!</v>
      </c>
      <c r="AM105" s="82" t="s">
        <v>2072</v>
      </c>
      <c r="AN105" s="82" t="str">
        <f t="shared" si="11"/>
        <v>PL15</v>
      </c>
      <c r="AO105" s="53" t="str">
        <f t="shared" si="12"/>
        <v>Thừa 2</v>
      </c>
      <c r="AP105" s="53" t="s">
        <v>148</v>
      </c>
      <c r="AQ105" s="53"/>
      <c r="AR105" s="53"/>
      <c r="AS105" s="53" t="s">
        <v>57</v>
      </c>
      <c r="AT105" s="53">
        <v>1</v>
      </c>
      <c r="AU105" s="83"/>
      <c r="AV105" s="53"/>
      <c r="AW105" s="53"/>
    </row>
    <row r="106" spans="3:49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9"/>
        <v>0</v>
      </c>
      <c r="M106" s="26">
        <f t="shared" si="10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67" t="e">
        <f>SUMIFS([2]Up!$J:$J,[2]Up!$D:$D,D106)</f>
        <v>#VALUE!</v>
      </c>
      <c r="AM106" s="82"/>
      <c r="AN106" s="82" t="e">
        <f t="shared" si="11"/>
        <v>#VALUE!</v>
      </c>
      <c r="AO106" s="53" t="str">
        <f t="shared" si="12"/>
        <v/>
      </c>
      <c r="AP106" s="53" t="s">
        <v>154</v>
      </c>
      <c r="AQ106" s="53"/>
      <c r="AR106" s="53"/>
      <c r="AS106" s="53" t="s">
        <v>57</v>
      </c>
      <c r="AT106" s="53">
        <v>1</v>
      </c>
      <c r="AU106" s="83"/>
      <c r="AV106" s="53"/>
      <c r="AW106" s="53"/>
    </row>
    <row r="107" spans="3:49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9"/>
        <v>1</v>
      </c>
      <c r="M107" s="26">
        <f t="shared" si="10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67" t="e">
        <f>SUMIFS([2]Up!$J:$J,[2]Up!$D:$D,D107)</f>
        <v>#VALUE!</v>
      </c>
      <c r="AM107" s="82" t="s">
        <v>2078</v>
      </c>
      <c r="AN107" s="82" t="str">
        <f t="shared" si="11"/>
        <v>PL15</v>
      </c>
      <c r="AO107" s="53" t="str">
        <f t="shared" si="12"/>
        <v>Thừa 2</v>
      </c>
      <c r="AP107" s="53" t="s">
        <v>148</v>
      </c>
      <c r="AQ107" s="53"/>
      <c r="AR107" s="53"/>
      <c r="AS107" s="53" t="s">
        <v>57</v>
      </c>
      <c r="AT107" s="53">
        <v>1</v>
      </c>
      <c r="AU107" s="83"/>
      <c r="AV107" s="53"/>
      <c r="AW107" s="53"/>
    </row>
    <row r="108" spans="3:49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9"/>
        <v>2</v>
      </c>
      <c r="M108" s="26">
        <f t="shared" si="10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67" t="e">
        <f>SUMIFS([2]Up!$J:$J,[2]Up!$D:$D,D108)</f>
        <v>#VALUE!</v>
      </c>
      <c r="AM108" s="82"/>
      <c r="AN108" s="82" t="str">
        <f t="shared" si="11"/>
        <v>PL20</v>
      </c>
      <c r="AO108" s="53" t="str">
        <f t="shared" si="12"/>
        <v/>
      </c>
      <c r="AP108" s="53" t="s">
        <v>148</v>
      </c>
      <c r="AQ108" s="84" t="s">
        <v>319</v>
      </c>
      <c r="AR108" s="53"/>
      <c r="AS108" s="53" t="s">
        <v>320</v>
      </c>
      <c r="AT108" s="53">
        <v>2</v>
      </c>
      <c r="AU108" s="83">
        <v>46202</v>
      </c>
      <c r="AV108" s="53"/>
      <c r="AW108" s="53"/>
    </row>
    <row r="109" spans="3:49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9"/>
        <v>4</v>
      </c>
      <c r="M109" s="26">
        <f t="shared" si="10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67" t="e">
        <f>SUMIFS([2]Up!$J:$J,[2]Up!$D:$D,D109)</f>
        <v>#VALUE!</v>
      </c>
      <c r="AM109" s="82"/>
      <c r="AN109" s="82" t="str">
        <f t="shared" si="11"/>
        <v>PL3</v>
      </c>
      <c r="AO109" s="53" t="str">
        <f t="shared" si="12"/>
        <v/>
      </c>
      <c r="AP109" s="53" t="s">
        <v>148</v>
      </c>
      <c r="AQ109" s="84" t="s">
        <v>682</v>
      </c>
      <c r="AR109" s="53"/>
      <c r="AS109" s="53" t="s">
        <v>683</v>
      </c>
      <c r="AT109" s="53">
        <v>4</v>
      </c>
      <c r="AU109" s="83">
        <v>46196</v>
      </c>
      <c r="AV109" s="53"/>
      <c r="AW109" s="53"/>
    </row>
    <row r="110" spans="3:49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9"/>
        <v>2</v>
      </c>
      <c r="M110" s="26">
        <f t="shared" si="10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67" t="e">
        <f>SUMIFS([2]Up!$J:$J,[2]Up!$D:$D,D110)</f>
        <v>#VALUE!</v>
      </c>
      <c r="AM110" s="82"/>
      <c r="AN110" s="82" t="str">
        <f t="shared" si="11"/>
        <v>PL20</v>
      </c>
      <c r="AO110" s="53" t="str">
        <f t="shared" si="12"/>
        <v/>
      </c>
      <c r="AP110" s="53" t="s">
        <v>148</v>
      </c>
      <c r="AQ110" s="84" t="s">
        <v>319</v>
      </c>
      <c r="AR110" s="53"/>
      <c r="AS110" s="53" t="s">
        <v>320</v>
      </c>
      <c r="AT110" s="53">
        <v>2</v>
      </c>
      <c r="AU110" s="83">
        <v>46202</v>
      </c>
      <c r="AV110" s="53"/>
      <c r="AW110" s="53"/>
    </row>
    <row r="111" spans="3:49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9"/>
        <v>4</v>
      </c>
      <c r="M111" s="26">
        <f t="shared" si="10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67" t="e">
        <f>SUMIFS([2]Up!$J:$J,[2]Up!$D:$D,D111)</f>
        <v>#VALUE!</v>
      </c>
      <c r="AM111" s="82"/>
      <c r="AN111" s="82" t="str">
        <f t="shared" si="11"/>
        <v>PL20</v>
      </c>
      <c r="AO111" s="53" t="str">
        <f t="shared" si="12"/>
        <v/>
      </c>
      <c r="AP111" s="53" t="s">
        <v>148</v>
      </c>
      <c r="AQ111" s="84" t="s">
        <v>319</v>
      </c>
      <c r="AR111" s="53"/>
      <c r="AS111" s="53" t="s">
        <v>320</v>
      </c>
      <c r="AT111" s="53">
        <v>4</v>
      </c>
      <c r="AU111" s="83">
        <v>46202</v>
      </c>
      <c r="AV111" s="53"/>
      <c r="AW111" s="53"/>
    </row>
    <row r="112" spans="3:49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9"/>
        <v>1</v>
      </c>
      <c r="M112" s="26">
        <f t="shared" si="10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67" t="e">
        <f>SUMIFS([2]Up!$J:$J,[2]Up!$D:$D,D112)</f>
        <v>#VALUE!</v>
      </c>
      <c r="AM112" s="82"/>
      <c r="AN112" s="82" t="str">
        <f t="shared" si="11"/>
        <v>PL30</v>
      </c>
      <c r="AO112" s="53" t="str">
        <f t="shared" si="12"/>
        <v/>
      </c>
      <c r="AP112" s="53" t="s">
        <v>148</v>
      </c>
      <c r="AQ112" s="84" t="s">
        <v>688</v>
      </c>
      <c r="AR112" s="53"/>
      <c r="AS112" s="53" t="s">
        <v>689</v>
      </c>
      <c r="AT112" s="53">
        <v>1</v>
      </c>
      <c r="AU112" s="83">
        <v>46196</v>
      </c>
      <c r="AV112" s="53"/>
      <c r="AW112" s="53"/>
    </row>
    <row r="113" spans="3:49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9"/>
        <v>2</v>
      </c>
      <c r="M113" s="26">
        <f t="shared" si="10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67" t="e">
        <f>SUMIFS([2]Up!$J:$J,[2]Up!$D:$D,D113)</f>
        <v>#VALUE!</v>
      </c>
      <c r="AM113" s="82"/>
      <c r="AN113" s="82" t="str">
        <f t="shared" si="11"/>
        <v>PL20</v>
      </c>
      <c r="AO113" s="53" t="str">
        <f t="shared" si="12"/>
        <v/>
      </c>
      <c r="AP113" s="53" t="s">
        <v>148</v>
      </c>
      <c r="AQ113" s="84" t="s">
        <v>319</v>
      </c>
      <c r="AR113" s="53"/>
      <c r="AS113" s="53" t="s">
        <v>320</v>
      </c>
      <c r="AT113" s="53">
        <v>2</v>
      </c>
      <c r="AU113" s="83">
        <v>46202</v>
      </c>
      <c r="AV113" s="53"/>
      <c r="AW113" s="53"/>
    </row>
    <row r="114" spans="3:49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9"/>
        <v>2</v>
      </c>
      <c r="M114" s="26">
        <f t="shared" si="10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67" t="e">
        <f>SUMIFS([2]Up!$J:$J,[2]Up!$D:$D,D114)</f>
        <v>#VALUE!</v>
      </c>
      <c r="AM114" s="82"/>
      <c r="AN114" s="82" t="str">
        <f t="shared" si="11"/>
        <v>PL20</v>
      </c>
      <c r="AO114" s="53" t="str">
        <f t="shared" si="12"/>
        <v/>
      </c>
      <c r="AP114" s="53" t="s">
        <v>148</v>
      </c>
      <c r="AQ114" s="84" t="s">
        <v>319</v>
      </c>
      <c r="AR114" s="53"/>
      <c r="AS114" s="53" t="s">
        <v>320</v>
      </c>
      <c r="AT114" s="53">
        <v>2</v>
      </c>
      <c r="AU114" s="83">
        <v>46202</v>
      </c>
      <c r="AV114" s="53"/>
      <c r="AW114" s="53"/>
    </row>
    <row r="115" spans="3:49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9"/>
        <v>2</v>
      </c>
      <c r="M115" s="26">
        <f t="shared" si="10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67" t="e">
        <f>SUMIFS([2]Up!$J:$J,[2]Up!$D:$D,D115)</f>
        <v>#VALUE!</v>
      </c>
      <c r="AM115" s="82"/>
      <c r="AN115" s="82" t="str">
        <f t="shared" si="11"/>
        <v>PL20</v>
      </c>
      <c r="AO115" s="53" t="str">
        <f t="shared" si="12"/>
        <v/>
      </c>
      <c r="AP115" s="53" t="s">
        <v>148</v>
      </c>
      <c r="AQ115" s="84" t="s">
        <v>319</v>
      </c>
      <c r="AR115" s="53"/>
      <c r="AS115" s="53" t="s">
        <v>320</v>
      </c>
      <c r="AT115" s="53">
        <v>2</v>
      </c>
      <c r="AU115" s="83">
        <v>46202</v>
      </c>
      <c r="AV115" s="53"/>
      <c r="AW115" s="53"/>
    </row>
    <row r="116" spans="3:49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9"/>
        <v>2</v>
      </c>
      <c r="M116" s="26">
        <f t="shared" si="10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67" t="e">
        <f>SUMIFS([2]Up!$J:$J,[2]Up!$D:$D,D116)</f>
        <v>#VALUE!</v>
      </c>
      <c r="AM116" s="82"/>
      <c r="AN116" s="82" t="str">
        <f t="shared" si="11"/>
        <v>PL20</v>
      </c>
      <c r="AO116" s="53" t="str">
        <f t="shared" si="12"/>
        <v/>
      </c>
      <c r="AP116" s="53" t="s">
        <v>148</v>
      </c>
      <c r="AQ116" s="84" t="s">
        <v>319</v>
      </c>
      <c r="AR116" s="53"/>
      <c r="AS116" s="53" t="s">
        <v>320</v>
      </c>
      <c r="AT116" s="53">
        <v>2</v>
      </c>
      <c r="AU116" s="83">
        <v>46202</v>
      </c>
      <c r="AV116" s="53"/>
      <c r="AW116" s="53"/>
    </row>
    <row r="117" spans="3:49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9"/>
        <v>2</v>
      </c>
      <c r="M117" s="26">
        <f t="shared" si="10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67" t="e">
        <f>SUMIFS([2]Up!$J:$J,[2]Up!$D:$D,D117)</f>
        <v>#VALUE!</v>
      </c>
      <c r="AM117" s="82"/>
      <c r="AN117" s="82" t="str">
        <f t="shared" si="11"/>
        <v>PL20</v>
      </c>
      <c r="AO117" s="53" t="str">
        <f t="shared" si="12"/>
        <v/>
      </c>
      <c r="AP117" s="53" t="s">
        <v>148</v>
      </c>
      <c r="AQ117" s="84" t="s">
        <v>319</v>
      </c>
      <c r="AR117" s="53"/>
      <c r="AS117" s="53" t="s">
        <v>320</v>
      </c>
      <c r="AT117" s="53">
        <v>2</v>
      </c>
      <c r="AU117" s="83">
        <v>46202</v>
      </c>
      <c r="AV117" s="53"/>
      <c r="AW117" s="53"/>
    </row>
    <row r="118" spans="3:49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9"/>
        <v>2</v>
      </c>
      <c r="M118" s="26">
        <f t="shared" si="10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67" t="e">
        <f>SUMIFS([2]Up!$J:$J,[2]Up!$D:$D,D118)</f>
        <v>#VALUE!</v>
      </c>
      <c r="AM118" s="82"/>
      <c r="AN118" s="82" t="str">
        <f t="shared" si="11"/>
        <v>PL20</v>
      </c>
      <c r="AO118" s="53" t="str">
        <f t="shared" si="12"/>
        <v/>
      </c>
      <c r="AP118" s="53" t="s">
        <v>148</v>
      </c>
      <c r="AQ118" s="84" t="s">
        <v>319</v>
      </c>
      <c r="AR118" s="53"/>
      <c r="AS118" s="53" t="s">
        <v>320</v>
      </c>
      <c r="AT118" s="53">
        <v>2</v>
      </c>
      <c r="AU118" s="83">
        <v>46202</v>
      </c>
      <c r="AV118" s="53"/>
      <c r="AW118" s="53"/>
    </row>
    <row r="119" spans="3:49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9"/>
        <v>2</v>
      </c>
      <c r="M119" s="26">
        <f t="shared" si="10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67" t="e">
        <f>SUMIFS([2]Up!$J:$J,[2]Up!$D:$D,D119)</f>
        <v>#VALUE!</v>
      </c>
      <c r="AM119" s="82"/>
      <c r="AN119" s="82" t="str">
        <f t="shared" si="11"/>
        <v>PL20</v>
      </c>
      <c r="AO119" s="53" t="str">
        <f t="shared" si="12"/>
        <v/>
      </c>
      <c r="AP119" s="53" t="s">
        <v>148</v>
      </c>
      <c r="AQ119" s="84" t="s">
        <v>319</v>
      </c>
      <c r="AR119" s="53"/>
      <c r="AS119" s="53" t="s">
        <v>320</v>
      </c>
      <c r="AT119" s="53">
        <v>2</v>
      </c>
      <c r="AU119" s="83">
        <v>46202</v>
      </c>
      <c r="AV119" s="53"/>
      <c r="AW119" s="53"/>
    </row>
    <row r="120" spans="3:49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9"/>
        <v>2</v>
      </c>
      <c r="M120" s="26">
        <f t="shared" si="10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67" t="e">
        <f>SUMIFS([2]Up!$J:$J,[2]Up!$D:$D,D120)</f>
        <v>#VALUE!</v>
      </c>
      <c r="AM120" s="82"/>
      <c r="AN120" s="82" t="str">
        <f t="shared" si="11"/>
        <v>PL20</v>
      </c>
      <c r="AO120" s="53" t="str">
        <f t="shared" si="12"/>
        <v/>
      </c>
      <c r="AP120" s="53" t="s">
        <v>148</v>
      </c>
      <c r="AQ120" s="84" t="s">
        <v>319</v>
      </c>
      <c r="AR120" s="53"/>
      <c r="AS120" s="53" t="s">
        <v>320</v>
      </c>
      <c r="AT120" s="53">
        <v>2</v>
      </c>
      <c r="AU120" s="83">
        <v>46202</v>
      </c>
      <c r="AV120" s="53"/>
      <c r="AW120" s="53"/>
    </row>
    <row r="121" spans="3:49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9"/>
        <v>1</v>
      </c>
      <c r="M121" s="26">
        <f t="shared" si="10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67" t="e">
        <f>SUMIFS([2]Up!$J:$J,[2]Up!$D:$D,D121)</f>
        <v>#VALUE!</v>
      </c>
      <c r="AM121" s="82"/>
      <c r="AN121" s="82" t="str">
        <f t="shared" si="11"/>
        <v>PL5</v>
      </c>
      <c r="AO121" s="53" t="str">
        <f t="shared" si="12"/>
        <v/>
      </c>
      <c r="AP121" s="53" t="s">
        <v>148</v>
      </c>
      <c r="AQ121" s="53" t="s">
        <v>704</v>
      </c>
      <c r="AR121" s="53"/>
      <c r="AS121" s="53" t="s">
        <v>705</v>
      </c>
      <c r="AT121" s="53">
        <v>1</v>
      </c>
      <c r="AU121" s="83">
        <v>46196</v>
      </c>
      <c r="AV121" s="53"/>
      <c r="AW121" s="53"/>
    </row>
    <row r="122" spans="3:49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9"/>
        <v>1</v>
      </c>
      <c r="M122" s="26">
        <f t="shared" si="10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67" t="e">
        <f>SUMIFS([2]Up!$J:$J,[2]Up!$D:$D,D122)</f>
        <v>#VALUE!</v>
      </c>
      <c r="AM122" s="82"/>
      <c r="AN122" s="82" t="str">
        <f t="shared" si="11"/>
        <v>PL20</v>
      </c>
      <c r="AO122" s="53" t="str">
        <f t="shared" si="12"/>
        <v/>
      </c>
      <c r="AP122" s="53" t="s">
        <v>148</v>
      </c>
      <c r="AQ122" s="84" t="s">
        <v>319</v>
      </c>
      <c r="AR122" s="53"/>
      <c r="AS122" s="53" t="s">
        <v>320</v>
      </c>
      <c r="AT122" s="53">
        <v>1</v>
      </c>
      <c r="AU122" s="83">
        <v>46202</v>
      </c>
      <c r="AV122" s="53"/>
      <c r="AW122" s="53"/>
    </row>
    <row r="123" spans="3:49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9"/>
        <v>1</v>
      </c>
      <c r="M123" s="26">
        <f t="shared" si="10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67" t="e">
        <f>SUMIFS([2]Up!$J:$J,[2]Up!$D:$D,D123)</f>
        <v>#VALUE!</v>
      </c>
      <c r="AM123" s="82"/>
      <c r="AN123" s="82" t="str">
        <f t="shared" si="11"/>
        <v>PL20</v>
      </c>
      <c r="AO123" s="53" t="str">
        <f t="shared" si="12"/>
        <v/>
      </c>
      <c r="AP123" s="53" t="s">
        <v>148</v>
      </c>
      <c r="AQ123" s="84" t="s">
        <v>319</v>
      </c>
      <c r="AR123" s="53"/>
      <c r="AS123" s="53" t="s">
        <v>320</v>
      </c>
      <c r="AT123" s="53">
        <v>1</v>
      </c>
      <c r="AU123" s="83">
        <v>46202</v>
      </c>
      <c r="AV123" s="53"/>
      <c r="AW123" s="53"/>
    </row>
    <row r="124" spans="3:49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9"/>
        <v>2</v>
      </c>
      <c r="M124" s="26">
        <f t="shared" si="10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67" t="e">
        <f>SUMIFS([2]Up!$J:$J,[2]Up!$D:$D,D124)</f>
        <v>#VALUE!</v>
      </c>
      <c r="AM124" s="82"/>
      <c r="AN124" s="82" t="str">
        <f t="shared" si="11"/>
        <v>PL20</v>
      </c>
      <c r="AO124" s="53" t="str">
        <f t="shared" si="12"/>
        <v/>
      </c>
      <c r="AP124" s="53" t="s">
        <v>148</v>
      </c>
      <c r="AQ124" s="84" t="s">
        <v>319</v>
      </c>
      <c r="AR124" s="53"/>
      <c r="AS124" s="53" t="s">
        <v>320</v>
      </c>
      <c r="AT124" s="53">
        <v>2</v>
      </c>
      <c r="AU124" s="83">
        <v>46202</v>
      </c>
      <c r="AV124" s="53"/>
      <c r="AW124" s="53"/>
    </row>
    <row r="125" spans="3:49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9"/>
        <v>2</v>
      </c>
      <c r="M125" s="26">
        <f t="shared" si="10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67" t="e">
        <f>SUMIFS([2]Up!$J:$J,[2]Up!$D:$D,D125)</f>
        <v>#VALUE!</v>
      </c>
      <c r="AM125" s="82"/>
      <c r="AN125" s="82" t="str">
        <f t="shared" si="11"/>
        <v>PL20</v>
      </c>
      <c r="AO125" s="53" t="str">
        <f t="shared" si="12"/>
        <v/>
      </c>
      <c r="AP125" s="53" t="s">
        <v>148</v>
      </c>
      <c r="AQ125" s="84" t="s">
        <v>319</v>
      </c>
      <c r="AR125" s="53"/>
      <c r="AS125" s="53" t="s">
        <v>320</v>
      </c>
      <c r="AT125" s="53">
        <v>2</v>
      </c>
      <c r="AU125" s="83">
        <v>46202</v>
      </c>
      <c r="AV125" s="53"/>
      <c r="AW125" s="53"/>
    </row>
    <row r="126" spans="3:49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9"/>
        <v>2</v>
      </c>
      <c r="M126" s="26">
        <f t="shared" si="10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67" t="e">
        <f>SUMIFS([2]Up!$J:$J,[2]Up!$D:$D,D126)</f>
        <v>#VALUE!</v>
      </c>
      <c r="AM126" s="82"/>
      <c r="AN126" s="82" t="str">
        <f t="shared" si="11"/>
        <v>PL20</v>
      </c>
      <c r="AO126" s="53" t="str">
        <f t="shared" si="12"/>
        <v/>
      </c>
      <c r="AP126" s="53" t="s">
        <v>148</v>
      </c>
      <c r="AQ126" s="84" t="s">
        <v>319</v>
      </c>
      <c r="AR126" s="53"/>
      <c r="AS126" s="53" t="s">
        <v>320</v>
      </c>
      <c r="AT126" s="53">
        <v>2</v>
      </c>
      <c r="AU126" s="83">
        <v>46202</v>
      </c>
      <c r="AV126" s="53"/>
      <c r="AW126" s="53"/>
    </row>
    <row r="127" spans="3:49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9"/>
        <v>2</v>
      </c>
      <c r="M127" s="26">
        <f t="shared" si="10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67" t="e">
        <f>SUMIFS([2]Up!$J:$J,[2]Up!$D:$D,D127)</f>
        <v>#VALUE!</v>
      </c>
      <c r="AM127" s="82"/>
      <c r="AN127" s="82" t="str">
        <f t="shared" si="11"/>
        <v>PL20</v>
      </c>
      <c r="AO127" s="53" t="str">
        <f t="shared" si="12"/>
        <v/>
      </c>
      <c r="AP127" s="53" t="s">
        <v>148</v>
      </c>
      <c r="AQ127" s="84" t="s">
        <v>319</v>
      </c>
      <c r="AR127" s="53"/>
      <c r="AS127" s="53" t="s">
        <v>320</v>
      </c>
      <c r="AT127" s="53">
        <v>2</v>
      </c>
      <c r="AU127" s="83">
        <v>46202</v>
      </c>
      <c r="AV127" s="53"/>
      <c r="AW127" s="53"/>
    </row>
    <row r="128" spans="3:49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9"/>
        <v>6</v>
      </c>
      <c r="M128" s="26">
        <f t="shared" si="10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67" t="e">
        <f>SUMIFS([2]Up!$J:$J,[2]Up!$D:$D,D128)</f>
        <v>#VALUE!</v>
      </c>
      <c r="AM128" s="82"/>
      <c r="AN128" s="82" t="str">
        <f t="shared" si="11"/>
        <v>PL15</v>
      </c>
      <c r="AO128" s="53" t="str">
        <f t="shared" si="12"/>
        <v/>
      </c>
      <c r="AP128" s="53" t="s">
        <v>148</v>
      </c>
      <c r="AQ128" s="84" t="s">
        <v>200</v>
      </c>
      <c r="AR128" s="53"/>
      <c r="AS128" s="53" t="s">
        <v>201</v>
      </c>
      <c r="AT128" s="53">
        <v>6</v>
      </c>
      <c r="AU128" s="83">
        <v>46201</v>
      </c>
      <c r="AV128" s="53"/>
      <c r="AW128" s="53"/>
    </row>
    <row r="129" spans="3:49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9"/>
        <v>12</v>
      </c>
      <c r="M129" s="26">
        <f t="shared" si="10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67" t="e">
        <f>SUMIFS([2]Up!$J:$J,[2]Up!$D:$D,D129)</f>
        <v>#VALUE!</v>
      </c>
      <c r="AM129" s="82"/>
      <c r="AN129" s="82" t="str">
        <f t="shared" si="11"/>
        <v>PL15</v>
      </c>
      <c r="AO129" s="53" t="str">
        <f t="shared" si="12"/>
        <v/>
      </c>
      <c r="AP129" s="53" t="s">
        <v>148</v>
      </c>
      <c r="AQ129" s="84" t="s">
        <v>200</v>
      </c>
      <c r="AR129" s="53"/>
      <c r="AS129" s="53" t="s">
        <v>201</v>
      </c>
      <c r="AT129" s="53">
        <v>12</v>
      </c>
      <c r="AU129" s="83">
        <v>46201</v>
      </c>
      <c r="AV129" s="53"/>
      <c r="AW129" s="53"/>
    </row>
    <row r="130" spans="3:49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9"/>
        <v>6</v>
      </c>
      <c r="M130" s="26">
        <f t="shared" si="10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67" t="e">
        <f>SUMIFS([2]Up!$J:$J,[2]Up!$D:$D,D130)</f>
        <v>#VALUE!</v>
      </c>
      <c r="AM130" s="82" t="s">
        <v>2235</v>
      </c>
      <c r="AN130" s="82" t="e">
        <f t="shared" si="11"/>
        <v>#VALUE!</v>
      </c>
      <c r="AO130" s="53" t="str">
        <f t="shared" si="12"/>
        <v>Thừa 18</v>
      </c>
      <c r="AP130" s="53" t="s">
        <v>154</v>
      </c>
      <c r="AQ130" s="53"/>
      <c r="AR130" s="53"/>
      <c r="AS130" s="53" t="s">
        <v>57</v>
      </c>
      <c r="AT130" s="53">
        <v>6</v>
      </c>
      <c r="AU130" s="83"/>
      <c r="AV130" s="53"/>
      <c r="AW130" s="53"/>
    </row>
    <row r="131" spans="3:49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9"/>
        <v>0</v>
      </c>
      <c r="M131" s="26">
        <f t="shared" si="10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67" t="e">
        <f>SUMIFS([2]Up!$J:$J,[2]Up!$D:$D,D131)</f>
        <v>#VALUE!</v>
      </c>
      <c r="AM131" s="82"/>
      <c r="AN131" s="82" t="str">
        <f t="shared" si="11"/>
        <v>PL10</v>
      </c>
      <c r="AO131" s="53" t="str">
        <f t="shared" si="12"/>
        <v/>
      </c>
      <c r="AP131" s="53" t="s">
        <v>148</v>
      </c>
      <c r="AQ131" s="84" t="s">
        <v>210</v>
      </c>
      <c r="AR131" s="53"/>
      <c r="AS131" s="53" t="s">
        <v>211</v>
      </c>
      <c r="AT131" s="53">
        <v>6</v>
      </c>
      <c r="AU131" s="83">
        <v>46201</v>
      </c>
      <c r="AV131" s="53"/>
      <c r="AW131" s="53"/>
    </row>
    <row r="132" spans="3:49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9"/>
        <v>1</v>
      </c>
      <c r="M132" s="26">
        <f t="shared" si="10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67" t="e">
        <f>SUMIFS([2]Up!$J:$J,[2]Up!$D:$D,D132)</f>
        <v>#VALUE!</v>
      </c>
      <c r="AM132" s="82"/>
      <c r="AN132" s="82" t="str">
        <f t="shared" si="11"/>
        <v>PL10</v>
      </c>
      <c r="AO132" s="53" t="str">
        <f t="shared" si="12"/>
        <v/>
      </c>
      <c r="AP132" s="53" t="s">
        <v>148</v>
      </c>
      <c r="AQ132" s="84" t="s">
        <v>210</v>
      </c>
      <c r="AR132" s="53"/>
      <c r="AS132" s="53" t="s">
        <v>211</v>
      </c>
      <c r="AT132" s="53">
        <v>1</v>
      </c>
      <c r="AU132" s="83">
        <v>46201</v>
      </c>
      <c r="AV132" s="53"/>
      <c r="AW132" s="53"/>
    </row>
    <row r="133" spans="3:49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9"/>
        <v>1</v>
      </c>
      <c r="M133" s="26">
        <f t="shared" si="10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67" t="e">
        <f>SUMIFS([2]Up!$J:$J,[2]Up!$D:$D,D133)</f>
        <v>#VALUE!</v>
      </c>
      <c r="AM133" s="82"/>
      <c r="AN133" s="82" t="str">
        <f t="shared" si="11"/>
        <v>PL15</v>
      </c>
      <c r="AO133" s="53" t="str">
        <f t="shared" si="12"/>
        <v/>
      </c>
      <c r="AP133" s="53" t="s">
        <v>148</v>
      </c>
      <c r="AQ133" s="84" t="s">
        <v>200</v>
      </c>
      <c r="AR133" s="53"/>
      <c r="AS133" s="53" t="s">
        <v>201</v>
      </c>
      <c r="AT133" s="53">
        <v>1</v>
      </c>
      <c r="AU133" s="83">
        <v>46201</v>
      </c>
      <c r="AV133" s="53"/>
      <c r="AW133" s="53"/>
    </row>
    <row r="134" spans="3:49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9"/>
        <v>1</v>
      </c>
      <c r="M134" s="26">
        <f t="shared" si="10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67" t="e">
        <f>SUMIFS([2]Up!$J:$J,[2]Up!$D:$D,D134)</f>
        <v>#VALUE!</v>
      </c>
      <c r="AM134" s="82"/>
      <c r="AN134" s="82" t="str">
        <f t="shared" si="11"/>
        <v>PL20</v>
      </c>
      <c r="AO134" s="53" t="str">
        <f t="shared" si="12"/>
        <v/>
      </c>
      <c r="AP134" s="53" t="s">
        <v>148</v>
      </c>
      <c r="AQ134" s="84" t="s">
        <v>319</v>
      </c>
      <c r="AR134" s="53"/>
      <c r="AS134" s="53" t="s">
        <v>320</v>
      </c>
      <c r="AT134" s="53">
        <v>1</v>
      </c>
      <c r="AU134" s="83">
        <v>46202</v>
      </c>
      <c r="AV134" s="53"/>
      <c r="AW134" s="53"/>
    </row>
    <row r="135" spans="3:49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9"/>
        <v>1</v>
      </c>
      <c r="M135" s="26">
        <f t="shared" si="10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67" t="e">
        <f>SUMIFS([2]Up!$J:$J,[2]Up!$D:$D,D135)</f>
        <v>#VALUE!</v>
      </c>
      <c r="AM135" s="82"/>
      <c r="AN135" s="82" t="str">
        <f t="shared" si="11"/>
        <v>PL15</v>
      </c>
      <c r="AO135" s="53" t="str">
        <f t="shared" si="12"/>
        <v/>
      </c>
      <c r="AP135" s="53" t="s">
        <v>148</v>
      </c>
      <c r="AQ135" s="84" t="s">
        <v>200</v>
      </c>
      <c r="AR135" s="53"/>
      <c r="AS135" s="53" t="s">
        <v>201</v>
      </c>
      <c r="AT135" s="53">
        <v>1</v>
      </c>
      <c r="AU135" s="83">
        <v>46201</v>
      </c>
      <c r="AV135" s="53"/>
      <c r="AW135" s="53"/>
    </row>
    <row r="136" spans="3:49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9"/>
        <v>0</v>
      </c>
      <c r="M136" s="26">
        <f t="shared" si="10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67" t="e">
        <f>SUMIFS([2]Up!$J:$J,[2]Up!$D:$D,D136)</f>
        <v>#VALUE!</v>
      </c>
      <c r="AM136" s="82"/>
      <c r="AN136" s="82" t="e">
        <f t="shared" si="11"/>
        <v>#VALUE!</v>
      </c>
      <c r="AO136" s="53" t="str">
        <f t="shared" si="12"/>
        <v/>
      </c>
      <c r="AP136" s="53" t="s">
        <v>154</v>
      </c>
      <c r="AQ136" s="53"/>
      <c r="AR136" s="53"/>
      <c r="AS136" s="53" t="s">
        <v>57</v>
      </c>
      <c r="AT136" s="53">
        <v>1</v>
      </c>
      <c r="AU136" s="83"/>
      <c r="AV136" s="53"/>
      <c r="AW136" s="53"/>
    </row>
    <row r="137" spans="3:49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9"/>
        <v>1</v>
      </c>
      <c r="M137" s="26">
        <f t="shared" si="10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67" t="e">
        <f>SUMIFS([2]Up!$J:$J,[2]Up!$D:$D,D137)</f>
        <v>#VALUE!</v>
      </c>
      <c r="AM137" s="82"/>
      <c r="AN137" s="82" t="str">
        <f t="shared" si="11"/>
        <v>PL15</v>
      </c>
      <c r="AO137" s="53" t="str">
        <f t="shared" si="12"/>
        <v/>
      </c>
      <c r="AP137" s="53" t="s">
        <v>148</v>
      </c>
      <c r="AQ137" s="84" t="s">
        <v>200</v>
      </c>
      <c r="AR137" s="53"/>
      <c r="AS137" s="53" t="s">
        <v>201</v>
      </c>
      <c r="AT137" s="53">
        <v>1</v>
      </c>
      <c r="AU137" s="83">
        <v>46201</v>
      </c>
      <c r="AV137" s="53"/>
      <c r="AW137" s="53"/>
    </row>
    <row r="138" spans="3:49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9"/>
        <v>1</v>
      </c>
      <c r="M138" s="26">
        <f t="shared" si="10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67" t="e">
        <f>SUMIFS([2]Up!$J:$J,[2]Up!$D:$D,D138)</f>
        <v>#VALUE!</v>
      </c>
      <c r="AM138" s="82"/>
      <c r="AN138" s="82" t="str">
        <f t="shared" si="11"/>
        <v>PL20</v>
      </c>
      <c r="AO138" s="53" t="str">
        <f t="shared" si="12"/>
        <v/>
      </c>
      <c r="AP138" s="53" t="s">
        <v>148</v>
      </c>
      <c r="AQ138" s="84" t="s">
        <v>319</v>
      </c>
      <c r="AR138" s="53"/>
      <c r="AS138" s="53" t="s">
        <v>320</v>
      </c>
      <c r="AT138" s="53">
        <v>1</v>
      </c>
      <c r="AU138" s="83">
        <v>46202</v>
      </c>
      <c r="AV138" s="53"/>
      <c r="AW138" s="53"/>
    </row>
    <row r="139" spans="3:49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9"/>
        <v>0</v>
      </c>
      <c r="M139" s="26">
        <f t="shared" si="10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67" t="e">
        <f>SUMIFS([2]Up!$J:$J,[2]Up!$D:$D,D139)</f>
        <v>#VALUE!</v>
      </c>
      <c r="AM139" s="82"/>
      <c r="AN139" s="82" t="str">
        <f t="shared" si="11"/>
        <v>PL10</v>
      </c>
      <c r="AO139" s="53" t="str">
        <f t="shared" si="12"/>
        <v/>
      </c>
      <c r="AP139" s="53" t="s">
        <v>148</v>
      </c>
      <c r="AQ139" s="84" t="s">
        <v>210</v>
      </c>
      <c r="AR139" s="53"/>
      <c r="AS139" s="53" t="s">
        <v>211</v>
      </c>
      <c r="AT139" s="53">
        <v>1</v>
      </c>
      <c r="AU139" s="83">
        <v>46201</v>
      </c>
      <c r="AV139" s="53"/>
      <c r="AW139" s="53"/>
    </row>
    <row r="140" spans="3:49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9"/>
        <v>1</v>
      </c>
      <c r="M140" s="26">
        <f t="shared" si="10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67" t="e">
        <f>SUMIFS([2]Up!$J:$J,[2]Up!$D:$D,D140)</f>
        <v>#VALUE!</v>
      </c>
      <c r="AM140" s="82"/>
      <c r="AN140" s="82" t="str">
        <f t="shared" si="11"/>
        <v>PL15</v>
      </c>
      <c r="AO140" s="53" t="str">
        <f t="shared" si="12"/>
        <v/>
      </c>
      <c r="AP140" s="53" t="s">
        <v>148</v>
      </c>
      <c r="AQ140" s="84" t="s">
        <v>200</v>
      </c>
      <c r="AR140" s="53"/>
      <c r="AS140" s="53" t="s">
        <v>201</v>
      </c>
      <c r="AT140" s="53">
        <v>1</v>
      </c>
      <c r="AU140" s="83">
        <v>46201</v>
      </c>
      <c r="AV140" s="53"/>
      <c r="AW140" s="53"/>
    </row>
    <row r="141" spans="3:49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9"/>
        <v>0</v>
      </c>
      <c r="M141" s="26">
        <f t="shared" si="10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67" t="e">
        <f>SUMIFS([2]Up!$J:$J,[2]Up!$D:$D,D141)</f>
        <v>#VALUE!</v>
      </c>
      <c r="AM141" s="82"/>
      <c r="AN141" s="82" t="e">
        <f t="shared" si="11"/>
        <v>#VALUE!</v>
      </c>
      <c r="AO141" s="53" t="str">
        <f t="shared" si="12"/>
        <v/>
      </c>
      <c r="AP141" s="53" t="s">
        <v>154</v>
      </c>
      <c r="AQ141" s="53"/>
      <c r="AR141" s="53"/>
      <c r="AS141" s="53" t="s">
        <v>57</v>
      </c>
      <c r="AT141" s="53">
        <v>1</v>
      </c>
      <c r="AU141" s="83"/>
      <c r="AV141" s="53"/>
      <c r="AW141" s="53"/>
    </row>
    <row r="142" spans="3:49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9"/>
        <v>1</v>
      </c>
      <c r="M142" s="26">
        <f t="shared" si="10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67" t="e">
        <f>SUMIFS([2]Up!$J:$J,[2]Up!$D:$D,D142)</f>
        <v>#VALUE!</v>
      </c>
      <c r="AM142" s="82"/>
      <c r="AN142" s="82" t="str">
        <f t="shared" si="11"/>
        <v>PL15</v>
      </c>
      <c r="AO142" s="53" t="str">
        <f t="shared" si="12"/>
        <v/>
      </c>
      <c r="AP142" s="53" t="s">
        <v>148</v>
      </c>
      <c r="AQ142" s="84" t="s">
        <v>200</v>
      </c>
      <c r="AR142" s="53"/>
      <c r="AS142" s="53" t="s">
        <v>201</v>
      </c>
      <c r="AT142" s="53">
        <v>1</v>
      </c>
      <c r="AU142" s="83">
        <v>46201</v>
      </c>
      <c r="AV142" s="53"/>
      <c r="AW142" s="53"/>
    </row>
    <row r="143" spans="3:49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9"/>
        <v>1</v>
      </c>
      <c r="M143" s="26">
        <f t="shared" si="10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67" t="e">
        <f>SUMIFS([2]Up!$J:$J,[2]Up!$D:$D,D143)</f>
        <v>#VALUE!</v>
      </c>
      <c r="AM143" s="82"/>
      <c r="AN143" s="82" t="str">
        <f t="shared" si="11"/>
        <v>PL20</v>
      </c>
      <c r="AO143" s="53" t="str">
        <f t="shared" si="12"/>
        <v/>
      </c>
      <c r="AP143" s="53" t="s">
        <v>148</v>
      </c>
      <c r="AQ143" s="84" t="s">
        <v>319</v>
      </c>
      <c r="AR143" s="53"/>
      <c r="AS143" s="53" t="s">
        <v>320</v>
      </c>
      <c r="AT143" s="53">
        <v>1</v>
      </c>
      <c r="AU143" s="83">
        <v>46202</v>
      </c>
      <c r="AV143" s="53"/>
      <c r="AW143" s="53"/>
    </row>
    <row r="144" spans="3:49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9"/>
        <v>1</v>
      </c>
      <c r="M144" s="26">
        <f t="shared" si="10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67" t="e">
        <f>SUMIFS([2]Up!$J:$J,[2]Up!$D:$D,D144)</f>
        <v>#VALUE!</v>
      </c>
      <c r="AM144" s="82"/>
      <c r="AN144" s="82" t="str">
        <f t="shared" si="11"/>
        <v>PL10</v>
      </c>
      <c r="AO144" s="53" t="str">
        <f t="shared" si="12"/>
        <v/>
      </c>
      <c r="AP144" s="53" t="s">
        <v>148</v>
      </c>
      <c r="AQ144" s="84" t="s">
        <v>210</v>
      </c>
      <c r="AR144" s="53"/>
      <c r="AS144" s="53" t="s">
        <v>211</v>
      </c>
      <c r="AT144" s="53">
        <v>1</v>
      </c>
      <c r="AU144" s="83">
        <v>46201</v>
      </c>
      <c r="AV144" s="53"/>
      <c r="AW144" s="53"/>
    </row>
    <row r="145" spans="3:49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9"/>
        <v>1</v>
      </c>
      <c r="M145" s="26">
        <f t="shared" si="10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67" t="e">
        <f>SUMIFS([2]Up!$J:$J,[2]Up!$D:$D,D145)</f>
        <v>#VALUE!</v>
      </c>
      <c r="AM145" s="82"/>
      <c r="AN145" s="82" t="str">
        <f t="shared" si="11"/>
        <v>PL15</v>
      </c>
      <c r="AO145" s="53" t="str">
        <f t="shared" si="12"/>
        <v/>
      </c>
      <c r="AP145" s="53" t="s">
        <v>148</v>
      </c>
      <c r="AQ145" s="84" t="s">
        <v>200</v>
      </c>
      <c r="AR145" s="53"/>
      <c r="AS145" s="53" t="s">
        <v>201</v>
      </c>
      <c r="AT145" s="53">
        <v>1</v>
      </c>
      <c r="AU145" s="83">
        <v>46201</v>
      </c>
      <c r="AV145" s="53"/>
      <c r="AW145" s="53"/>
    </row>
    <row r="146" spans="3:49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9"/>
        <v>0</v>
      </c>
      <c r="M146" s="26">
        <f t="shared" si="10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67" t="e">
        <f>SUMIFS([2]Up!$J:$J,[2]Up!$D:$D,D146)</f>
        <v>#VALUE!</v>
      </c>
      <c r="AM146" s="82"/>
      <c r="AN146" s="82" t="e">
        <f t="shared" si="11"/>
        <v>#VALUE!</v>
      </c>
      <c r="AO146" s="53" t="str">
        <f t="shared" si="12"/>
        <v/>
      </c>
      <c r="AP146" s="53" t="s">
        <v>154</v>
      </c>
      <c r="AQ146" s="53"/>
      <c r="AR146" s="53"/>
      <c r="AS146" s="53" t="s">
        <v>57</v>
      </c>
      <c r="AT146" s="53">
        <v>1</v>
      </c>
      <c r="AU146" s="83"/>
      <c r="AV146" s="53"/>
      <c r="AW146" s="53"/>
    </row>
    <row r="147" spans="3:49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9"/>
        <v>1</v>
      </c>
      <c r="M147" s="26">
        <f t="shared" si="10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67" t="e">
        <f>SUMIFS([2]Up!$J:$J,[2]Up!$D:$D,D147)</f>
        <v>#VALUE!</v>
      </c>
      <c r="AM147" s="82"/>
      <c r="AN147" s="82" t="str">
        <f t="shared" si="11"/>
        <v>PL15</v>
      </c>
      <c r="AO147" s="53" t="str">
        <f t="shared" si="12"/>
        <v/>
      </c>
      <c r="AP147" s="53" t="s">
        <v>148</v>
      </c>
      <c r="AQ147" s="84" t="s">
        <v>200</v>
      </c>
      <c r="AR147" s="53"/>
      <c r="AS147" s="53" t="s">
        <v>201</v>
      </c>
      <c r="AT147" s="53">
        <v>1</v>
      </c>
      <c r="AU147" s="83">
        <v>46201</v>
      </c>
      <c r="AV147" s="53"/>
      <c r="AW147" s="53"/>
    </row>
    <row r="148" spans="3:49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9"/>
        <v>1</v>
      </c>
      <c r="M148" s="26">
        <f t="shared" si="10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67" t="e">
        <f>SUMIFS([2]Up!$J:$J,[2]Up!$D:$D,D148)</f>
        <v>#VALUE!</v>
      </c>
      <c r="AM148" s="82"/>
      <c r="AN148" s="82" t="str">
        <f t="shared" si="11"/>
        <v>PL20</v>
      </c>
      <c r="AO148" s="53" t="str">
        <f t="shared" si="12"/>
        <v/>
      </c>
      <c r="AP148" s="53" t="s">
        <v>148</v>
      </c>
      <c r="AQ148" s="84" t="s">
        <v>319</v>
      </c>
      <c r="AR148" s="53"/>
      <c r="AS148" s="53" t="s">
        <v>320</v>
      </c>
      <c r="AT148" s="53">
        <v>1</v>
      </c>
      <c r="AU148" s="83">
        <v>46202</v>
      </c>
      <c r="AV148" s="53"/>
      <c r="AW148" s="53"/>
    </row>
    <row r="149" spans="3:49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9"/>
        <v>0</v>
      </c>
      <c r="M149" s="26">
        <f t="shared" si="10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67" t="e">
        <f>SUMIFS([2]Up!$J:$J,[2]Up!$D:$D,D149)</f>
        <v>#VALUE!</v>
      </c>
      <c r="AM149" s="82"/>
      <c r="AN149" s="82" t="str">
        <f t="shared" si="11"/>
        <v>PL10</v>
      </c>
      <c r="AO149" s="53" t="str">
        <f t="shared" si="12"/>
        <v/>
      </c>
      <c r="AP149" s="53" t="s">
        <v>148</v>
      </c>
      <c r="AQ149" s="53"/>
      <c r="AR149" s="53"/>
      <c r="AS149" s="53"/>
      <c r="AT149" s="53"/>
      <c r="AU149" s="83"/>
      <c r="AV149" s="53"/>
      <c r="AW149" s="53"/>
    </row>
    <row r="150" spans="3:49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9"/>
        <v>1</v>
      </c>
      <c r="M150" s="26">
        <f t="shared" si="10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67" t="e">
        <f>SUMIFS([2]Up!$J:$J,[2]Up!$D:$D,D150)</f>
        <v>#VALUE!</v>
      </c>
      <c r="AM150" s="82"/>
      <c r="AN150" s="82" t="str">
        <f t="shared" si="11"/>
        <v>PL15</v>
      </c>
      <c r="AO150" s="53" t="str">
        <f t="shared" si="12"/>
        <v/>
      </c>
      <c r="AP150" s="53" t="s">
        <v>148</v>
      </c>
      <c r="AQ150" s="84" t="s">
        <v>200</v>
      </c>
      <c r="AR150" s="53"/>
      <c r="AS150" s="53" t="s">
        <v>201</v>
      </c>
      <c r="AT150" s="53">
        <v>1</v>
      </c>
      <c r="AU150" s="83">
        <v>46201</v>
      </c>
      <c r="AV150" s="53"/>
      <c r="AW150" s="53"/>
    </row>
    <row r="151" spans="3:49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9"/>
        <v>0</v>
      </c>
      <c r="M151" s="26">
        <f t="shared" si="10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67" t="e">
        <f>SUMIFS([2]Up!$J:$J,[2]Up!$D:$D,D151)</f>
        <v>#VALUE!</v>
      </c>
      <c r="AM151" s="82"/>
      <c r="AN151" s="82" t="e">
        <f t="shared" si="11"/>
        <v>#VALUE!</v>
      </c>
      <c r="AO151" s="53" t="str">
        <f t="shared" si="12"/>
        <v/>
      </c>
      <c r="AP151" s="53" t="s">
        <v>154</v>
      </c>
      <c r="AQ151" s="53"/>
      <c r="AR151" s="53"/>
      <c r="AS151" s="53" t="s">
        <v>57</v>
      </c>
      <c r="AT151" s="53">
        <v>1</v>
      </c>
      <c r="AU151" s="83"/>
      <c r="AV151" s="53"/>
      <c r="AW151" s="53"/>
    </row>
    <row r="152" spans="3:49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9"/>
        <v>1</v>
      </c>
      <c r="M152" s="26">
        <f t="shared" si="10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67" t="e">
        <f>SUMIFS([2]Up!$J:$J,[2]Up!$D:$D,D152)</f>
        <v>#VALUE!</v>
      </c>
      <c r="AM152" s="82"/>
      <c r="AN152" s="82" t="str">
        <f t="shared" si="11"/>
        <v>PL15</v>
      </c>
      <c r="AO152" s="53" t="str">
        <f t="shared" si="12"/>
        <v/>
      </c>
      <c r="AP152" s="53" t="s">
        <v>148</v>
      </c>
      <c r="AQ152" s="84" t="s">
        <v>200</v>
      </c>
      <c r="AR152" s="53"/>
      <c r="AS152" s="53" t="s">
        <v>201</v>
      </c>
      <c r="AT152" s="53">
        <v>1</v>
      </c>
      <c r="AU152" s="83">
        <v>46201</v>
      </c>
      <c r="AV152" s="53"/>
      <c r="AW152" s="53"/>
    </row>
    <row r="153" spans="3:49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9"/>
        <v>1</v>
      </c>
      <c r="M153" s="26">
        <f t="shared" si="10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67" t="e">
        <f>SUMIFS([2]Up!$J:$J,[2]Up!$D:$D,D153)</f>
        <v>#VALUE!</v>
      </c>
      <c r="AM153" s="82"/>
      <c r="AN153" s="82" t="str">
        <f t="shared" si="11"/>
        <v>PL20</v>
      </c>
      <c r="AO153" s="53" t="str">
        <f t="shared" si="12"/>
        <v/>
      </c>
      <c r="AP153" s="53" t="s">
        <v>148</v>
      </c>
      <c r="AQ153" s="84" t="s">
        <v>319</v>
      </c>
      <c r="AR153" s="53"/>
      <c r="AS153" s="53" t="s">
        <v>320</v>
      </c>
      <c r="AT153" s="53">
        <v>1</v>
      </c>
      <c r="AU153" s="83">
        <v>46202</v>
      </c>
      <c r="AV153" s="53"/>
      <c r="AW153" s="53"/>
    </row>
    <row r="154" spans="3:49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9"/>
        <v>1</v>
      </c>
      <c r="M154" s="26">
        <f t="shared" si="10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67" t="e">
        <f>SUMIFS([2]Up!$J:$J,[2]Up!$D:$D,D154)</f>
        <v>#VALUE!</v>
      </c>
      <c r="AM154" s="82"/>
      <c r="AN154" s="82" t="str">
        <f t="shared" si="11"/>
        <v>PL10</v>
      </c>
      <c r="AO154" s="53" t="str">
        <f t="shared" si="12"/>
        <v/>
      </c>
      <c r="AP154" s="53" t="s">
        <v>148</v>
      </c>
      <c r="AQ154" s="84" t="s">
        <v>210</v>
      </c>
      <c r="AR154" s="53"/>
      <c r="AS154" s="53" t="s">
        <v>211</v>
      </c>
      <c r="AT154" s="53">
        <v>1</v>
      </c>
      <c r="AU154" s="83">
        <v>46201</v>
      </c>
      <c r="AV154" s="53"/>
      <c r="AW154" s="53"/>
    </row>
    <row r="155" spans="3:49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9"/>
        <v>1</v>
      </c>
      <c r="M155" s="26">
        <f t="shared" si="10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67" t="e">
        <f>SUMIFS([2]Up!$J:$J,[2]Up!$D:$D,D155)</f>
        <v>#VALUE!</v>
      </c>
      <c r="AM155" s="82"/>
      <c r="AN155" s="82" t="str">
        <f t="shared" si="11"/>
        <v>PL15</v>
      </c>
      <c r="AO155" s="53" t="str">
        <f t="shared" si="12"/>
        <v/>
      </c>
      <c r="AP155" s="53" t="s">
        <v>148</v>
      </c>
      <c r="AQ155" s="84" t="s">
        <v>200</v>
      </c>
      <c r="AR155" s="53"/>
      <c r="AS155" s="53" t="s">
        <v>201</v>
      </c>
      <c r="AT155" s="53">
        <v>1</v>
      </c>
      <c r="AU155" s="83">
        <v>46201</v>
      </c>
      <c r="AV155" s="53"/>
      <c r="AW155" s="53"/>
    </row>
    <row r="156" spans="3:49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9"/>
        <v>0</v>
      </c>
      <c r="M156" s="26">
        <f t="shared" si="10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67" t="e">
        <f>SUMIFS([2]Up!$J:$J,[2]Up!$D:$D,D156)</f>
        <v>#VALUE!</v>
      </c>
      <c r="AM156" s="82"/>
      <c r="AN156" s="82" t="e">
        <f t="shared" si="11"/>
        <v>#VALUE!</v>
      </c>
      <c r="AO156" s="53" t="str">
        <f t="shared" si="12"/>
        <v/>
      </c>
      <c r="AP156" s="53" t="s">
        <v>154</v>
      </c>
      <c r="AQ156" s="53"/>
      <c r="AR156" s="53"/>
      <c r="AS156" s="53" t="s">
        <v>57</v>
      </c>
      <c r="AT156" s="53">
        <v>1</v>
      </c>
      <c r="AU156" s="83"/>
      <c r="AV156" s="53"/>
      <c r="AW156" s="53"/>
    </row>
    <row r="157" spans="3:49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9"/>
        <v>1</v>
      </c>
      <c r="M157" s="26">
        <f t="shared" si="10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67" t="e">
        <f>SUMIFS([2]Up!$J:$J,[2]Up!$D:$D,D157)</f>
        <v>#VALUE!</v>
      </c>
      <c r="AM157" s="82"/>
      <c r="AN157" s="82" t="str">
        <f t="shared" si="11"/>
        <v>PL15</v>
      </c>
      <c r="AO157" s="53" t="str">
        <f t="shared" si="12"/>
        <v/>
      </c>
      <c r="AP157" s="53" t="s">
        <v>148</v>
      </c>
      <c r="AQ157" s="84" t="s">
        <v>200</v>
      </c>
      <c r="AR157" s="53"/>
      <c r="AS157" s="53" t="s">
        <v>201</v>
      </c>
      <c r="AT157" s="53">
        <v>1</v>
      </c>
      <c r="AU157" s="83">
        <v>46201</v>
      </c>
      <c r="AV157" s="53"/>
      <c r="AW157" s="53"/>
    </row>
    <row r="158" spans="3:49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9"/>
        <v>1</v>
      </c>
      <c r="M158" s="26">
        <f t="shared" si="10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67" t="e">
        <f>SUMIFS([2]Up!$J:$J,[2]Up!$D:$D,D158)</f>
        <v>#VALUE!</v>
      </c>
      <c r="AM158" s="82"/>
      <c r="AN158" s="82" t="str">
        <f t="shared" si="11"/>
        <v>PL20</v>
      </c>
      <c r="AO158" s="53" t="str">
        <f t="shared" si="12"/>
        <v/>
      </c>
      <c r="AP158" s="53" t="s">
        <v>148</v>
      </c>
      <c r="AQ158" s="84" t="s">
        <v>319</v>
      </c>
      <c r="AR158" s="53"/>
      <c r="AS158" s="53" t="s">
        <v>320</v>
      </c>
      <c r="AT158" s="53">
        <v>1</v>
      </c>
      <c r="AU158" s="83">
        <v>46202</v>
      </c>
      <c r="AV158" s="53"/>
      <c r="AW158" s="53"/>
    </row>
    <row r="159" spans="3:49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9"/>
        <v>1</v>
      </c>
      <c r="M159" s="26">
        <f t="shared" si="10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67" t="e">
        <f>SUMIFS([2]Up!$J:$J,[2]Up!$D:$D,D159)</f>
        <v>#VALUE!</v>
      </c>
      <c r="AM159" s="82"/>
      <c r="AN159" s="82" t="str">
        <f t="shared" si="11"/>
        <v>PL10</v>
      </c>
      <c r="AO159" s="53" t="str">
        <f t="shared" si="12"/>
        <v/>
      </c>
      <c r="AP159" s="53" t="s">
        <v>148</v>
      </c>
      <c r="AQ159" s="84" t="s">
        <v>210</v>
      </c>
      <c r="AR159" s="53"/>
      <c r="AS159" s="53" t="s">
        <v>211</v>
      </c>
      <c r="AT159" s="53">
        <v>1</v>
      </c>
      <c r="AU159" s="83">
        <v>46201</v>
      </c>
      <c r="AV159" s="53"/>
      <c r="AW159" s="53"/>
    </row>
    <row r="160" spans="3:49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9"/>
        <v>1</v>
      </c>
      <c r="M160" s="26">
        <f t="shared" si="10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67" t="e">
        <f>SUMIFS([2]Up!$J:$J,[2]Up!$D:$D,D160)</f>
        <v>#VALUE!</v>
      </c>
      <c r="AM160" s="82"/>
      <c r="AN160" s="82" t="str">
        <f t="shared" si="11"/>
        <v>PL15</v>
      </c>
      <c r="AO160" s="53" t="str">
        <f t="shared" si="12"/>
        <v/>
      </c>
      <c r="AP160" s="53" t="s">
        <v>148</v>
      </c>
      <c r="AQ160" s="84" t="s">
        <v>200</v>
      </c>
      <c r="AR160" s="53"/>
      <c r="AS160" s="53" t="s">
        <v>201</v>
      </c>
      <c r="AT160" s="53">
        <v>1</v>
      </c>
      <c r="AU160" s="83">
        <v>46201</v>
      </c>
      <c r="AV160" s="53"/>
      <c r="AW160" s="53"/>
    </row>
    <row r="161" spans="3:49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9"/>
        <v>0</v>
      </c>
      <c r="M161" s="26">
        <f t="shared" si="10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67" t="e">
        <f>SUMIFS([2]Up!$J:$J,[2]Up!$D:$D,D161)</f>
        <v>#VALUE!</v>
      </c>
      <c r="AM161" s="82"/>
      <c r="AN161" s="82" t="e">
        <f t="shared" si="11"/>
        <v>#VALUE!</v>
      </c>
      <c r="AO161" s="53" t="str">
        <f t="shared" si="12"/>
        <v/>
      </c>
      <c r="AP161" s="53" t="s">
        <v>154</v>
      </c>
      <c r="AQ161" s="53"/>
      <c r="AR161" s="53"/>
      <c r="AS161" s="53" t="s">
        <v>57</v>
      </c>
      <c r="AT161" s="53">
        <v>1</v>
      </c>
      <c r="AU161" s="83"/>
      <c r="AV161" s="53"/>
      <c r="AW161" s="53"/>
    </row>
    <row r="162" spans="3:49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9"/>
        <v>1</v>
      </c>
      <c r="M162" s="26">
        <f t="shared" si="10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67" t="e">
        <f>SUMIFS([2]Up!$J:$J,[2]Up!$D:$D,D162)</f>
        <v>#VALUE!</v>
      </c>
      <c r="AM162" s="82"/>
      <c r="AN162" s="82" t="str">
        <f t="shared" si="11"/>
        <v>PL15</v>
      </c>
      <c r="AO162" s="53" t="str">
        <f t="shared" si="12"/>
        <v/>
      </c>
      <c r="AP162" s="53" t="s">
        <v>148</v>
      </c>
      <c r="AQ162" s="84" t="s">
        <v>200</v>
      </c>
      <c r="AR162" s="53"/>
      <c r="AS162" s="53" t="s">
        <v>201</v>
      </c>
      <c r="AT162" s="53">
        <v>1</v>
      </c>
      <c r="AU162" s="83">
        <v>46201</v>
      </c>
      <c r="AV162" s="53"/>
      <c r="AW162" s="53"/>
    </row>
    <row r="163" spans="3:49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9"/>
        <v>1</v>
      </c>
      <c r="M163" s="26">
        <f t="shared" si="10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67" t="e">
        <f>SUMIFS([2]Up!$J:$J,[2]Up!$D:$D,D163)</f>
        <v>#VALUE!</v>
      </c>
      <c r="AM163" s="82"/>
      <c r="AN163" s="82" t="str">
        <f t="shared" si="11"/>
        <v>PL20</v>
      </c>
      <c r="AO163" s="53" t="str">
        <f t="shared" si="12"/>
        <v/>
      </c>
      <c r="AP163" s="53" t="s">
        <v>148</v>
      </c>
      <c r="AQ163" s="84" t="s">
        <v>319</v>
      </c>
      <c r="AR163" s="53"/>
      <c r="AS163" s="53" t="s">
        <v>320</v>
      </c>
      <c r="AT163" s="53">
        <v>1</v>
      </c>
      <c r="AU163" s="83">
        <v>46202</v>
      </c>
      <c r="AV163" s="53"/>
      <c r="AW163" s="53"/>
    </row>
    <row r="164" spans="3:49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9"/>
        <v>0</v>
      </c>
      <c r="M164" s="26">
        <f t="shared" si="10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67" t="e">
        <f>SUMIFS([2]Up!$J:$J,[2]Up!$D:$D,D164)</f>
        <v>#VALUE!</v>
      </c>
      <c r="AM164" s="82"/>
      <c r="AN164" s="82" t="str">
        <f t="shared" si="11"/>
        <v>PL10</v>
      </c>
      <c r="AO164" s="53" t="str">
        <f t="shared" si="12"/>
        <v/>
      </c>
      <c r="AP164" s="53" t="s">
        <v>148</v>
      </c>
      <c r="AQ164" s="53"/>
      <c r="AR164" s="53"/>
      <c r="AS164" s="53"/>
      <c r="AT164" s="53"/>
      <c r="AU164" s="83"/>
      <c r="AV164" s="53"/>
      <c r="AW164" s="53"/>
    </row>
    <row r="165" spans="3:49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9"/>
        <v>1</v>
      </c>
      <c r="M165" s="26">
        <f t="shared" si="10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67" t="e">
        <f>SUMIFS([2]Up!$J:$J,[2]Up!$D:$D,D165)</f>
        <v>#VALUE!</v>
      </c>
      <c r="AM165" s="82"/>
      <c r="AN165" s="82" t="str">
        <f t="shared" si="11"/>
        <v>PL15</v>
      </c>
      <c r="AO165" s="53" t="str">
        <f t="shared" si="12"/>
        <v/>
      </c>
      <c r="AP165" s="53" t="s">
        <v>148</v>
      </c>
      <c r="AQ165" s="84" t="s">
        <v>200</v>
      </c>
      <c r="AR165" s="53"/>
      <c r="AS165" s="53" t="s">
        <v>201</v>
      </c>
      <c r="AT165" s="53">
        <v>1</v>
      </c>
      <c r="AU165" s="83">
        <v>46201</v>
      </c>
      <c r="AV165" s="53"/>
      <c r="AW165" s="53"/>
    </row>
    <row r="166" spans="3:49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9"/>
        <v>0</v>
      </c>
      <c r="M166" s="26">
        <f t="shared" si="10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67" t="e">
        <f>SUMIFS([2]Up!$J:$J,[2]Up!$D:$D,D166)</f>
        <v>#VALUE!</v>
      </c>
      <c r="AM166" s="82"/>
      <c r="AN166" s="82" t="e">
        <f t="shared" si="11"/>
        <v>#VALUE!</v>
      </c>
      <c r="AO166" s="53" t="str">
        <f t="shared" si="12"/>
        <v/>
      </c>
      <c r="AP166" s="53" t="s">
        <v>154</v>
      </c>
      <c r="AQ166" s="53"/>
      <c r="AR166" s="53"/>
      <c r="AS166" s="53" t="s">
        <v>57</v>
      </c>
      <c r="AT166" s="53">
        <v>1</v>
      </c>
      <c r="AU166" s="83"/>
      <c r="AV166" s="53"/>
      <c r="AW166" s="53"/>
    </row>
    <row r="167" spans="3:49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9"/>
        <v>1</v>
      </c>
      <c r="M167" s="26">
        <f t="shared" si="10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67" t="e">
        <f>SUMIFS([2]Up!$J:$J,[2]Up!$D:$D,D167)</f>
        <v>#VALUE!</v>
      </c>
      <c r="AM167" s="82"/>
      <c r="AN167" s="82" t="str">
        <f t="shared" si="11"/>
        <v>PL15</v>
      </c>
      <c r="AO167" s="53" t="str">
        <f t="shared" si="12"/>
        <v/>
      </c>
      <c r="AP167" s="53" t="s">
        <v>148</v>
      </c>
      <c r="AQ167" s="84" t="s">
        <v>200</v>
      </c>
      <c r="AR167" s="53"/>
      <c r="AS167" s="53" t="s">
        <v>201</v>
      </c>
      <c r="AT167" s="53">
        <v>1</v>
      </c>
      <c r="AU167" s="83">
        <v>46201</v>
      </c>
      <c r="AV167" s="53"/>
      <c r="AW167" s="53"/>
    </row>
    <row r="168" spans="3:49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9"/>
        <v>1</v>
      </c>
      <c r="M168" s="26">
        <f t="shared" si="10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67" t="e">
        <f>SUMIFS([2]Up!$J:$J,[2]Up!$D:$D,D168)</f>
        <v>#VALUE!</v>
      </c>
      <c r="AM168" s="82"/>
      <c r="AN168" s="82" t="str">
        <f t="shared" si="11"/>
        <v>PL20</v>
      </c>
      <c r="AO168" s="53" t="str">
        <f t="shared" si="12"/>
        <v/>
      </c>
      <c r="AP168" s="53" t="s">
        <v>148</v>
      </c>
      <c r="AQ168" s="84" t="s">
        <v>319</v>
      </c>
      <c r="AR168" s="53"/>
      <c r="AS168" s="53" t="s">
        <v>320</v>
      </c>
      <c r="AT168" s="53">
        <v>1</v>
      </c>
      <c r="AU168" s="83">
        <v>46202</v>
      </c>
      <c r="AV168" s="53"/>
      <c r="AW168" s="53"/>
    </row>
    <row r="169" spans="3:49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9"/>
        <v>0</v>
      </c>
      <c r="M169" s="26">
        <f t="shared" si="10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67" t="e">
        <f>SUMIFS([2]Up!$J:$J,[2]Up!$D:$D,D169)</f>
        <v>#VALUE!</v>
      </c>
      <c r="AM169" s="82"/>
      <c r="AN169" s="82" t="str">
        <f t="shared" si="11"/>
        <v>PL10</v>
      </c>
      <c r="AO169" s="53" t="str">
        <f t="shared" si="12"/>
        <v/>
      </c>
      <c r="AP169" s="53" t="s">
        <v>148</v>
      </c>
      <c r="AQ169" s="84" t="s">
        <v>210</v>
      </c>
      <c r="AR169" s="53"/>
      <c r="AS169" s="53" t="s">
        <v>211</v>
      </c>
      <c r="AT169" s="53">
        <v>1</v>
      </c>
      <c r="AU169" s="83">
        <v>46201</v>
      </c>
      <c r="AV169" s="53"/>
      <c r="AW169" s="53"/>
    </row>
    <row r="170" spans="3:49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9"/>
        <v>1</v>
      </c>
      <c r="M170" s="26">
        <f t="shared" si="10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67" t="e">
        <f>SUMIFS([2]Up!$J:$J,[2]Up!$D:$D,D170)</f>
        <v>#VALUE!</v>
      </c>
      <c r="AM170" s="82"/>
      <c r="AN170" s="82" t="str">
        <f t="shared" si="11"/>
        <v>PL15</v>
      </c>
      <c r="AO170" s="53" t="str">
        <f t="shared" si="12"/>
        <v/>
      </c>
      <c r="AP170" s="53" t="s">
        <v>148</v>
      </c>
      <c r="AQ170" s="84" t="s">
        <v>200</v>
      </c>
      <c r="AR170" s="53"/>
      <c r="AS170" s="53" t="s">
        <v>201</v>
      </c>
      <c r="AT170" s="53">
        <v>1</v>
      </c>
      <c r="AU170" s="83">
        <v>46201</v>
      </c>
      <c r="AV170" s="53"/>
      <c r="AW170" s="53"/>
    </row>
    <row r="171" spans="3:49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9"/>
        <v>0</v>
      </c>
      <c r="M171" s="26">
        <f t="shared" si="10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67" t="e">
        <f>SUMIFS([2]Up!$J:$J,[2]Up!$D:$D,D171)</f>
        <v>#VALUE!</v>
      </c>
      <c r="AM171" s="82"/>
      <c r="AN171" s="82" t="e">
        <f t="shared" si="11"/>
        <v>#VALUE!</v>
      </c>
      <c r="AO171" s="53" t="str">
        <f t="shared" si="12"/>
        <v/>
      </c>
      <c r="AP171" s="53" t="s">
        <v>154</v>
      </c>
      <c r="AQ171" s="53"/>
      <c r="AR171" s="53"/>
      <c r="AS171" s="53" t="s">
        <v>57</v>
      </c>
      <c r="AT171" s="53">
        <v>1</v>
      </c>
      <c r="AU171" s="83"/>
      <c r="AV171" s="53"/>
      <c r="AW171" s="53"/>
    </row>
    <row r="172" spans="3:49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9"/>
        <v>1</v>
      </c>
      <c r="M172" s="26">
        <f t="shared" si="10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67" t="e">
        <f>SUMIFS([2]Up!$J:$J,[2]Up!$D:$D,D172)</f>
        <v>#VALUE!</v>
      </c>
      <c r="AM172" s="82"/>
      <c r="AN172" s="82" t="str">
        <f t="shared" si="11"/>
        <v>PL20</v>
      </c>
      <c r="AO172" s="53" t="str">
        <f t="shared" si="12"/>
        <v/>
      </c>
      <c r="AP172" s="53" t="s">
        <v>148</v>
      </c>
      <c r="AQ172" s="84" t="s">
        <v>319</v>
      </c>
      <c r="AR172" s="53"/>
      <c r="AS172" s="53" t="s">
        <v>320</v>
      </c>
      <c r="AT172" s="53">
        <v>1</v>
      </c>
      <c r="AU172" s="83">
        <v>46202</v>
      </c>
      <c r="AV172" s="53"/>
      <c r="AW172" s="53"/>
    </row>
    <row r="173" spans="3:49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9"/>
        <v>1</v>
      </c>
      <c r="M173" s="26">
        <f t="shared" si="10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67" t="e">
        <f>SUMIFS([2]Up!$J:$J,[2]Up!$D:$D,D173)</f>
        <v>#VALUE!</v>
      </c>
      <c r="AM173" s="82"/>
      <c r="AN173" s="82" t="str">
        <f t="shared" si="11"/>
        <v>PL10</v>
      </c>
      <c r="AO173" s="53" t="str">
        <f t="shared" si="12"/>
        <v/>
      </c>
      <c r="AP173" s="53" t="s">
        <v>148</v>
      </c>
      <c r="AQ173" s="84" t="s">
        <v>210</v>
      </c>
      <c r="AR173" s="53"/>
      <c r="AS173" s="53" t="s">
        <v>211</v>
      </c>
      <c r="AT173" s="53">
        <v>1</v>
      </c>
      <c r="AU173" s="83">
        <v>46201</v>
      </c>
      <c r="AV173" s="53"/>
      <c r="AW173" s="53"/>
    </row>
    <row r="174" spans="3:49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9"/>
        <v>1</v>
      </c>
      <c r="M174" s="26">
        <f t="shared" si="10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67" t="e">
        <f>SUMIFS([2]Up!$J:$J,[2]Up!$D:$D,D174)</f>
        <v>#VALUE!</v>
      </c>
      <c r="AM174" s="82"/>
      <c r="AN174" s="82" t="str">
        <f t="shared" si="11"/>
        <v>PL15</v>
      </c>
      <c r="AO174" s="53" t="str">
        <f t="shared" si="12"/>
        <v/>
      </c>
      <c r="AP174" s="53" t="s">
        <v>148</v>
      </c>
      <c r="AQ174" s="84" t="s">
        <v>200</v>
      </c>
      <c r="AR174" s="53"/>
      <c r="AS174" s="53" t="s">
        <v>201</v>
      </c>
      <c r="AT174" s="53">
        <v>1</v>
      </c>
      <c r="AU174" s="83">
        <v>46201</v>
      </c>
      <c r="AV174" s="53"/>
      <c r="AW174" s="53"/>
    </row>
    <row r="175" spans="3:49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9"/>
        <v>1</v>
      </c>
      <c r="M175" s="26">
        <f t="shared" si="10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67" t="e">
        <f>SUMIFS([2]Up!$J:$J,[2]Up!$D:$D,D175)</f>
        <v>#VALUE!</v>
      </c>
      <c r="AM175" s="82"/>
      <c r="AN175" s="82" t="str">
        <f t="shared" si="11"/>
        <v>PL15</v>
      </c>
      <c r="AO175" s="53" t="str">
        <f t="shared" si="12"/>
        <v/>
      </c>
      <c r="AP175" s="53" t="s">
        <v>148</v>
      </c>
      <c r="AQ175" s="84" t="s">
        <v>200</v>
      </c>
      <c r="AR175" s="53"/>
      <c r="AS175" s="53" t="s">
        <v>201</v>
      </c>
      <c r="AT175" s="53">
        <v>1</v>
      </c>
      <c r="AU175" s="83">
        <v>46201</v>
      </c>
      <c r="AV175" s="53"/>
      <c r="AW175" s="53"/>
    </row>
    <row r="176" spans="3:49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9"/>
        <v>0</v>
      </c>
      <c r="M176" s="26">
        <f t="shared" si="10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67" t="e">
        <f>SUMIFS([2]Up!$J:$J,[2]Up!$D:$D,D176)</f>
        <v>#VALUE!</v>
      </c>
      <c r="AM176" s="82"/>
      <c r="AN176" s="82" t="e">
        <f t="shared" si="11"/>
        <v>#VALUE!</v>
      </c>
      <c r="AO176" s="53" t="str">
        <f t="shared" si="12"/>
        <v/>
      </c>
      <c r="AP176" s="53" t="s">
        <v>154</v>
      </c>
      <c r="AQ176" s="53"/>
      <c r="AR176" s="53"/>
      <c r="AS176" s="53" t="s">
        <v>57</v>
      </c>
      <c r="AT176" s="53">
        <v>1</v>
      </c>
      <c r="AU176" s="83"/>
      <c r="AV176" s="53"/>
      <c r="AW176" s="53"/>
    </row>
    <row r="177" spans="3:49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9"/>
        <v>1</v>
      </c>
      <c r="M177" s="26">
        <f t="shared" si="10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67" t="e">
        <f>SUMIFS([2]Up!$J:$J,[2]Up!$D:$D,D177)</f>
        <v>#VALUE!</v>
      </c>
      <c r="AM177" s="82"/>
      <c r="AN177" s="82" t="str">
        <f t="shared" si="11"/>
        <v>PL20</v>
      </c>
      <c r="AO177" s="53" t="str">
        <f t="shared" si="12"/>
        <v/>
      </c>
      <c r="AP177" s="53" t="s">
        <v>148</v>
      </c>
      <c r="AQ177" s="84" t="s">
        <v>319</v>
      </c>
      <c r="AR177" s="53"/>
      <c r="AS177" s="53" t="s">
        <v>320</v>
      </c>
      <c r="AT177" s="53">
        <v>1</v>
      </c>
      <c r="AU177" s="83">
        <v>46202</v>
      </c>
      <c r="AV177" s="53"/>
      <c r="AW177" s="53"/>
    </row>
    <row r="178" spans="3:49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9"/>
        <v>1</v>
      </c>
      <c r="M178" s="26">
        <f t="shared" si="10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67" t="e">
        <f>SUMIFS([2]Up!$J:$J,[2]Up!$D:$D,D178)</f>
        <v>#VALUE!</v>
      </c>
      <c r="AM178" s="82"/>
      <c r="AN178" s="82" t="str">
        <f t="shared" si="11"/>
        <v>PL15</v>
      </c>
      <c r="AO178" s="53" t="str">
        <f t="shared" si="12"/>
        <v/>
      </c>
      <c r="AP178" s="53" t="s">
        <v>148</v>
      </c>
      <c r="AQ178" s="84" t="s">
        <v>200</v>
      </c>
      <c r="AR178" s="53"/>
      <c r="AS178" s="53" t="s">
        <v>201</v>
      </c>
      <c r="AT178" s="53">
        <v>1</v>
      </c>
      <c r="AU178" s="83">
        <v>46201</v>
      </c>
      <c r="AV178" s="53"/>
      <c r="AW178" s="53"/>
    </row>
    <row r="179" spans="3:49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9"/>
        <v>1</v>
      </c>
      <c r="M179" s="26">
        <f t="shared" si="10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67" t="e">
        <f>SUMIFS([2]Up!$J:$J,[2]Up!$D:$D,D179)</f>
        <v>#VALUE!</v>
      </c>
      <c r="AM179" s="82"/>
      <c r="AN179" s="82" t="str">
        <f t="shared" si="11"/>
        <v>PL10</v>
      </c>
      <c r="AO179" s="53" t="str">
        <f t="shared" si="12"/>
        <v/>
      </c>
      <c r="AP179" s="53" t="s">
        <v>148</v>
      </c>
      <c r="AQ179" s="84" t="s">
        <v>210</v>
      </c>
      <c r="AR179" s="53"/>
      <c r="AS179" s="53" t="s">
        <v>211</v>
      </c>
      <c r="AT179" s="53">
        <v>1</v>
      </c>
      <c r="AU179" s="83">
        <v>46201</v>
      </c>
      <c r="AV179" s="53"/>
      <c r="AW179" s="53"/>
    </row>
    <row r="180" spans="3:49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9"/>
        <v>1</v>
      </c>
      <c r="M180" s="26">
        <f t="shared" si="10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67" t="e">
        <f>SUMIFS([2]Up!$J:$J,[2]Up!$D:$D,D180)</f>
        <v>#VALUE!</v>
      </c>
      <c r="AM180" s="82"/>
      <c r="AN180" s="82" t="str">
        <f t="shared" si="11"/>
        <v>PL15</v>
      </c>
      <c r="AO180" s="53" t="str">
        <f t="shared" si="12"/>
        <v/>
      </c>
      <c r="AP180" s="53" t="s">
        <v>148</v>
      </c>
      <c r="AQ180" s="84" t="s">
        <v>200</v>
      </c>
      <c r="AR180" s="53"/>
      <c r="AS180" s="53" t="s">
        <v>201</v>
      </c>
      <c r="AT180" s="53">
        <v>1</v>
      </c>
      <c r="AU180" s="83">
        <v>46201</v>
      </c>
      <c r="AV180" s="53"/>
      <c r="AW180" s="53"/>
    </row>
    <row r="181" spans="3:49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9"/>
        <v>1</v>
      </c>
      <c r="M181" s="26">
        <f t="shared" si="10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/>
      <c r="AL181" s="67" t="e">
        <f>SUMIFS([2]Up!$J:$J,[2]Up!$D:$D,D181)</f>
        <v>#VALUE!</v>
      </c>
      <c r="AM181" s="82" t="s">
        <v>2239</v>
      </c>
      <c r="AN181" s="82" t="e">
        <f t="shared" si="11"/>
        <v>#VALUE!</v>
      </c>
      <c r="AO181" s="53" t="str">
        <f t="shared" si="12"/>
        <v/>
      </c>
      <c r="AP181" s="53" t="s">
        <v>154</v>
      </c>
      <c r="AQ181" s="53"/>
      <c r="AR181" s="53"/>
      <c r="AS181" s="53" t="s">
        <v>57</v>
      </c>
      <c r="AT181" s="53">
        <v>1</v>
      </c>
      <c r="AU181" s="83"/>
      <c r="AV181" s="53"/>
      <c r="AW181" s="53"/>
    </row>
    <row r="182" spans="3:49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9"/>
        <v>1</v>
      </c>
      <c r="M182" s="26">
        <f t="shared" si="10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67" t="e">
        <f>SUMIFS([2]Up!$J:$J,[2]Up!$D:$D,D182)</f>
        <v>#VALUE!</v>
      </c>
      <c r="AM182" s="82"/>
      <c r="AN182" s="82" t="str">
        <f t="shared" si="11"/>
        <v>PL20</v>
      </c>
      <c r="AO182" s="53" t="str">
        <f t="shared" si="12"/>
        <v/>
      </c>
      <c r="AP182" s="53" t="s">
        <v>148</v>
      </c>
      <c r="AQ182" s="84" t="s">
        <v>319</v>
      </c>
      <c r="AR182" s="53"/>
      <c r="AS182" s="53" t="s">
        <v>320</v>
      </c>
      <c r="AT182" s="53">
        <v>1</v>
      </c>
      <c r="AU182" s="83">
        <v>46202</v>
      </c>
      <c r="AV182" s="53"/>
      <c r="AW182" s="53"/>
    </row>
    <row r="183" spans="3:49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9"/>
        <v>1</v>
      </c>
      <c r="M183" s="26">
        <f t="shared" si="10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67" t="e">
        <f>SUMIFS([2]Up!$J:$J,[2]Up!$D:$D,D183)</f>
        <v>#VALUE!</v>
      </c>
      <c r="AM183" s="82"/>
      <c r="AN183" s="82" t="str">
        <f t="shared" si="11"/>
        <v>PL10</v>
      </c>
      <c r="AO183" s="53" t="str">
        <f t="shared" si="12"/>
        <v/>
      </c>
      <c r="AP183" s="53" t="s">
        <v>148</v>
      </c>
      <c r="AQ183" s="84" t="s">
        <v>210</v>
      </c>
      <c r="AR183" s="53"/>
      <c r="AS183" s="53" t="s">
        <v>211</v>
      </c>
      <c r="AT183" s="53">
        <v>1</v>
      </c>
      <c r="AU183" s="83">
        <v>46201</v>
      </c>
      <c r="AV183" s="53"/>
      <c r="AW183" s="53"/>
    </row>
    <row r="184" spans="3:49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9"/>
        <v>1</v>
      </c>
      <c r="M184" s="26">
        <f t="shared" si="10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67" t="e">
        <f>SUMIFS([2]Up!$J:$J,[2]Up!$D:$D,D184)</f>
        <v>#VALUE!</v>
      </c>
      <c r="AM184" s="82"/>
      <c r="AN184" s="82" t="str">
        <f t="shared" si="11"/>
        <v>PL15</v>
      </c>
      <c r="AO184" s="53" t="str">
        <f t="shared" si="12"/>
        <v/>
      </c>
      <c r="AP184" s="53" t="s">
        <v>148</v>
      </c>
      <c r="AQ184" s="84" t="s">
        <v>200</v>
      </c>
      <c r="AR184" s="53"/>
      <c r="AS184" s="53" t="s">
        <v>201</v>
      </c>
      <c r="AT184" s="53">
        <v>1</v>
      </c>
      <c r="AU184" s="83">
        <v>46201</v>
      </c>
      <c r="AV184" s="53"/>
      <c r="AW184" s="53"/>
    </row>
    <row r="185" spans="3:49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9"/>
        <v>1</v>
      </c>
      <c r="M185" s="26">
        <f t="shared" si="10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67" t="e">
        <f>SUMIFS([2]Up!$J:$J,[2]Up!$D:$D,D185)</f>
        <v>#VALUE!</v>
      </c>
      <c r="AM185" s="82"/>
      <c r="AN185" s="82" t="str">
        <f t="shared" si="11"/>
        <v>PL15</v>
      </c>
      <c r="AO185" s="53" t="str">
        <f t="shared" si="12"/>
        <v/>
      </c>
      <c r="AP185" s="53" t="s">
        <v>148</v>
      </c>
      <c r="AQ185" s="84" t="s">
        <v>200</v>
      </c>
      <c r="AR185" s="53"/>
      <c r="AS185" s="53" t="s">
        <v>201</v>
      </c>
      <c r="AT185" s="53">
        <v>1</v>
      </c>
      <c r="AU185" s="83">
        <v>46201</v>
      </c>
      <c r="AV185" s="53"/>
      <c r="AW185" s="53"/>
    </row>
    <row r="186" spans="3:49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9"/>
        <v>0</v>
      </c>
      <c r="M186" s="26">
        <f t="shared" si="10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67" t="e">
        <f>SUMIFS([2]Up!$J:$J,[2]Up!$D:$D,D186)</f>
        <v>#VALUE!</v>
      </c>
      <c r="AM186" s="82"/>
      <c r="AN186" s="82" t="e">
        <f t="shared" si="11"/>
        <v>#VALUE!</v>
      </c>
      <c r="AO186" s="53" t="str">
        <f t="shared" si="12"/>
        <v/>
      </c>
      <c r="AP186" s="53" t="s">
        <v>154</v>
      </c>
      <c r="AQ186" s="53"/>
      <c r="AR186" s="53"/>
      <c r="AS186" s="53" t="s">
        <v>57</v>
      </c>
      <c r="AT186" s="53">
        <v>1</v>
      </c>
      <c r="AU186" s="83"/>
      <c r="AV186" s="53"/>
      <c r="AW186" s="53"/>
    </row>
    <row r="187" spans="3:49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9"/>
        <v>1</v>
      </c>
      <c r="M187" s="26">
        <f t="shared" si="10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67" t="e">
        <f>SUMIFS([2]Up!$J:$J,[2]Up!$D:$D,D187)</f>
        <v>#VALUE!</v>
      </c>
      <c r="AM187" s="82"/>
      <c r="AN187" s="82" t="str">
        <f t="shared" si="11"/>
        <v>PL20</v>
      </c>
      <c r="AO187" s="53" t="str">
        <f t="shared" si="12"/>
        <v/>
      </c>
      <c r="AP187" s="53" t="s">
        <v>148</v>
      </c>
      <c r="AQ187" s="84" t="s">
        <v>319</v>
      </c>
      <c r="AR187" s="53"/>
      <c r="AS187" s="53" t="s">
        <v>320</v>
      </c>
      <c r="AT187" s="53">
        <v>1</v>
      </c>
      <c r="AU187" s="83">
        <v>46202</v>
      </c>
      <c r="AV187" s="53"/>
      <c r="AW187" s="53"/>
    </row>
    <row r="188" spans="3:49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9"/>
        <v>1</v>
      </c>
      <c r="M188" s="26">
        <f t="shared" si="10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67" t="e">
        <f>SUMIFS([2]Up!$J:$J,[2]Up!$D:$D,D188)</f>
        <v>#VALUE!</v>
      </c>
      <c r="AM188" s="82"/>
      <c r="AN188" s="82" t="str">
        <f t="shared" si="11"/>
        <v>PL15</v>
      </c>
      <c r="AO188" s="53" t="str">
        <f t="shared" si="12"/>
        <v/>
      </c>
      <c r="AP188" s="53" t="s">
        <v>148</v>
      </c>
      <c r="AQ188" s="84" t="s">
        <v>200</v>
      </c>
      <c r="AR188" s="53"/>
      <c r="AS188" s="53" t="s">
        <v>201</v>
      </c>
      <c r="AT188" s="53">
        <v>1</v>
      </c>
      <c r="AU188" s="83">
        <v>46201</v>
      </c>
      <c r="AV188" s="53"/>
      <c r="AW188" s="53"/>
    </row>
    <row r="189" spans="3:49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9"/>
        <v>1</v>
      </c>
      <c r="M189" s="26">
        <f t="shared" si="10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67" t="e">
        <f>SUMIFS([2]Up!$J:$J,[2]Up!$D:$D,D189)</f>
        <v>#VALUE!</v>
      </c>
      <c r="AM189" s="82"/>
      <c r="AN189" s="82" t="str">
        <f t="shared" si="11"/>
        <v>PL10</v>
      </c>
      <c r="AO189" s="53" t="str">
        <f t="shared" si="12"/>
        <v/>
      </c>
      <c r="AP189" s="53" t="s">
        <v>148</v>
      </c>
      <c r="AQ189" s="84" t="s">
        <v>210</v>
      </c>
      <c r="AR189" s="53"/>
      <c r="AS189" s="53" t="s">
        <v>211</v>
      </c>
      <c r="AT189" s="53">
        <v>1</v>
      </c>
      <c r="AU189" s="83">
        <v>46201</v>
      </c>
      <c r="AV189" s="53"/>
      <c r="AW189" s="53"/>
    </row>
    <row r="190" spans="3:49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9"/>
        <v>1</v>
      </c>
      <c r="M190" s="26">
        <f t="shared" si="10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67" t="e">
        <f>SUMIFS([2]Up!$J:$J,[2]Up!$D:$D,D190)</f>
        <v>#VALUE!</v>
      </c>
      <c r="AM190" s="82"/>
      <c r="AN190" s="82" t="str">
        <f t="shared" si="11"/>
        <v>PL15</v>
      </c>
      <c r="AO190" s="53" t="str">
        <f t="shared" si="12"/>
        <v/>
      </c>
      <c r="AP190" s="53" t="s">
        <v>148</v>
      </c>
      <c r="AQ190" s="84" t="s">
        <v>200</v>
      </c>
      <c r="AR190" s="53"/>
      <c r="AS190" s="53" t="s">
        <v>201</v>
      </c>
      <c r="AT190" s="53">
        <v>1</v>
      </c>
      <c r="AU190" s="83">
        <v>46201</v>
      </c>
      <c r="AV190" s="53"/>
      <c r="AW190" s="53"/>
    </row>
    <row r="191" spans="3:49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9"/>
        <v>0</v>
      </c>
      <c r="M191" s="26">
        <f t="shared" si="10"/>
        <v>1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67" t="e">
        <f>SUMIFS([2]Up!$J:$J,[2]Up!$D:$D,D191)</f>
        <v>#VALUE!</v>
      </c>
      <c r="AM191" s="82"/>
      <c r="AN191" s="82" t="e">
        <f t="shared" si="11"/>
        <v>#VALUE!</v>
      </c>
      <c r="AO191" s="53" t="str">
        <f t="shared" si="12"/>
        <v/>
      </c>
      <c r="AP191" s="53" t="s">
        <v>154</v>
      </c>
      <c r="AQ191" s="53"/>
      <c r="AR191" s="53"/>
      <c r="AS191" s="53" t="s">
        <v>57</v>
      </c>
      <c r="AT191" s="53">
        <v>1</v>
      </c>
      <c r="AU191" s="83"/>
      <c r="AV191" s="53"/>
      <c r="AW191" s="53"/>
    </row>
    <row r="192" spans="3:49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9"/>
        <v>0</v>
      </c>
      <c r="M192" s="26">
        <f t="shared" si="10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67" t="e">
        <f>SUMIFS([2]Up!$J:$J,[2]Up!$D:$D,D192)</f>
        <v>#VALUE!</v>
      </c>
      <c r="AM192" s="82"/>
      <c r="AN192" s="82" t="str">
        <f t="shared" si="11"/>
        <v>PL10</v>
      </c>
      <c r="AO192" s="53" t="str">
        <f t="shared" si="12"/>
        <v/>
      </c>
      <c r="AP192" s="53" t="s">
        <v>148</v>
      </c>
      <c r="AQ192" s="53"/>
      <c r="AR192" s="53"/>
      <c r="AS192" s="53"/>
      <c r="AT192" s="53"/>
      <c r="AU192" s="83"/>
      <c r="AV192" s="53"/>
      <c r="AW192" s="53"/>
    </row>
    <row r="193" spans="3:49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9"/>
        <v>0</v>
      </c>
      <c r="M193" s="26">
        <f t="shared" si="10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67" t="e">
        <f>SUMIFS([2]Up!$J:$J,[2]Up!$D:$D,D193)</f>
        <v>#VALUE!</v>
      </c>
      <c r="AM193" s="82"/>
      <c r="AN193" s="82" t="e">
        <f t="shared" si="11"/>
        <v>#VALUE!</v>
      </c>
      <c r="AO193" s="53" t="str">
        <f t="shared" si="12"/>
        <v/>
      </c>
      <c r="AP193" s="53" t="s">
        <v>154</v>
      </c>
      <c r="AQ193" s="53"/>
      <c r="AR193" s="53"/>
      <c r="AS193" s="53"/>
      <c r="AT193" s="53"/>
      <c r="AU193" s="83"/>
      <c r="AV193" s="53"/>
      <c r="AW193" s="53"/>
    </row>
    <row r="194" spans="3:49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9"/>
        <v>0</v>
      </c>
      <c r="M194" s="26">
        <f t="shared" si="10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67" t="e">
        <f>SUMIFS([2]Up!$J:$J,[2]Up!$D:$D,D194)</f>
        <v>#VALUE!</v>
      </c>
      <c r="AM194" s="82"/>
      <c r="AN194" s="82" t="str">
        <f t="shared" si="11"/>
        <v>PL15</v>
      </c>
      <c r="AO194" s="53" t="str">
        <f t="shared" si="12"/>
        <v/>
      </c>
      <c r="AP194" s="53" t="s">
        <v>148</v>
      </c>
      <c r="AQ194" s="53"/>
      <c r="AR194" s="53"/>
      <c r="AS194" s="53"/>
      <c r="AT194" s="53"/>
      <c r="AU194" s="83"/>
      <c r="AV194" s="53"/>
      <c r="AW194" s="53"/>
    </row>
    <row r="195" spans="3:49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9"/>
        <v>0</v>
      </c>
      <c r="M195" s="26">
        <f t="shared" si="10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67" t="e">
        <f>SUMIFS([2]Up!$J:$J,[2]Up!$D:$D,D195)</f>
        <v>#VALUE!</v>
      </c>
      <c r="AM195" s="82"/>
      <c r="AN195" s="82" t="str">
        <f t="shared" si="11"/>
        <v>PL15</v>
      </c>
      <c r="AO195" s="53" t="str">
        <f t="shared" si="12"/>
        <v/>
      </c>
      <c r="AP195" s="53" t="s">
        <v>148</v>
      </c>
      <c r="AQ195" s="53"/>
      <c r="AR195" s="53"/>
      <c r="AS195" s="53"/>
      <c r="AT195" s="53"/>
      <c r="AU195" s="83"/>
      <c r="AV195" s="53"/>
      <c r="AW195" s="53"/>
    </row>
    <row r="196" spans="3:49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9"/>
        <v>0</v>
      </c>
      <c r="M196" s="26">
        <f t="shared" si="10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67" t="e">
        <f>SUMIFS([2]Up!$J:$J,[2]Up!$D:$D,D196)</f>
        <v>#VALUE!</v>
      </c>
      <c r="AM196" s="82"/>
      <c r="AN196" s="82" t="str">
        <f t="shared" si="11"/>
        <v>PL15</v>
      </c>
      <c r="AO196" s="53" t="str">
        <f t="shared" si="12"/>
        <v/>
      </c>
      <c r="AP196" s="53" t="s">
        <v>148</v>
      </c>
      <c r="AQ196" s="53"/>
      <c r="AR196" s="53"/>
      <c r="AS196" s="53"/>
      <c r="AT196" s="53"/>
      <c r="AU196" s="83"/>
      <c r="AV196" s="53"/>
      <c r="AW196" s="53"/>
    </row>
    <row r="197" spans="3:49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9"/>
        <v>0</v>
      </c>
      <c r="M197" s="26">
        <f t="shared" si="10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67" t="e">
        <f>SUMIFS([2]Up!$J:$J,[2]Up!$D:$D,D197)</f>
        <v>#VALUE!</v>
      </c>
      <c r="AM197" s="82"/>
      <c r="AN197" s="82" t="e">
        <f t="shared" si="11"/>
        <v>#VALUE!</v>
      </c>
      <c r="AO197" s="53" t="str">
        <f t="shared" si="12"/>
        <v/>
      </c>
      <c r="AP197" s="53" t="s">
        <v>148</v>
      </c>
      <c r="AQ197" s="53"/>
      <c r="AR197" s="53"/>
      <c r="AS197" s="53"/>
      <c r="AT197" s="53"/>
      <c r="AU197" s="83"/>
      <c r="AV197" s="53"/>
      <c r="AW197" s="53"/>
    </row>
    <row r="198" spans="3:49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9"/>
        <v>0</v>
      </c>
      <c r="M198" s="26">
        <f t="shared" si="10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67" t="e">
        <f>SUMIFS([2]Up!$J:$J,[2]Up!$D:$D,D198)</f>
        <v>#VALUE!</v>
      </c>
      <c r="AM198" s="82"/>
      <c r="AN198" s="82" t="str">
        <f t="shared" si="11"/>
        <v>PL10</v>
      </c>
      <c r="AO198" s="53" t="str">
        <f t="shared" si="12"/>
        <v/>
      </c>
      <c r="AP198" s="53" t="s">
        <v>148</v>
      </c>
      <c r="AQ198" s="53"/>
      <c r="AR198" s="53"/>
      <c r="AS198" s="53"/>
      <c r="AT198" s="53"/>
      <c r="AU198" s="83"/>
      <c r="AV198" s="53"/>
      <c r="AW198" s="53"/>
    </row>
    <row r="199" spans="3:49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9"/>
        <v>0</v>
      </c>
      <c r="M199" s="26">
        <f t="shared" si="10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67" t="e">
        <f>SUMIFS([2]Up!$J:$J,[2]Up!$D:$D,D199)</f>
        <v>#VALUE!</v>
      </c>
      <c r="AM199" s="82"/>
      <c r="AN199" s="82" t="str">
        <f t="shared" si="11"/>
        <v>PL10</v>
      </c>
      <c r="AO199" s="53" t="str">
        <f t="shared" si="12"/>
        <v/>
      </c>
      <c r="AP199" s="53" t="s">
        <v>148</v>
      </c>
      <c r="AQ199" s="53"/>
      <c r="AR199" s="53"/>
      <c r="AS199" s="53"/>
      <c r="AT199" s="53"/>
      <c r="AU199" s="83"/>
      <c r="AV199" s="53"/>
      <c r="AW199" s="53"/>
    </row>
    <row r="200" spans="3:49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9"/>
        <v>0</v>
      </c>
      <c r="M200" s="26">
        <f t="shared" si="10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67" t="e">
        <f>SUMIFS([2]Up!$J:$J,[2]Up!$D:$D,D200)</f>
        <v>#VALUE!</v>
      </c>
      <c r="AM200" s="82"/>
      <c r="AN200" s="82" t="str">
        <f t="shared" si="11"/>
        <v>PL12</v>
      </c>
      <c r="AO200" s="53" t="str">
        <f t="shared" si="12"/>
        <v/>
      </c>
      <c r="AP200" s="53" t="s">
        <v>148</v>
      </c>
      <c r="AQ200" s="53"/>
      <c r="AR200" s="53"/>
      <c r="AS200" s="53"/>
      <c r="AT200" s="53"/>
      <c r="AU200" s="83"/>
      <c r="AV200" s="53"/>
      <c r="AW200" s="53"/>
    </row>
    <row r="201" spans="3:49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9"/>
        <v>0</v>
      </c>
      <c r="M201" s="26">
        <f t="shared" si="10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67" t="e">
        <f>SUMIFS([2]Up!$J:$J,[2]Up!$D:$D,D201)</f>
        <v>#VALUE!</v>
      </c>
      <c r="AM201" s="82"/>
      <c r="AN201" s="82" t="str">
        <f t="shared" si="11"/>
        <v>PL12</v>
      </c>
      <c r="AO201" s="53" t="str">
        <f t="shared" si="12"/>
        <v/>
      </c>
      <c r="AP201" s="53" t="s">
        <v>148</v>
      </c>
      <c r="AQ201" s="53"/>
      <c r="AR201" s="53"/>
      <c r="AS201" s="53"/>
      <c r="AT201" s="53"/>
      <c r="AU201" s="83"/>
      <c r="AV201" s="53"/>
      <c r="AW201" s="53"/>
    </row>
    <row r="202" spans="3:49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9"/>
        <v>0</v>
      </c>
      <c r="M202" s="26">
        <f t="shared" si="10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67" t="e">
        <f>SUMIFS([2]Up!$J:$J,[2]Up!$D:$D,D202)</f>
        <v>#VALUE!</v>
      </c>
      <c r="AM202" s="82"/>
      <c r="AN202" s="82" t="str">
        <f t="shared" si="11"/>
        <v>PL20</v>
      </c>
      <c r="AO202" s="53" t="str">
        <f t="shared" si="12"/>
        <v/>
      </c>
      <c r="AP202" s="53" t="s">
        <v>148</v>
      </c>
      <c r="AQ202" s="53"/>
      <c r="AR202" s="53"/>
      <c r="AS202" s="53"/>
      <c r="AT202" s="53"/>
      <c r="AU202" s="83"/>
      <c r="AV202" s="53"/>
      <c r="AW202" s="53"/>
    </row>
    <row r="203" spans="3:49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9"/>
        <v>0</v>
      </c>
      <c r="M203" s="26">
        <f t="shared" si="10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67" t="e">
        <f>SUMIFS([2]Up!$J:$J,[2]Up!$D:$D,D203)</f>
        <v>#VALUE!</v>
      </c>
      <c r="AM203" s="82"/>
      <c r="AN203" s="82" t="str">
        <f t="shared" si="11"/>
        <v>PL20</v>
      </c>
      <c r="AO203" s="53" t="str">
        <f t="shared" si="12"/>
        <v/>
      </c>
      <c r="AP203" s="53" t="s">
        <v>148</v>
      </c>
      <c r="AQ203" s="53"/>
      <c r="AR203" s="53"/>
      <c r="AS203" s="53"/>
      <c r="AT203" s="53"/>
      <c r="AU203" s="83"/>
      <c r="AV203" s="53"/>
      <c r="AW203" s="53"/>
    </row>
    <row r="204" spans="3:49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9"/>
        <v>0</v>
      </c>
      <c r="M204" s="26">
        <f t="shared" si="10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67" t="e">
        <f>SUMIFS([2]Up!$J:$J,[2]Up!$D:$D,D204)</f>
        <v>#VALUE!</v>
      </c>
      <c r="AM204" s="82"/>
      <c r="AN204" s="82" t="str">
        <f t="shared" si="11"/>
        <v>PL15</v>
      </c>
      <c r="AO204" s="53" t="str">
        <f t="shared" si="12"/>
        <v/>
      </c>
      <c r="AP204" s="53" t="s">
        <v>148</v>
      </c>
      <c r="AQ204" s="53"/>
      <c r="AR204" s="53"/>
      <c r="AS204" s="53"/>
      <c r="AT204" s="53"/>
      <c r="AU204" s="83"/>
      <c r="AV204" s="53"/>
      <c r="AW204" s="53"/>
    </row>
    <row r="205" spans="3:49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9"/>
        <v>0</v>
      </c>
      <c r="M205" s="26">
        <f t="shared" si="10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67" t="e">
        <f>SUMIFS([2]Up!$J:$J,[2]Up!$D:$D,D205)</f>
        <v>#VALUE!</v>
      </c>
      <c r="AM205" s="82"/>
      <c r="AN205" s="82" t="str">
        <f t="shared" si="11"/>
        <v>PL10</v>
      </c>
      <c r="AO205" s="53" t="str">
        <f t="shared" si="12"/>
        <v/>
      </c>
      <c r="AP205" s="53" t="s">
        <v>148</v>
      </c>
      <c r="AQ205" s="53"/>
      <c r="AR205" s="53"/>
      <c r="AS205" s="53"/>
      <c r="AT205" s="53"/>
      <c r="AU205" s="83"/>
      <c r="AV205" s="53"/>
      <c r="AW205" s="53"/>
    </row>
    <row r="206" spans="3:49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9"/>
        <v>0</v>
      </c>
      <c r="M206" s="26">
        <f t="shared" si="10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67" t="e">
        <f>SUMIFS([2]Up!$J:$J,[2]Up!$D:$D,D206)</f>
        <v>#VALUE!</v>
      </c>
      <c r="AM206" s="82"/>
      <c r="AN206" s="82" t="str">
        <f t="shared" si="11"/>
        <v>PL10</v>
      </c>
      <c r="AO206" s="53" t="str">
        <f t="shared" si="12"/>
        <v/>
      </c>
      <c r="AP206" s="53" t="s">
        <v>148</v>
      </c>
      <c r="AQ206" s="53"/>
      <c r="AR206" s="53"/>
      <c r="AS206" s="53"/>
      <c r="AT206" s="53"/>
      <c r="AU206" s="83"/>
      <c r="AV206" s="53"/>
      <c r="AW206" s="53"/>
    </row>
    <row r="207" spans="3:49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9"/>
        <v>0</v>
      </c>
      <c r="M207" s="26">
        <f t="shared" si="10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67" t="e">
        <f>SUMIFS([2]Up!$J:$J,[2]Up!$D:$D,D207)</f>
        <v>#VALUE!</v>
      </c>
      <c r="AM207" s="82"/>
      <c r="AN207" s="82" t="str">
        <f t="shared" si="11"/>
        <v>PL10</v>
      </c>
      <c r="AO207" s="53" t="str">
        <f t="shared" si="12"/>
        <v/>
      </c>
      <c r="AP207" s="53" t="s">
        <v>148</v>
      </c>
      <c r="AQ207" s="53"/>
      <c r="AR207" s="53"/>
      <c r="AS207" s="53"/>
      <c r="AT207" s="53"/>
      <c r="AU207" s="83"/>
      <c r="AV207" s="53"/>
      <c r="AW207" s="53"/>
    </row>
    <row r="208" spans="3:49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9"/>
        <v>0</v>
      </c>
      <c r="M208" s="26">
        <f t="shared" si="10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67" t="e">
        <f>SUMIFS([2]Up!$J:$J,[2]Up!$D:$D,D208)</f>
        <v>#VALUE!</v>
      </c>
      <c r="AM208" s="82"/>
      <c r="AN208" s="82" t="e">
        <f t="shared" si="11"/>
        <v>#VALUE!</v>
      </c>
      <c r="AO208" s="53" t="str">
        <f t="shared" si="12"/>
        <v/>
      </c>
      <c r="AP208" s="53" t="s">
        <v>148</v>
      </c>
      <c r="AQ208" s="53"/>
      <c r="AR208" s="53"/>
      <c r="AS208" s="53"/>
      <c r="AT208" s="53"/>
      <c r="AU208" s="83"/>
      <c r="AV208" s="53"/>
      <c r="AW208" s="53"/>
    </row>
    <row r="209" spans="3:49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9"/>
        <v>0</v>
      </c>
      <c r="M209" s="26">
        <f t="shared" si="10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67" t="e">
        <f>SUMIFS([2]Up!$J:$J,[2]Up!$D:$D,D209)</f>
        <v>#VALUE!</v>
      </c>
      <c r="AM209" s="82"/>
      <c r="AN209" s="82" t="str">
        <f t="shared" si="11"/>
        <v>PL12</v>
      </c>
      <c r="AO209" s="53" t="str">
        <f t="shared" si="12"/>
        <v/>
      </c>
      <c r="AP209" s="53" t="s">
        <v>148</v>
      </c>
      <c r="AQ209" s="53"/>
      <c r="AR209" s="53"/>
      <c r="AS209" s="53"/>
      <c r="AT209" s="53"/>
      <c r="AU209" s="83"/>
      <c r="AV209" s="53"/>
      <c r="AW209" s="53"/>
    </row>
    <row r="210" spans="3:49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9"/>
        <v>0</v>
      </c>
      <c r="M210" s="26">
        <f t="shared" si="10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67" t="e">
        <f>SUMIFS([2]Up!$J:$J,[2]Up!$D:$D,D210)</f>
        <v>#VALUE!</v>
      </c>
      <c r="AM210" s="82"/>
      <c r="AN210" s="82" t="str">
        <f t="shared" si="11"/>
        <v>PL20</v>
      </c>
      <c r="AO210" s="53" t="str">
        <f t="shared" si="12"/>
        <v/>
      </c>
      <c r="AP210" s="53" t="s">
        <v>148</v>
      </c>
      <c r="AQ210" s="53"/>
      <c r="AR210" s="53"/>
      <c r="AS210" s="53"/>
      <c r="AT210" s="53"/>
      <c r="AU210" s="83"/>
      <c r="AV210" s="53"/>
      <c r="AW210" s="53"/>
    </row>
    <row r="211" spans="3:49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9"/>
        <v>0</v>
      </c>
      <c r="M211" s="26">
        <f t="shared" si="10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67" t="e">
        <f>SUMIFS([2]Up!$J:$J,[2]Up!$D:$D,D211)</f>
        <v>#VALUE!</v>
      </c>
      <c r="AM211" s="82"/>
      <c r="AN211" s="82" t="str">
        <f t="shared" si="11"/>
        <v>PL20</v>
      </c>
      <c r="AO211" s="53" t="str">
        <f t="shared" si="12"/>
        <v/>
      </c>
      <c r="AP211" s="53" t="s">
        <v>148</v>
      </c>
      <c r="AQ211" s="53"/>
      <c r="AR211" s="53"/>
      <c r="AS211" s="53"/>
      <c r="AT211" s="53"/>
      <c r="AU211" s="83"/>
      <c r="AV211" s="53"/>
      <c r="AW211" s="53"/>
    </row>
    <row r="212" spans="3:49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9"/>
        <v>0</v>
      </c>
      <c r="M212" s="26">
        <f t="shared" si="10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67" t="e">
        <f>SUMIFS([2]Up!$J:$J,[2]Up!$D:$D,D212)</f>
        <v>#VALUE!</v>
      </c>
      <c r="AM212" s="82"/>
      <c r="AN212" s="82" t="str">
        <f t="shared" si="11"/>
        <v>PL12</v>
      </c>
      <c r="AO212" s="53" t="str">
        <f t="shared" si="12"/>
        <v/>
      </c>
      <c r="AP212" s="53" t="s">
        <v>148</v>
      </c>
      <c r="AQ212" s="53"/>
      <c r="AR212" s="53"/>
      <c r="AS212" s="53"/>
      <c r="AT212" s="53"/>
      <c r="AU212" s="83"/>
      <c r="AV212" s="53"/>
      <c r="AW212" s="53"/>
    </row>
    <row r="213" spans="3:49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9"/>
        <v>0</v>
      </c>
      <c r="M213" s="26">
        <f t="shared" si="10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67" t="e">
        <f>SUMIFS([2]Up!$J:$J,[2]Up!$D:$D,D213)</f>
        <v>#VALUE!</v>
      </c>
      <c r="AM213" s="82"/>
      <c r="AN213" s="82" t="str">
        <f t="shared" si="11"/>
        <v>PL15</v>
      </c>
      <c r="AO213" s="53" t="str">
        <f t="shared" si="12"/>
        <v/>
      </c>
      <c r="AP213" s="53" t="s">
        <v>148</v>
      </c>
      <c r="AQ213" s="53"/>
      <c r="AR213" s="53"/>
      <c r="AS213" s="53"/>
      <c r="AT213" s="53"/>
      <c r="AU213" s="83"/>
      <c r="AV213" s="53"/>
      <c r="AW213" s="53"/>
    </row>
    <row r="214" spans="3:49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9"/>
        <v>0</v>
      </c>
      <c r="M214" s="26">
        <f t="shared" si="10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67" t="e">
        <f>SUMIFS([2]Up!$J:$J,[2]Up!$D:$D,D214)</f>
        <v>#VALUE!</v>
      </c>
      <c r="AM214" s="82"/>
      <c r="AN214" s="82" t="e">
        <f t="shared" si="11"/>
        <v>#VALUE!</v>
      </c>
      <c r="AO214" s="53" t="str">
        <f t="shared" si="12"/>
        <v/>
      </c>
      <c r="AP214" s="53" t="s">
        <v>148</v>
      </c>
      <c r="AQ214" s="53"/>
      <c r="AR214" s="53"/>
      <c r="AS214" s="53"/>
      <c r="AT214" s="53"/>
      <c r="AU214" s="83"/>
      <c r="AV214" s="53"/>
      <c r="AW214" s="53"/>
    </row>
    <row r="215" spans="3:49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9"/>
        <v>0</v>
      </c>
      <c r="M215" s="26">
        <f t="shared" si="10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67" t="e">
        <f>SUMIFS([2]Up!$J:$J,[2]Up!$D:$D,D215)</f>
        <v>#VALUE!</v>
      </c>
      <c r="AM215" s="82"/>
      <c r="AN215" s="82" t="e">
        <f t="shared" si="11"/>
        <v>#VALUE!</v>
      </c>
      <c r="AO215" s="53" t="str">
        <f t="shared" si="12"/>
        <v/>
      </c>
      <c r="AP215" s="53" t="s">
        <v>148</v>
      </c>
      <c r="AQ215" s="53"/>
      <c r="AR215" s="53"/>
      <c r="AS215" s="53"/>
      <c r="AT215" s="53"/>
      <c r="AU215" s="83"/>
      <c r="AV215" s="53"/>
      <c r="AW215" s="53"/>
    </row>
    <row r="216" spans="3:49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9"/>
        <v>0</v>
      </c>
      <c r="M216" s="26">
        <f t="shared" si="10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67" t="e">
        <f>SUMIFS([2]Up!$J:$J,[2]Up!$D:$D,D216)</f>
        <v>#VALUE!</v>
      </c>
      <c r="AM216" s="82"/>
      <c r="AN216" s="82" t="str">
        <f t="shared" si="11"/>
        <v>PL12</v>
      </c>
      <c r="AO216" s="53" t="str">
        <f t="shared" si="12"/>
        <v/>
      </c>
      <c r="AP216" s="53" t="s">
        <v>148</v>
      </c>
      <c r="AQ216" s="53"/>
      <c r="AR216" s="53"/>
      <c r="AS216" s="53"/>
      <c r="AT216" s="53"/>
      <c r="AU216" s="83"/>
      <c r="AV216" s="53"/>
      <c r="AW216" s="53"/>
    </row>
    <row r="217" spans="3:49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9"/>
        <v>0</v>
      </c>
      <c r="M217" s="26">
        <f t="shared" si="10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67" t="e">
        <f>SUMIFS([2]Up!$J:$J,[2]Up!$D:$D,D217)</f>
        <v>#VALUE!</v>
      </c>
      <c r="AM217" s="82"/>
      <c r="AN217" s="82" t="e">
        <f t="shared" si="11"/>
        <v>#VALUE!</v>
      </c>
      <c r="AO217" s="53" t="str">
        <f t="shared" si="12"/>
        <v/>
      </c>
      <c r="AP217" s="53" t="s">
        <v>148</v>
      </c>
      <c r="AQ217" s="53"/>
      <c r="AR217" s="53"/>
      <c r="AS217" s="53"/>
      <c r="AT217" s="53"/>
      <c r="AU217" s="83"/>
      <c r="AV217" s="53"/>
      <c r="AW217" s="53"/>
    </row>
    <row r="218" spans="3:49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9"/>
        <v>0</v>
      </c>
      <c r="M218" s="26">
        <f t="shared" si="10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67" t="e">
        <f>SUMIFS([2]Up!$J:$J,[2]Up!$D:$D,D218)</f>
        <v>#VALUE!</v>
      </c>
      <c r="AM218" s="82"/>
      <c r="AN218" s="82" t="str">
        <f t="shared" si="11"/>
        <v>PL12</v>
      </c>
      <c r="AO218" s="53" t="str">
        <f t="shared" si="12"/>
        <v/>
      </c>
      <c r="AP218" s="53" t="s">
        <v>148</v>
      </c>
      <c r="AQ218" s="53"/>
      <c r="AR218" s="53"/>
      <c r="AS218" s="53"/>
      <c r="AT218" s="53"/>
      <c r="AU218" s="83"/>
      <c r="AV218" s="53"/>
      <c r="AW218" s="53"/>
    </row>
    <row r="219" spans="3:49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9"/>
        <v>0</v>
      </c>
      <c r="M219" s="26">
        <f t="shared" si="10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67" t="e">
        <f>SUMIFS([2]Up!$J:$J,[2]Up!$D:$D,D219)</f>
        <v>#VALUE!</v>
      </c>
      <c r="AM219" s="82"/>
      <c r="AN219" s="82" t="str">
        <f t="shared" si="11"/>
        <v>PL12</v>
      </c>
      <c r="AO219" s="53" t="str">
        <f t="shared" si="12"/>
        <v/>
      </c>
      <c r="AP219" s="53" t="s">
        <v>148</v>
      </c>
      <c r="AQ219" s="53"/>
      <c r="AR219" s="53"/>
      <c r="AS219" s="53"/>
      <c r="AT219" s="53"/>
      <c r="AU219" s="83"/>
      <c r="AV219" s="53"/>
      <c r="AW219" s="53"/>
    </row>
    <row r="220" spans="3:49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9"/>
        <v>0</v>
      </c>
      <c r="M220" s="26">
        <f t="shared" si="10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67" t="e">
        <f>SUMIFS([2]Up!$J:$J,[2]Up!$D:$D,D220)</f>
        <v>#VALUE!</v>
      </c>
      <c r="AM220" s="82"/>
      <c r="AN220" s="82" t="str">
        <f t="shared" si="11"/>
        <v>PL12</v>
      </c>
      <c r="AO220" s="53" t="str">
        <f t="shared" si="12"/>
        <v/>
      </c>
      <c r="AP220" s="53" t="s">
        <v>148</v>
      </c>
      <c r="AQ220" s="53"/>
      <c r="AR220" s="53"/>
      <c r="AS220" s="53"/>
      <c r="AT220" s="53"/>
      <c r="AU220" s="83"/>
      <c r="AV220" s="53"/>
      <c r="AW220" s="53"/>
    </row>
    <row r="221" spans="3:49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9"/>
        <v>0</v>
      </c>
      <c r="M221" s="26">
        <f t="shared" si="10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67" t="e">
        <f>SUMIFS([2]Up!$J:$J,[2]Up!$D:$D,D221)</f>
        <v>#VALUE!</v>
      </c>
      <c r="AM221" s="82"/>
      <c r="AN221" s="82" t="str">
        <f t="shared" si="11"/>
        <v>PL12</v>
      </c>
      <c r="AO221" s="53" t="str">
        <f t="shared" si="12"/>
        <v/>
      </c>
      <c r="AP221" s="53" t="s">
        <v>148</v>
      </c>
      <c r="AQ221" s="53"/>
      <c r="AR221" s="53"/>
      <c r="AS221" s="53"/>
      <c r="AT221" s="53"/>
      <c r="AU221" s="83"/>
      <c r="AV221" s="53"/>
      <c r="AW221" s="53"/>
    </row>
    <row r="222" spans="3:49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9"/>
        <v>0</v>
      </c>
      <c r="M222" s="26">
        <f t="shared" si="10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67" t="e">
        <f>SUMIFS([2]Up!$J:$J,[2]Up!$D:$D,D222)</f>
        <v>#VALUE!</v>
      </c>
      <c r="AM222" s="82"/>
      <c r="AN222" s="82" t="str">
        <f t="shared" si="11"/>
        <v>PL20</v>
      </c>
      <c r="AO222" s="53" t="str">
        <f t="shared" si="12"/>
        <v/>
      </c>
      <c r="AP222" s="53" t="s">
        <v>148</v>
      </c>
      <c r="AQ222" s="53"/>
      <c r="AR222" s="53"/>
      <c r="AS222" s="53"/>
      <c r="AT222" s="53"/>
      <c r="AU222" s="83"/>
      <c r="AV222" s="53"/>
      <c r="AW222" s="53"/>
    </row>
    <row r="223" spans="3:49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9"/>
        <v>0</v>
      </c>
      <c r="M223" s="26">
        <f t="shared" si="10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67" t="e">
        <f>SUMIFS([2]Up!$J:$J,[2]Up!$D:$D,D223)</f>
        <v>#VALUE!</v>
      </c>
      <c r="AM223" s="82"/>
      <c r="AN223" s="82" t="str">
        <f t="shared" si="11"/>
        <v>PL20</v>
      </c>
      <c r="AO223" s="53" t="str">
        <f t="shared" si="12"/>
        <v/>
      </c>
      <c r="AP223" s="53" t="s">
        <v>148</v>
      </c>
      <c r="AQ223" s="53"/>
      <c r="AR223" s="53"/>
      <c r="AS223" s="53"/>
      <c r="AT223" s="53"/>
      <c r="AU223" s="83"/>
      <c r="AV223" s="53"/>
      <c r="AW223" s="53"/>
    </row>
    <row r="224" spans="3:49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9"/>
        <v>0</v>
      </c>
      <c r="M224" s="26">
        <f t="shared" si="10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67" t="e">
        <f>SUMIFS([2]Up!$J:$J,[2]Up!$D:$D,D224)</f>
        <v>#VALUE!</v>
      </c>
      <c r="AM224" s="82"/>
      <c r="AN224" s="82" t="str">
        <f t="shared" si="11"/>
        <v>PL12</v>
      </c>
      <c r="AO224" s="53" t="str">
        <f t="shared" si="12"/>
        <v/>
      </c>
      <c r="AP224" s="53" t="s">
        <v>148</v>
      </c>
      <c r="AQ224" s="53"/>
      <c r="AR224" s="53"/>
      <c r="AS224" s="53"/>
      <c r="AT224" s="53"/>
      <c r="AU224" s="83"/>
      <c r="AV224" s="53"/>
      <c r="AW224" s="53"/>
    </row>
    <row r="225" spans="3:49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9"/>
        <v>0</v>
      </c>
      <c r="M225" s="26">
        <f t="shared" si="10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67" t="e">
        <f>SUMIFS([2]Up!$J:$J,[2]Up!$D:$D,D225)</f>
        <v>#VALUE!</v>
      </c>
      <c r="AM225" s="82"/>
      <c r="AN225" s="82" t="str">
        <f t="shared" si="11"/>
        <v>PL12</v>
      </c>
      <c r="AO225" s="53" t="str">
        <f t="shared" si="12"/>
        <v/>
      </c>
      <c r="AP225" s="53" t="s">
        <v>148</v>
      </c>
      <c r="AQ225" s="53"/>
      <c r="AR225" s="53"/>
      <c r="AS225" s="53"/>
      <c r="AT225" s="53"/>
      <c r="AU225" s="83"/>
      <c r="AV225" s="53"/>
      <c r="AW225" s="53"/>
    </row>
    <row r="226" spans="3:49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9"/>
        <v>0</v>
      </c>
      <c r="M226" s="26">
        <f t="shared" si="10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67" t="e">
        <f>SUMIFS([2]Up!$J:$J,[2]Up!$D:$D,D226)</f>
        <v>#VALUE!</v>
      </c>
      <c r="AM226" s="82"/>
      <c r="AN226" s="82" t="str">
        <f t="shared" si="11"/>
        <v>PL12</v>
      </c>
      <c r="AO226" s="53" t="str">
        <f t="shared" si="12"/>
        <v/>
      </c>
      <c r="AP226" s="53" t="s">
        <v>148</v>
      </c>
      <c r="AQ226" s="53"/>
      <c r="AR226" s="53"/>
      <c r="AS226" s="53"/>
      <c r="AT226" s="53"/>
      <c r="AU226" s="83"/>
      <c r="AV226" s="53"/>
      <c r="AW226" s="53"/>
    </row>
    <row r="227" spans="3:49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9"/>
        <v>0</v>
      </c>
      <c r="M227" s="26">
        <f t="shared" si="10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67" t="e">
        <f>SUMIFS([2]Up!$J:$J,[2]Up!$D:$D,D227)</f>
        <v>#VALUE!</v>
      </c>
      <c r="AM227" s="82"/>
      <c r="AN227" s="82" t="str">
        <f t="shared" si="11"/>
        <v>PL12</v>
      </c>
      <c r="AO227" s="53" t="str">
        <f t="shared" si="12"/>
        <v/>
      </c>
      <c r="AP227" s="53" t="s">
        <v>148</v>
      </c>
      <c r="AQ227" s="53"/>
      <c r="AR227" s="53"/>
      <c r="AS227" s="53"/>
      <c r="AT227" s="53"/>
      <c r="AU227" s="83"/>
      <c r="AV227" s="53"/>
      <c r="AW227" s="53"/>
    </row>
    <row r="228" spans="3:49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9"/>
        <v>0</v>
      </c>
      <c r="M228" s="26">
        <f t="shared" si="10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67" t="e">
        <f>SUMIFS([2]Up!$J:$J,[2]Up!$D:$D,D228)</f>
        <v>#VALUE!</v>
      </c>
      <c r="AM228" s="82"/>
      <c r="AN228" s="82" t="str">
        <f t="shared" si="11"/>
        <v>PL12</v>
      </c>
      <c r="AO228" s="53" t="str">
        <f t="shared" si="12"/>
        <v/>
      </c>
      <c r="AP228" s="53" t="s">
        <v>148</v>
      </c>
      <c r="AQ228" s="53"/>
      <c r="AR228" s="53"/>
      <c r="AS228" s="53"/>
      <c r="AT228" s="53"/>
      <c r="AU228" s="83"/>
      <c r="AV228" s="53"/>
      <c r="AW228" s="53"/>
    </row>
    <row r="229" spans="3:49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9"/>
        <v>0</v>
      </c>
      <c r="M229" s="26">
        <f t="shared" si="10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67" t="e">
        <f>SUMIFS([2]Up!$J:$J,[2]Up!$D:$D,D229)</f>
        <v>#VALUE!</v>
      </c>
      <c r="AM229" s="82"/>
      <c r="AN229" s="82" t="str">
        <f t="shared" si="11"/>
        <v>PL12</v>
      </c>
      <c r="AO229" s="53" t="str">
        <f t="shared" si="12"/>
        <v/>
      </c>
      <c r="AP229" s="53" t="s">
        <v>148</v>
      </c>
      <c r="AQ229" s="53"/>
      <c r="AR229" s="53"/>
      <c r="AS229" s="53"/>
      <c r="AT229" s="53"/>
      <c r="AU229" s="83"/>
      <c r="AV229" s="53"/>
      <c r="AW229" s="53"/>
    </row>
    <row r="230" spans="3:49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9"/>
        <v>0</v>
      </c>
      <c r="M230" s="26">
        <f t="shared" si="10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67" t="e">
        <f>SUMIFS([2]Up!$J:$J,[2]Up!$D:$D,D230)</f>
        <v>#VALUE!</v>
      </c>
      <c r="AM230" s="82"/>
      <c r="AN230" s="82" t="str">
        <f t="shared" si="11"/>
        <v>PL12</v>
      </c>
      <c r="AO230" s="53" t="str">
        <f t="shared" si="12"/>
        <v/>
      </c>
      <c r="AP230" s="53" t="s">
        <v>154</v>
      </c>
      <c r="AQ230" s="53"/>
      <c r="AR230" s="53"/>
      <c r="AS230" s="53"/>
      <c r="AT230" s="53"/>
      <c r="AU230" s="83"/>
      <c r="AV230" s="53"/>
      <c r="AW230" s="53"/>
    </row>
    <row r="231" spans="3:49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9"/>
        <v>0</v>
      </c>
      <c r="M231" s="26">
        <f t="shared" si="10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67" t="e">
        <f>SUMIFS([2]Up!$J:$J,[2]Up!$D:$D,D231)</f>
        <v>#VALUE!</v>
      </c>
      <c r="AM231" s="82"/>
      <c r="AN231" s="82" t="str">
        <f t="shared" si="11"/>
        <v>PL12</v>
      </c>
      <c r="AO231" s="53" t="str">
        <f t="shared" si="12"/>
        <v/>
      </c>
      <c r="AP231" s="53" t="s">
        <v>154</v>
      </c>
      <c r="AQ231" s="53"/>
      <c r="AR231" s="53"/>
      <c r="AS231" s="53"/>
      <c r="AT231" s="53"/>
      <c r="AU231" s="83"/>
      <c r="AV231" s="53"/>
      <c r="AW231" s="53"/>
    </row>
    <row r="232" spans="3:49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9"/>
        <v>0</v>
      </c>
      <c r="M232" s="26">
        <f t="shared" si="10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67" t="e">
        <f>SUMIFS([2]Up!$J:$J,[2]Up!$D:$D,D232)</f>
        <v>#VALUE!</v>
      </c>
      <c r="AM232" s="82"/>
      <c r="AN232" s="82" t="str">
        <f t="shared" si="11"/>
        <v>PL30</v>
      </c>
      <c r="AO232" s="53" t="str">
        <f t="shared" si="12"/>
        <v/>
      </c>
      <c r="AP232" s="53" t="s">
        <v>148</v>
      </c>
      <c r="AQ232" s="53"/>
      <c r="AR232" s="53"/>
      <c r="AS232" s="53"/>
      <c r="AT232" s="53"/>
      <c r="AU232" s="83"/>
      <c r="AV232" s="53"/>
      <c r="AW232" s="53"/>
    </row>
    <row r="233" spans="3:49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9"/>
        <v>0</v>
      </c>
      <c r="M233" s="26">
        <f t="shared" si="10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67" t="e">
        <f>SUMIFS([2]Up!$J:$J,[2]Up!$D:$D,D233)</f>
        <v>#VALUE!</v>
      </c>
      <c r="AM233" s="82"/>
      <c r="AN233" s="82" t="str">
        <f t="shared" si="11"/>
        <v>PL20</v>
      </c>
      <c r="AO233" s="53" t="str">
        <f t="shared" si="12"/>
        <v/>
      </c>
      <c r="AP233" s="53" t="s">
        <v>148</v>
      </c>
      <c r="AQ233" s="53"/>
      <c r="AR233" s="53"/>
      <c r="AS233" s="53"/>
      <c r="AT233" s="53"/>
      <c r="AU233" s="83"/>
      <c r="AV233" s="53"/>
      <c r="AW233" s="53"/>
    </row>
    <row r="234" spans="3:49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9"/>
        <v>0</v>
      </c>
      <c r="M234" s="26">
        <f t="shared" si="10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67" t="e">
        <f>SUMIFS([2]Up!$J:$J,[2]Up!$D:$D,D234)</f>
        <v>#VALUE!</v>
      </c>
      <c r="AM234" s="82"/>
      <c r="AN234" s="82" t="str">
        <f t="shared" si="11"/>
        <v>PL3</v>
      </c>
      <c r="AO234" s="53" t="str">
        <f t="shared" si="12"/>
        <v/>
      </c>
      <c r="AP234" s="53" t="s">
        <v>148</v>
      </c>
      <c r="AQ234" s="53"/>
      <c r="AR234" s="53"/>
      <c r="AS234" s="53"/>
      <c r="AT234" s="53"/>
      <c r="AU234" s="83"/>
      <c r="AV234" s="53"/>
      <c r="AW234" s="53"/>
    </row>
    <row r="235" spans="3:49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9"/>
        <v>0</v>
      </c>
      <c r="M235" s="26">
        <f t="shared" si="10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67" t="e">
        <f>SUMIFS([2]Up!$J:$J,[2]Up!$D:$D,D235)</f>
        <v>#VALUE!</v>
      </c>
      <c r="AM235" s="82"/>
      <c r="AN235" s="82" t="str">
        <f t="shared" si="11"/>
        <v>PL20</v>
      </c>
      <c r="AO235" s="53" t="str">
        <f t="shared" si="12"/>
        <v/>
      </c>
      <c r="AP235" s="53" t="s">
        <v>148</v>
      </c>
      <c r="AQ235" s="53"/>
      <c r="AR235" s="53"/>
      <c r="AS235" s="53"/>
      <c r="AT235" s="53"/>
      <c r="AU235" s="83"/>
      <c r="AV235" s="53"/>
      <c r="AW235" s="53"/>
    </row>
    <row r="236" spans="3:49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9"/>
        <v>0</v>
      </c>
      <c r="M236" s="26">
        <f t="shared" si="10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67" t="e">
        <f>SUMIFS([2]Up!$J:$J,[2]Up!$D:$D,D236)</f>
        <v>#VALUE!</v>
      </c>
      <c r="AM236" s="82"/>
      <c r="AN236" s="82" t="str">
        <f t="shared" si="11"/>
        <v>PL20</v>
      </c>
      <c r="AO236" s="53" t="str">
        <f t="shared" si="12"/>
        <v/>
      </c>
      <c r="AP236" s="53" t="s">
        <v>148</v>
      </c>
      <c r="AQ236" s="53"/>
      <c r="AR236" s="53"/>
      <c r="AS236" s="53"/>
      <c r="AT236" s="53"/>
      <c r="AU236" s="83"/>
      <c r="AV236" s="53"/>
      <c r="AW236" s="53"/>
    </row>
    <row r="237" spans="3:49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9"/>
        <v>0</v>
      </c>
      <c r="M237" s="26">
        <f t="shared" si="10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67" t="e">
        <f>SUMIFS([2]Up!$J:$J,[2]Up!$D:$D,D237)</f>
        <v>#VALUE!</v>
      </c>
      <c r="AM237" s="82"/>
      <c r="AN237" s="82" t="str">
        <f t="shared" si="11"/>
        <v>PL20</v>
      </c>
      <c r="AO237" s="53" t="str">
        <f t="shared" si="12"/>
        <v/>
      </c>
      <c r="AP237" s="53" t="s">
        <v>148</v>
      </c>
      <c r="AQ237" s="53"/>
      <c r="AR237" s="53"/>
      <c r="AS237" s="53"/>
      <c r="AT237" s="53"/>
      <c r="AU237" s="83"/>
      <c r="AV237" s="53"/>
      <c r="AW237" s="53"/>
    </row>
    <row r="238" spans="3:49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9"/>
        <v>0</v>
      </c>
      <c r="M238" s="26">
        <f t="shared" si="10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67" t="e">
        <f>SUMIFS([2]Up!$J:$J,[2]Up!$D:$D,D238)</f>
        <v>#VALUE!</v>
      </c>
      <c r="AM238" s="82"/>
      <c r="AN238" s="82" t="str">
        <f t="shared" si="11"/>
        <v>PL20</v>
      </c>
      <c r="AO238" s="53" t="str">
        <f t="shared" si="12"/>
        <v/>
      </c>
      <c r="AP238" s="53" t="s">
        <v>148</v>
      </c>
      <c r="AQ238" s="53"/>
      <c r="AR238" s="53"/>
      <c r="AS238" s="53"/>
      <c r="AT238" s="53"/>
      <c r="AU238" s="83"/>
      <c r="AV238" s="53"/>
      <c r="AW238" s="53"/>
    </row>
    <row r="239" spans="3:49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9"/>
        <v>0</v>
      </c>
      <c r="M239" s="26">
        <f t="shared" si="10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67" t="e">
        <f>SUMIFS([2]Up!$J:$J,[2]Up!$D:$D,D239)</f>
        <v>#VALUE!</v>
      </c>
      <c r="AM239" s="82"/>
      <c r="AN239" s="82" t="str">
        <f t="shared" si="11"/>
        <v>PL20</v>
      </c>
      <c r="AO239" s="53" t="str">
        <f t="shared" si="12"/>
        <v/>
      </c>
      <c r="AP239" s="53" t="s">
        <v>148</v>
      </c>
      <c r="AQ239" s="53"/>
      <c r="AR239" s="53"/>
      <c r="AS239" s="53"/>
      <c r="AT239" s="53"/>
      <c r="AU239" s="83"/>
      <c r="AV239" s="53"/>
      <c r="AW239" s="53"/>
    </row>
    <row r="240" spans="3:49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9"/>
        <v>0</v>
      </c>
      <c r="M240" s="26">
        <f t="shared" si="10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67" t="e">
        <f>SUMIFS([2]Up!$J:$J,[2]Up!$D:$D,D240)</f>
        <v>#VALUE!</v>
      </c>
      <c r="AM240" s="82"/>
      <c r="AN240" s="82" t="str">
        <f t="shared" si="11"/>
        <v>PL20</v>
      </c>
      <c r="AO240" s="53" t="str">
        <f t="shared" si="12"/>
        <v/>
      </c>
      <c r="AP240" s="53" t="s">
        <v>148</v>
      </c>
      <c r="AQ240" s="53"/>
      <c r="AR240" s="53"/>
      <c r="AS240" s="53"/>
      <c r="AT240" s="53"/>
      <c r="AU240" s="83"/>
      <c r="AV240" s="53"/>
      <c r="AW240" s="53"/>
    </row>
    <row r="241" spans="3:49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9"/>
        <v>0</v>
      </c>
      <c r="M241" s="26">
        <f t="shared" si="10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67" t="e">
        <f>SUMIFS([2]Up!$J:$J,[2]Up!$D:$D,D241)</f>
        <v>#VALUE!</v>
      </c>
      <c r="AM241" s="82"/>
      <c r="AN241" s="82" t="str">
        <f t="shared" si="11"/>
        <v>PL20</v>
      </c>
      <c r="AO241" s="53" t="str">
        <f t="shared" si="12"/>
        <v/>
      </c>
      <c r="AP241" s="53" t="s">
        <v>148</v>
      </c>
      <c r="AQ241" s="53"/>
      <c r="AR241" s="53"/>
      <c r="AS241" s="53"/>
      <c r="AT241" s="53"/>
      <c r="AU241" s="83"/>
      <c r="AV241" s="53"/>
      <c r="AW241" s="53"/>
    </row>
    <row r="242" spans="3:49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9"/>
        <v>0</v>
      </c>
      <c r="M242" s="26">
        <f t="shared" si="10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67" t="e">
        <f>SUMIFS([2]Up!$J:$J,[2]Up!$D:$D,D242)</f>
        <v>#VALUE!</v>
      </c>
      <c r="AM242" s="82"/>
      <c r="AN242" s="82" t="str">
        <f t="shared" si="11"/>
        <v>PL20</v>
      </c>
      <c r="AO242" s="53" t="str">
        <f t="shared" si="12"/>
        <v/>
      </c>
      <c r="AP242" s="53" t="s">
        <v>148</v>
      </c>
      <c r="AQ242" s="53"/>
      <c r="AR242" s="53"/>
      <c r="AS242" s="53"/>
      <c r="AT242" s="53"/>
      <c r="AU242" s="83"/>
      <c r="AV242" s="53"/>
      <c r="AW242" s="53"/>
    </row>
    <row r="243" spans="3:49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9"/>
        <v>0</v>
      </c>
      <c r="M243" s="26">
        <f t="shared" si="10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67" t="e">
        <f>SUMIFS([2]Up!$J:$J,[2]Up!$D:$D,D243)</f>
        <v>#VALUE!</v>
      </c>
      <c r="AM243" s="82"/>
      <c r="AN243" s="82" t="str">
        <f t="shared" si="11"/>
        <v>PL20</v>
      </c>
      <c r="AO243" s="53" t="str">
        <f t="shared" si="12"/>
        <v/>
      </c>
      <c r="AP243" s="53" t="s">
        <v>148</v>
      </c>
      <c r="AQ243" s="53"/>
      <c r="AR243" s="53"/>
      <c r="AS243" s="53"/>
      <c r="AT243" s="53"/>
      <c r="AU243" s="83"/>
      <c r="AV243" s="53"/>
      <c r="AW243" s="53"/>
    </row>
    <row r="244" spans="3:49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9"/>
        <v>0</v>
      </c>
      <c r="M244" s="26">
        <f t="shared" si="10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67" t="e">
        <f>SUMIFS([2]Up!$J:$J,[2]Up!$D:$D,D244)</f>
        <v>#VALUE!</v>
      </c>
      <c r="AM244" s="82"/>
      <c r="AN244" s="82" t="str">
        <f t="shared" si="11"/>
        <v>PL20</v>
      </c>
      <c r="AO244" s="53" t="str">
        <f t="shared" si="12"/>
        <v/>
      </c>
      <c r="AP244" s="53" t="s">
        <v>148</v>
      </c>
      <c r="AQ244" s="53"/>
      <c r="AR244" s="53"/>
      <c r="AS244" s="53"/>
      <c r="AT244" s="53"/>
      <c r="AU244" s="83"/>
      <c r="AV244" s="53"/>
      <c r="AW244" s="53"/>
    </row>
    <row r="245" spans="3:49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9"/>
        <v>0</v>
      </c>
      <c r="M245" s="26">
        <f t="shared" si="10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67" t="e">
        <f>SUMIFS([2]Up!$J:$J,[2]Up!$D:$D,D245)</f>
        <v>#VALUE!</v>
      </c>
      <c r="AM245" s="82"/>
      <c r="AN245" s="82" t="str">
        <f t="shared" si="11"/>
        <v>PL5</v>
      </c>
      <c r="AO245" s="53" t="str">
        <f t="shared" si="12"/>
        <v/>
      </c>
      <c r="AP245" s="53" t="s">
        <v>148</v>
      </c>
      <c r="AQ245" s="53"/>
      <c r="AR245" s="53"/>
      <c r="AS245" s="53"/>
      <c r="AT245" s="53"/>
      <c r="AU245" s="83"/>
      <c r="AV245" s="53"/>
      <c r="AW245" s="53"/>
    </row>
    <row r="246" spans="3:49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9"/>
        <v>0</v>
      </c>
      <c r="M246" s="26">
        <f t="shared" si="10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67" t="e">
        <f>SUMIFS([2]Up!$J:$J,[2]Up!$D:$D,D246)</f>
        <v>#VALUE!</v>
      </c>
      <c r="AM246" s="82"/>
      <c r="AN246" s="82" t="str">
        <f t="shared" si="11"/>
        <v>PL20</v>
      </c>
      <c r="AO246" s="53" t="str">
        <f t="shared" si="12"/>
        <v/>
      </c>
      <c r="AP246" s="53" t="s">
        <v>148</v>
      </c>
      <c r="AQ246" s="53"/>
      <c r="AR246" s="53"/>
      <c r="AS246" s="53"/>
      <c r="AT246" s="53"/>
      <c r="AU246" s="83"/>
      <c r="AV246" s="53"/>
      <c r="AW246" s="53"/>
    </row>
    <row r="247" spans="3:49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9"/>
        <v>0</v>
      </c>
      <c r="M247" s="26">
        <f t="shared" si="10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67" t="e">
        <f>SUMIFS([2]Up!$J:$J,[2]Up!$D:$D,D247)</f>
        <v>#VALUE!</v>
      </c>
      <c r="AM247" s="82"/>
      <c r="AN247" s="82" t="str">
        <f t="shared" si="11"/>
        <v>PL20</v>
      </c>
      <c r="AO247" s="53" t="str">
        <f t="shared" si="12"/>
        <v/>
      </c>
      <c r="AP247" s="53" t="s">
        <v>148</v>
      </c>
      <c r="AQ247" s="53"/>
      <c r="AR247" s="53"/>
      <c r="AS247" s="53"/>
      <c r="AT247" s="53"/>
      <c r="AU247" s="83"/>
      <c r="AV247" s="53"/>
      <c r="AW247" s="53"/>
    </row>
    <row r="248" spans="3:49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9"/>
        <v>0</v>
      </c>
      <c r="M248" s="26">
        <f t="shared" si="10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67" t="e">
        <f>SUMIFS([2]Up!$J:$J,[2]Up!$D:$D,D248)</f>
        <v>#VALUE!</v>
      </c>
      <c r="AM248" s="82"/>
      <c r="AN248" s="82" t="str">
        <f t="shared" si="11"/>
        <v>PL20</v>
      </c>
      <c r="AO248" s="53" t="str">
        <f t="shared" si="12"/>
        <v/>
      </c>
      <c r="AP248" s="53" t="s">
        <v>148</v>
      </c>
      <c r="AQ248" s="53"/>
      <c r="AR248" s="53"/>
      <c r="AS248" s="53"/>
      <c r="AT248" s="53"/>
      <c r="AU248" s="83"/>
      <c r="AV248" s="53"/>
      <c r="AW248" s="53"/>
    </row>
    <row r="249" spans="3:49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9"/>
        <v>0</v>
      </c>
      <c r="M249" s="26">
        <f t="shared" si="10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67" t="e">
        <f>SUMIFS([2]Up!$J:$J,[2]Up!$D:$D,D249)</f>
        <v>#VALUE!</v>
      </c>
      <c r="AM249" s="82"/>
      <c r="AN249" s="82" t="str">
        <f t="shared" si="11"/>
        <v>PL20</v>
      </c>
      <c r="AO249" s="53" t="str">
        <f t="shared" si="12"/>
        <v/>
      </c>
      <c r="AP249" s="53" t="s">
        <v>148</v>
      </c>
      <c r="AQ249" s="53"/>
      <c r="AR249" s="53"/>
      <c r="AS249" s="53"/>
      <c r="AT249" s="53"/>
      <c r="AU249" s="83"/>
      <c r="AV249" s="53"/>
      <c r="AW249" s="53"/>
    </row>
    <row r="250" spans="3:49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9"/>
        <v>1</v>
      </c>
      <c r="M250" s="26">
        <f t="shared" si="10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67" t="e">
        <f>SUMIFS([2]Up!$J:$J,[2]Up!$D:$D,D250)</f>
        <v>#VALUE!</v>
      </c>
      <c r="AM250" s="82" t="s">
        <v>2236</v>
      </c>
      <c r="AN250" s="82" t="e">
        <f t="shared" si="11"/>
        <v>#VALUE!</v>
      </c>
      <c r="AO250" s="53" t="str">
        <f t="shared" si="12"/>
        <v>Thừa 3</v>
      </c>
      <c r="AP250" s="53" t="s">
        <v>154</v>
      </c>
      <c r="AQ250" s="53"/>
      <c r="AR250" s="53"/>
      <c r="AS250" s="53" t="s">
        <v>57</v>
      </c>
      <c r="AT250" s="53">
        <v>1</v>
      </c>
      <c r="AU250" s="83"/>
      <c r="AV250" s="53"/>
      <c r="AW250" s="53"/>
    </row>
    <row r="251" spans="3:49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9"/>
        <v>0</v>
      </c>
      <c r="M251" s="26">
        <f t="shared" si="10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67" t="e">
        <f>SUMIFS([2]Up!$J:$J,[2]Up!$D:$D,D251)</f>
        <v>#VALUE!</v>
      </c>
      <c r="AM251" s="82"/>
      <c r="AN251" s="82" t="str">
        <f t="shared" si="11"/>
        <v>PL10</v>
      </c>
      <c r="AO251" s="53" t="str">
        <f t="shared" si="12"/>
        <v/>
      </c>
      <c r="AP251" s="53" t="s">
        <v>154</v>
      </c>
      <c r="AQ251" s="84" t="s">
        <v>210</v>
      </c>
      <c r="AR251" s="53"/>
      <c r="AS251" s="53" t="s">
        <v>211</v>
      </c>
      <c r="AT251" s="53">
        <v>1</v>
      </c>
      <c r="AU251" s="83">
        <v>46201</v>
      </c>
      <c r="AV251" s="53"/>
      <c r="AW251" s="53"/>
    </row>
    <row r="252" spans="3:49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9"/>
        <v>2</v>
      </c>
      <c r="M252" s="26">
        <f t="shared" si="10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67" t="e">
        <f>SUMIFS([2]Up!$J:$J,[2]Up!$D:$D,D252)</f>
        <v>#VALUE!</v>
      </c>
      <c r="AM252" s="82" t="s">
        <v>2073</v>
      </c>
      <c r="AN252" s="82" t="str">
        <f t="shared" si="11"/>
        <v>PL10</v>
      </c>
      <c r="AO252" s="53" t="str">
        <f t="shared" si="12"/>
        <v>Thừa 6</v>
      </c>
      <c r="AP252" s="53" t="s">
        <v>148</v>
      </c>
      <c r="AQ252" s="53"/>
      <c r="AR252" s="53"/>
      <c r="AS252" s="53" t="s">
        <v>57</v>
      </c>
      <c r="AT252" s="53">
        <v>2</v>
      </c>
      <c r="AU252" s="83"/>
      <c r="AV252" s="53"/>
      <c r="AW252" s="53"/>
    </row>
    <row r="253" spans="3:49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9"/>
        <v>0</v>
      </c>
      <c r="M253" s="26">
        <f t="shared" si="10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67" t="e">
        <f>SUMIFS([2]Up!$J:$J,[2]Up!$D:$D,D253)</f>
        <v>#VALUE!</v>
      </c>
      <c r="AM253" s="82"/>
      <c r="AN253" s="82" t="str">
        <f t="shared" si="11"/>
        <v>PL10</v>
      </c>
      <c r="AO253" s="53" t="str">
        <f t="shared" si="12"/>
        <v/>
      </c>
      <c r="AP253" s="53" t="s">
        <v>154</v>
      </c>
      <c r="AQ253" s="84" t="s">
        <v>210</v>
      </c>
      <c r="AR253" s="53"/>
      <c r="AS253" s="53" t="s">
        <v>211</v>
      </c>
      <c r="AT253" s="53">
        <v>2</v>
      </c>
      <c r="AU253" s="83">
        <v>46201</v>
      </c>
      <c r="AV253" s="53"/>
      <c r="AW253" s="53"/>
    </row>
    <row r="254" spans="3:49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9"/>
        <v>0</v>
      </c>
      <c r="M254" s="26">
        <f t="shared" si="10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67" t="e">
        <f>SUMIFS([2]Up!$J:$J,[2]Up!$D:$D,D254)</f>
        <v>#VALUE!</v>
      </c>
      <c r="AM254" s="82"/>
      <c r="AN254" s="82" t="str">
        <f t="shared" si="11"/>
        <v>PL10</v>
      </c>
      <c r="AO254" s="53" t="str">
        <f t="shared" si="12"/>
        <v/>
      </c>
      <c r="AP254" s="53" t="s">
        <v>154</v>
      </c>
      <c r="AQ254" s="84" t="s">
        <v>210</v>
      </c>
      <c r="AR254" s="53"/>
      <c r="AS254" s="53" t="s">
        <v>211</v>
      </c>
      <c r="AT254" s="53">
        <v>2</v>
      </c>
      <c r="AU254" s="83">
        <v>46201</v>
      </c>
      <c r="AV254" s="53"/>
      <c r="AW254" s="53"/>
    </row>
    <row r="255" spans="3:49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9"/>
        <v>0</v>
      </c>
      <c r="M255" s="26">
        <f t="shared" si="10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67" t="e">
        <f>SUMIFS([2]Up!$J:$J,[2]Up!$D:$D,D255)</f>
        <v>#VALUE!</v>
      </c>
      <c r="AM255" s="82"/>
      <c r="AN255" s="82" t="str">
        <f t="shared" si="11"/>
        <v>PL10</v>
      </c>
      <c r="AO255" s="53" t="str">
        <f t="shared" si="12"/>
        <v/>
      </c>
      <c r="AP255" s="53" t="s">
        <v>154</v>
      </c>
      <c r="AQ255" s="84" t="s">
        <v>210</v>
      </c>
      <c r="AR255" s="53"/>
      <c r="AS255" s="53" t="s">
        <v>211</v>
      </c>
      <c r="AT255" s="53">
        <v>2</v>
      </c>
      <c r="AU255" s="83">
        <v>46201</v>
      </c>
      <c r="AV255" s="53"/>
      <c r="AW255" s="53"/>
    </row>
    <row r="256" spans="3:49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9"/>
        <v>0</v>
      </c>
      <c r="M256" s="26">
        <f t="shared" si="10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67" t="e">
        <f>SUMIFS([2]Up!$J:$J,[2]Up!$D:$D,D256)</f>
        <v>#VALUE!</v>
      </c>
      <c r="AM256" s="82"/>
      <c r="AN256" s="82" t="str">
        <f t="shared" si="11"/>
        <v>PL10</v>
      </c>
      <c r="AO256" s="53" t="str">
        <f t="shared" si="12"/>
        <v/>
      </c>
      <c r="AP256" s="53" t="s">
        <v>154</v>
      </c>
      <c r="AQ256" s="84" t="s">
        <v>210</v>
      </c>
      <c r="AR256" s="53"/>
      <c r="AS256" s="53" t="s">
        <v>211</v>
      </c>
      <c r="AT256" s="53">
        <v>2</v>
      </c>
      <c r="AU256" s="83">
        <v>46201</v>
      </c>
      <c r="AV256" s="53"/>
      <c r="AW256" s="53"/>
    </row>
    <row r="257" spans="3:49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9"/>
        <v>0</v>
      </c>
      <c r="M257" s="26">
        <f t="shared" si="10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67" t="e">
        <f>SUMIFS([2]Up!$J:$J,[2]Up!$D:$D,D257)</f>
        <v>#VALUE!</v>
      </c>
      <c r="AM257" s="82"/>
      <c r="AN257" s="82" t="str">
        <f t="shared" si="11"/>
        <v>PL10</v>
      </c>
      <c r="AO257" s="53" t="str">
        <f t="shared" si="12"/>
        <v/>
      </c>
      <c r="AP257" s="53" t="s">
        <v>154</v>
      </c>
      <c r="AQ257" s="84" t="s">
        <v>210</v>
      </c>
      <c r="AR257" s="53"/>
      <c r="AS257" s="53" t="s">
        <v>211</v>
      </c>
      <c r="AT257" s="53">
        <v>2</v>
      </c>
      <c r="AU257" s="83">
        <v>46201</v>
      </c>
      <c r="AV257" s="53"/>
      <c r="AW257" s="53"/>
    </row>
    <row r="258" spans="3:49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9"/>
        <v>0</v>
      </c>
      <c r="M258" s="26">
        <f t="shared" si="10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67" t="e">
        <f>SUMIFS([2]Up!$J:$J,[2]Up!$D:$D,D258)</f>
        <v>#VALUE!</v>
      </c>
      <c r="AM258" s="82"/>
      <c r="AN258" s="82" t="str">
        <f t="shared" si="11"/>
        <v>PL10</v>
      </c>
      <c r="AO258" s="53" t="str">
        <f t="shared" si="12"/>
        <v/>
      </c>
      <c r="AP258" s="53" t="s">
        <v>154</v>
      </c>
      <c r="AQ258" s="84" t="s">
        <v>210</v>
      </c>
      <c r="AR258" s="53"/>
      <c r="AS258" s="53" t="s">
        <v>211</v>
      </c>
      <c r="AT258" s="53">
        <v>2</v>
      </c>
      <c r="AU258" s="83">
        <v>46201</v>
      </c>
      <c r="AV258" s="53"/>
      <c r="AW258" s="53"/>
    </row>
    <row r="259" spans="3:49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9"/>
        <v>0</v>
      </c>
      <c r="M259" s="26">
        <f t="shared" si="10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67" t="e">
        <f>SUMIFS([2]Up!$J:$J,[2]Up!$D:$D,D259)</f>
        <v>#VALUE!</v>
      </c>
      <c r="AM259" s="82"/>
      <c r="AN259" s="82" t="str">
        <f t="shared" si="11"/>
        <v>PL10</v>
      </c>
      <c r="AO259" s="53" t="str">
        <f t="shared" si="12"/>
        <v/>
      </c>
      <c r="AP259" s="53" t="s">
        <v>154</v>
      </c>
      <c r="AQ259" s="84" t="s">
        <v>210</v>
      </c>
      <c r="AR259" s="53"/>
      <c r="AS259" s="53" t="s">
        <v>211</v>
      </c>
      <c r="AT259" s="53">
        <v>2</v>
      </c>
      <c r="AU259" s="83">
        <v>46201</v>
      </c>
      <c r="AV259" s="53"/>
      <c r="AW259" s="53"/>
    </row>
    <row r="260" spans="3:49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9"/>
        <v>0</v>
      </c>
      <c r="M260" s="26">
        <f t="shared" si="10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67" t="e">
        <f>SUMIFS([2]Up!$J:$J,[2]Up!$D:$D,D260)</f>
        <v>#VALUE!</v>
      </c>
      <c r="AM260" s="82"/>
      <c r="AN260" s="82" t="str">
        <f t="shared" si="11"/>
        <v>PL10</v>
      </c>
      <c r="AO260" s="53" t="str">
        <f t="shared" si="12"/>
        <v/>
      </c>
      <c r="AP260" s="53" t="s">
        <v>154</v>
      </c>
      <c r="AQ260" s="84" t="s">
        <v>210</v>
      </c>
      <c r="AR260" s="53"/>
      <c r="AS260" s="53" t="s">
        <v>211</v>
      </c>
      <c r="AT260" s="53">
        <v>2</v>
      </c>
      <c r="AU260" s="83">
        <v>46201</v>
      </c>
      <c r="AV260" s="53"/>
      <c r="AW260" s="53"/>
    </row>
    <row r="261" spans="3:49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9"/>
        <v>0</v>
      </c>
      <c r="M261" s="26">
        <f t="shared" si="10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67" t="e">
        <f>SUMIFS([2]Up!$J:$J,[2]Up!$D:$D,D261)</f>
        <v>#VALUE!</v>
      </c>
      <c r="AM261" s="82"/>
      <c r="AN261" s="82" t="str">
        <f t="shared" si="11"/>
        <v>PL10</v>
      </c>
      <c r="AO261" s="53" t="str">
        <f t="shared" si="12"/>
        <v/>
      </c>
      <c r="AP261" s="53" t="s">
        <v>154</v>
      </c>
      <c r="AQ261" s="84" t="s">
        <v>210</v>
      </c>
      <c r="AR261" s="53"/>
      <c r="AS261" s="53" t="s">
        <v>211</v>
      </c>
      <c r="AT261" s="53">
        <v>2</v>
      </c>
      <c r="AU261" s="83">
        <v>46201</v>
      </c>
      <c r="AV261" s="53"/>
      <c r="AW261" s="53"/>
    </row>
    <row r="262" spans="3:49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9"/>
        <v>0</v>
      </c>
      <c r="M262" s="26">
        <f t="shared" si="10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67" t="e">
        <f>SUMIFS([2]Up!$J:$J,[2]Up!$D:$D,D262)</f>
        <v>#VALUE!</v>
      </c>
      <c r="AM262" s="82"/>
      <c r="AN262" s="82" t="str">
        <f t="shared" si="11"/>
        <v>PL10</v>
      </c>
      <c r="AO262" s="53" t="str">
        <f t="shared" si="12"/>
        <v/>
      </c>
      <c r="AP262" s="53" t="s">
        <v>154</v>
      </c>
      <c r="AQ262" s="84" t="s">
        <v>210</v>
      </c>
      <c r="AR262" s="53"/>
      <c r="AS262" s="53" t="s">
        <v>211</v>
      </c>
      <c r="AT262" s="53">
        <v>2</v>
      </c>
      <c r="AU262" s="83">
        <v>46201</v>
      </c>
      <c r="AV262" s="53"/>
      <c r="AW262" s="53"/>
    </row>
    <row r="263" spans="3:49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9"/>
        <v>0</v>
      </c>
      <c r="M263" s="26">
        <f t="shared" si="10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67" t="e">
        <f>SUMIFS([2]Up!$J:$J,[2]Up!$D:$D,D263)</f>
        <v>#VALUE!</v>
      </c>
      <c r="AM263" s="82"/>
      <c r="AN263" s="82" t="str">
        <f t="shared" si="11"/>
        <v>PL10</v>
      </c>
      <c r="AO263" s="53" t="str">
        <f t="shared" si="12"/>
        <v/>
      </c>
      <c r="AP263" s="53" t="s">
        <v>154</v>
      </c>
      <c r="AQ263" s="84" t="s">
        <v>210</v>
      </c>
      <c r="AR263" s="53"/>
      <c r="AS263" s="53" t="s">
        <v>211</v>
      </c>
      <c r="AT263" s="53">
        <v>2</v>
      </c>
      <c r="AU263" s="83">
        <v>46201</v>
      </c>
      <c r="AV263" s="53"/>
      <c r="AW263" s="53"/>
    </row>
    <row r="264" spans="3:49" ht="14.25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9"/>
        <v>1</v>
      </c>
      <c r="M264" s="26">
        <f t="shared" si="10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67" t="e">
        <f>SUMIFS([2]Up!$J:$J,[2]Up!$D:$D,D264)</f>
        <v>#VALUE!</v>
      </c>
      <c r="AM264" s="82" t="s">
        <v>2244</v>
      </c>
      <c r="AN264" s="82" t="e">
        <f t="shared" si="11"/>
        <v>#VALUE!</v>
      </c>
      <c r="AO264" s="53" t="str">
        <f t="shared" si="12"/>
        <v>Thừa 3</v>
      </c>
      <c r="AP264" s="53" t="s">
        <v>154</v>
      </c>
      <c r="AQ264" s="53"/>
      <c r="AR264" s="53"/>
      <c r="AS264" s="53" t="s">
        <v>57</v>
      </c>
      <c r="AT264" s="53">
        <v>1</v>
      </c>
      <c r="AU264" s="83"/>
      <c r="AV264" s="53"/>
      <c r="AW264" s="53"/>
    </row>
    <row r="265" spans="3:49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9"/>
        <v>1</v>
      </c>
      <c r="M265" s="26">
        <f t="shared" si="10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67" t="e">
        <f>SUMIFS([2]Up!$J:$J,[2]Up!$D:$D,D265)</f>
        <v>#VALUE!</v>
      </c>
      <c r="AM265" s="82"/>
      <c r="AN265" s="82" t="str">
        <f t="shared" si="11"/>
        <v>PL10</v>
      </c>
      <c r="AO265" s="53" t="str">
        <f t="shared" si="12"/>
        <v/>
      </c>
      <c r="AP265" s="53" t="s">
        <v>148</v>
      </c>
      <c r="AQ265" s="84" t="s">
        <v>210</v>
      </c>
      <c r="AR265" s="53"/>
      <c r="AS265" s="53" t="s">
        <v>211</v>
      </c>
      <c r="AT265" s="53">
        <v>1</v>
      </c>
      <c r="AU265" s="83">
        <v>46201</v>
      </c>
      <c r="AV265" s="53"/>
      <c r="AW265" s="53"/>
    </row>
    <row r="266" spans="3:49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9"/>
        <v>1</v>
      </c>
      <c r="M266" s="26">
        <f t="shared" si="10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67" t="e">
        <f>SUMIFS([2]Up!$J:$J,[2]Up!$D:$D,D266)</f>
        <v>#VALUE!</v>
      </c>
      <c r="AM266" s="82" t="s">
        <v>2078</v>
      </c>
      <c r="AN266" s="82" t="str">
        <f t="shared" si="11"/>
        <v>PL15</v>
      </c>
      <c r="AO266" s="53" t="str">
        <f t="shared" si="12"/>
        <v>Thừa 2</v>
      </c>
      <c r="AP266" s="53" t="s">
        <v>148</v>
      </c>
      <c r="AQ266" s="53"/>
      <c r="AR266" s="53"/>
      <c r="AS266" s="53" t="s">
        <v>57</v>
      </c>
      <c r="AT266" s="53">
        <v>1</v>
      </c>
      <c r="AU266" s="83"/>
      <c r="AV266" s="53"/>
      <c r="AW266" s="53"/>
    </row>
    <row r="267" spans="3:49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9"/>
        <v>1</v>
      </c>
      <c r="M267" s="26">
        <f t="shared" si="10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67" t="e">
        <f>SUMIFS([2]Up!$J:$J,[2]Up!$D:$D,D267)</f>
        <v>#VALUE!</v>
      </c>
      <c r="AM267" s="82" t="s">
        <v>2072</v>
      </c>
      <c r="AN267" s="82" t="str">
        <f t="shared" si="11"/>
        <v>PL15</v>
      </c>
      <c r="AO267" s="53" t="str">
        <f t="shared" si="12"/>
        <v>Thừa 2</v>
      </c>
      <c r="AP267" s="53" t="s">
        <v>148</v>
      </c>
      <c r="AQ267" s="53"/>
      <c r="AR267" s="53"/>
      <c r="AS267" s="53" t="s">
        <v>57</v>
      </c>
      <c r="AT267" s="53">
        <v>1</v>
      </c>
      <c r="AU267" s="83"/>
      <c r="AV267" s="53"/>
      <c r="AW267" s="53"/>
    </row>
    <row r="268" spans="3:49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9"/>
        <v>2</v>
      </c>
      <c r="M268" s="26">
        <f t="shared" si="10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67" t="e">
        <f>SUMIFS([2]Up!$J:$J,[2]Up!$D:$D,D268)</f>
        <v>#VALUE!</v>
      </c>
      <c r="AM268" s="82"/>
      <c r="AN268" s="82" t="str">
        <f t="shared" si="11"/>
        <v>PL15</v>
      </c>
      <c r="AO268" s="53" t="str">
        <f t="shared" si="12"/>
        <v/>
      </c>
      <c r="AP268" s="53" t="s">
        <v>148</v>
      </c>
      <c r="AQ268" s="84" t="s">
        <v>200</v>
      </c>
      <c r="AR268" s="53"/>
      <c r="AS268" s="53" t="s">
        <v>201</v>
      </c>
      <c r="AT268" s="53">
        <v>2</v>
      </c>
      <c r="AU268" s="83">
        <v>46201</v>
      </c>
      <c r="AV268" s="53"/>
      <c r="AW268" s="53"/>
    </row>
    <row r="269" spans="3:49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9"/>
        <v>2</v>
      </c>
      <c r="M269" s="26">
        <f t="shared" si="10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67" t="e">
        <f>SUMIFS([2]Up!$J:$J,[2]Up!$D:$D,D269)</f>
        <v>#VALUE!</v>
      </c>
      <c r="AM269" s="82"/>
      <c r="AN269" s="82" t="str">
        <f t="shared" si="11"/>
        <v>PL15</v>
      </c>
      <c r="AO269" s="53" t="str">
        <f t="shared" si="12"/>
        <v/>
      </c>
      <c r="AP269" s="53" t="s">
        <v>148</v>
      </c>
      <c r="AQ269" s="84" t="s">
        <v>200</v>
      </c>
      <c r="AR269" s="53"/>
      <c r="AS269" s="53" t="s">
        <v>201</v>
      </c>
      <c r="AT269" s="53">
        <v>2</v>
      </c>
      <c r="AU269" s="83">
        <v>46201</v>
      </c>
      <c r="AV269" s="53"/>
      <c r="AW269" s="53"/>
    </row>
    <row r="270" spans="3:49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3">MIN(SUM(N270:AK270),I270)</f>
        <v>1</v>
      </c>
      <c r="M270" s="26">
        <f t="shared" ref="M270:M325" si="14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67" t="e">
        <f>SUMIFS([2]Up!$J:$J,[2]Up!$D:$D,D270)</f>
        <v>#VALUE!</v>
      </c>
      <c r="AM270" s="82"/>
      <c r="AN270" s="82" t="str">
        <f t="shared" ref="AN270:AN325" si="15">IFERROR(IF(C270="Plate",LEFT(E270,FIND("*",E270,1)-1),""),IF(C270="Plate",LEFT(E270,FIND("x",E270,1)-1),""))</f>
        <v>PL15</v>
      </c>
      <c r="AO270" s="53" t="str">
        <f t="shared" ref="AO270:AO325" si="16">IF(ROUND(SUM(N270:AK270)-I270,0)&gt;0,"Thừa "&amp;SUM(N270:AK270)-I270,"")</f>
        <v/>
      </c>
      <c r="AP270" s="53" t="s">
        <v>148</v>
      </c>
      <c r="AQ270" s="84" t="s">
        <v>200</v>
      </c>
      <c r="AR270" s="53"/>
      <c r="AS270" s="53" t="s">
        <v>201</v>
      </c>
      <c r="AT270" s="53">
        <v>1</v>
      </c>
      <c r="AU270" s="83">
        <v>46201</v>
      </c>
      <c r="AV270" s="53"/>
      <c r="AW270" s="53"/>
    </row>
    <row r="271" spans="3:49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3"/>
        <v>1</v>
      </c>
      <c r="M271" s="26">
        <f t="shared" si="14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67" t="e">
        <f>SUMIFS([2]Up!$J:$J,[2]Up!$D:$D,D271)</f>
        <v>#VALUE!</v>
      </c>
      <c r="AM271" s="82"/>
      <c r="AN271" s="82" t="str">
        <f t="shared" si="15"/>
        <v>PL15</v>
      </c>
      <c r="AO271" s="53" t="str">
        <f t="shared" si="16"/>
        <v/>
      </c>
      <c r="AP271" s="53" t="s">
        <v>148</v>
      </c>
      <c r="AQ271" s="84" t="s">
        <v>200</v>
      </c>
      <c r="AR271" s="53"/>
      <c r="AS271" s="53" t="s">
        <v>201</v>
      </c>
      <c r="AT271" s="53">
        <v>1</v>
      </c>
      <c r="AU271" s="83">
        <v>46201</v>
      </c>
      <c r="AV271" s="53"/>
      <c r="AW271" s="53"/>
    </row>
    <row r="272" spans="3:49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3"/>
        <v>1</v>
      </c>
      <c r="M272" s="26">
        <f t="shared" si="14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67" t="e">
        <f>SUMIFS([2]Up!$J:$J,[2]Up!$D:$D,D272)</f>
        <v>#VALUE!</v>
      </c>
      <c r="AM272" s="82"/>
      <c r="AN272" s="82" t="str">
        <f t="shared" si="15"/>
        <v>PL15</v>
      </c>
      <c r="AO272" s="53" t="str">
        <f t="shared" si="16"/>
        <v/>
      </c>
      <c r="AP272" s="53" t="s">
        <v>148</v>
      </c>
      <c r="AQ272" s="84" t="s">
        <v>200</v>
      </c>
      <c r="AR272" s="53"/>
      <c r="AS272" s="53" t="s">
        <v>201</v>
      </c>
      <c r="AT272" s="53">
        <v>1</v>
      </c>
      <c r="AU272" s="83">
        <v>46201</v>
      </c>
      <c r="AV272" s="53"/>
      <c r="AW272" s="53"/>
    </row>
    <row r="273" spans="3:49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3"/>
        <v>1</v>
      </c>
      <c r="M273" s="26">
        <f t="shared" si="14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67" t="e">
        <f>SUMIFS([2]Up!$J:$J,[2]Up!$D:$D,D273)</f>
        <v>#VALUE!</v>
      </c>
      <c r="AM273" s="82"/>
      <c r="AN273" s="82" t="str">
        <f t="shared" si="15"/>
        <v>PL15</v>
      </c>
      <c r="AO273" s="53" t="str">
        <f t="shared" si="16"/>
        <v/>
      </c>
      <c r="AP273" s="53" t="s">
        <v>148</v>
      </c>
      <c r="AQ273" s="84" t="s">
        <v>200</v>
      </c>
      <c r="AR273" s="53"/>
      <c r="AS273" s="53" t="s">
        <v>201</v>
      </c>
      <c r="AT273" s="53">
        <v>1</v>
      </c>
      <c r="AU273" s="83">
        <v>46201</v>
      </c>
      <c r="AV273" s="53"/>
      <c r="AW273" s="53"/>
    </row>
    <row r="274" spans="3:49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3"/>
        <v>1</v>
      </c>
      <c r="M274" s="26">
        <f t="shared" si="14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67" t="e">
        <f>SUMIFS([2]Up!$J:$J,[2]Up!$D:$D,D274)</f>
        <v>#VALUE!</v>
      </c>
      <c r="AM274" s="82"/>
      <c r="AN274" s="82" t="str">
        <f t="shared" si="15"/>
        <v>PL15</v>
      </c>
      <c r="AO274" s="53" t="str">
        <f t="shared" si="16"/>
        <v/>
      </c>
      <c r="AP274" s="53" t="s">
        <v>148</v>
      </c>
      <c r="AQ274" s="84" t="s">
        <v>200</v>
      </c>
      <c r="AR274" s="53"/>
      <c r="AS274" s="53" t="s">
        <v>201</v>
      </c>
      <c r="AT274" s="53">
        <v>1</v>
      </c>
      <c r="AU274" s="83">
        <v>46201</v>
      </c>
      <c r="AV274" s="53"/>
      <c r="AW274" s="53"/>
    </row>
    <row r="275" spans="3:49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3"/>
        <v>2</v>
      </c>
      <c r="M275" s="26">
        <f t="shared" si="14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67" t="e">
        <f>SUMIFS([2]Up!$J:$J,[2]Up!$D:$D,D275)</f>
        <v>#VALUE!</v>
      </c>
      <c r="AM275" s="82"/>
      <c r="AN275" s="82" t="str">
        <f t="shared" si="15"/>
        <v>PL20</v>
      </c>
      <c r="AO275" s="53" t="str">
        <f t="shared" si="16"/>
        <v/>
      </c>
      <c r="AP275" s="53" t="s">
        <v>148</v>
      </c>
      <c r="AQ275" s="84" t="s">
        <v>319</v>
      </c>
      <c r="AR275" s="53"/>
      <c r="AS275" s="53" t="s">
        <v>320</v>
      </c>
      <c r="AT275" s="53">
        <v>2</v>
      </c>
      <c r="AU275" s="83">
        <v>46202</v>
      </c>
      <c r="AV275" s="53"/>
      <c r="AW275" s="53"/>
    </row>
    <row r="276" spans="3:49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3"/>
        <v>2</v>
      </c>
      <c r="M276" s="26">
        <f t="shared" si="14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67" t="e">
        <f>SUMIFS([2]Up!$J:$J,[2]Up!$D:$D,D276)</f>
        <v>#VALUE!</v>
      </c>
      <c r="AM276" s="82"/>
      <c r="AN276" s="82" t="str">
        <f t="shared" si="15"/>
        <v>PL20</v>
      </c>
      <c r="AO276" s="53" t="str">
        <f t="shared" si="16"/>
        <v/>
      </c>
      <c r="AP276" s="53" t="s">
        <v>148</v>
      </c>
      <c r="AQ276" s="84" t="s">
        <v>319</v>
      </c>
      <c r="AR276" s="53"/>
      <c r="AS276" s="53" t="s">
        <v>320</v>
      </c>
      <c r="AT276" s="53">
        <v>2</v>
      </c>
      <c r="AU276" s="83">
        <v>46202</v>
      </c>
      <c r="AV276" s="53"/>
      <c r="AW276" s="53"/>
    </row>
    <row r="277" spans="3:49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3"/>
        <v>1</v>
      </c>
      <c r="M277" s="26">
        <f t="shared" si="14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67" t="e">
        <f>SUMIFS([2]Up!$J:$J,[2]Up!$D:$D,D277)</f>
        <v>#VALUE!</v>
      </c>
      <c r="AM277" s="82" t="s">
        <v>2083</v>
      </c>
      <c r="AN277" s="82" t="str">
        <f t="shared" si="15"/>
        <v>PL15</v>
      </c>
      <c r="AO277" s="53" t="str">
        <f t="shared" si="16"/>
        <v>Thừa 4</v>
      </c>
      <c r="AP277" s="53" t="s">
        <v>148</v>
      </c>
      <c r="AQ277" s="53"/>
      <c r="AR277" s="53"/>
      <c r="AS277" s="53" t="s">
        <v>57</v>
      </c>
      <c r="AT277" s="53">
        <v>1</v>
      </c>
      <c r="AU277" s="83"/>
      <c r="AV277" s="53"/>
      <c r="AW277" s="53"/>
    </row>
    <row r="278" spans="3:49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3"/>
        <v>2</v>
      </c>
      <c r="M278" s="26">
        <f t="shared" si="14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67" t="e">
        <f>SUMIFS([2]Up!$J:$J,[2]Up!$D:$D,D278)</f>
        <v>#VALUE!</v>
      </c>
      <c r="AM278" s="82"/>
      <c r="AN278" s="82" t="str">
        <f t="shared" si="15"/>
        <v>PL20</v>
      </c>
      <c r="AO278" s="53" t="str">
        <f t="shared" si="16"/>
        <v/>
      </c>
      <c r="AP278" s="53" t="s">
        <v>148</v>
      </c>
      <c r="AQ278" s="84" t="s">
        <v>319</v>
      </c>
      <c r="AR278" s="53"/>
      <c r="AS278" s="53" t="s">
        <v>320</v>
      </c>
      <c r="AT278" s="53">
        <v>2</v>
      </c>
      <c r="AU278" s="83">
        <v>46202</v>
      </c>
      <c r="AV278" s="53"/>
      <c r="AW278" s="53"/>
    </row>
    <row r="279" spans="3:49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3"/>
        <v>4</v>
      </c>
      <c r="M279" s="26">
        <f t="shared" si="14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67" t="e">
        <f>SUMIFS([2]Up!$J:$J,[2]Up!$D:$D,D279)</f>
        <v>#VALUE!</v>
      </c>
      <c r="AM279" s="82"/>
      <c r="AN279" s="82" t="str">
        <f t="shared" si="15"/>
        <v>PL3</v>
      </c>
      <c r="AO279" s="53" t="str">
        <f t="shared" si="16"/>
        <v/>
      </c>
      <c r="AP279" s="53" t="s">
        <v>148</v>
      </c>
      <c r="AQ279" s="84" t="s">
        <v>682</v>
      </c>
      <c r="AR279" s="53"/>
      <c r="AS279" s="53" t="s">
        <v>683</v>
      </c>
      <c r="AT279" s="53">
        <v>4</v>
      </c>
      <c r="AU279" s="83">
        <v>46196</v>
      </c>
      <c r="AV279" s="53"/>
      <c r="AW279" s="53"/>
    </row>
    <row r="280" spans="3:49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3"/>
        <v>2</v>
      </c>
      <c r="M280" s="26">
        <f t="shared" si="14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67" t="e">
        <f>SUMIFS([2]Up!$J:$J,[2]Up!$D:$D,D280)</f>
        <v>#VALUE!</v>
      </c>
      <c r="AM280" s="82"/>
      <c r="AN280" s="82" t="str">
        <f t="shared" si="15"/>
        <v>PL20</v>
      </c>
      <c r="AO280" s="53" t="str">
        <f t="shared" si="16"/>
        <v/>
      </c>
      <c r="AP280" s="53" t="s">
        <v>148</v>
      </c>
      <c r="AQ280" s="84" t="s">
        <v>319</v>
      </c>
      <c r="AR280" s="53"/>
      <c r="AS280" s="53" t="s">
        <v>320</v>
      </c>
      <c r="AT280" s="53">
        <v>2</v>
      </c>
      <c r="AU280" s="83">
        <v>46202</v>
      </c>
      <c r="AV280" s="53"/>
      <c r="AW280" s="53"/>
    </row>
    <row r="281" spans="3:49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3"/>
        <v>4</v>
      </c>
      <c r="M281" s="26">
        <f t="shared" si="14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67" t="e">
        <f>SUMIFS([2]Up!$J:$J,[2]Up!$D:$D,D281)</f>
        <v>#VALUE!</v>
      </c>
      <c r="AM281" s="82"/>
      <c r="AN281" s="82" t="str">
        <f t="shared" si="15"/>
        <v>PL20</v>
      </c>
      <c r="AO281" s="53" t="str">
        <f t="shared" si="16"/>
        <v/>
      </c>
      <c r="AP281" s="53" t="s">
        <v>148</v>
      </c>
      <c r="AQ281" s="84" t="s">
        <v>319</v>
      </c>
      <c r="AR281" s="53"/>
      <c r="AS281" s="53" t="s">
        <v>320</v>
      </c>
      <c r="AT281" s="53">
        <v>4</v>
      </c>
      <c r="AU281" s="83">
        <v>46202</v>
      </c>
      <c r="AV281" s="53"/>
      <c r="AW281" s="53"/>
    </row>
    <row r="282" spans="3:49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3"/>
        <v>1</v>
      </c>
      <c r="M282" s="26">
        <f t="shared" si="14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67" t="e">
        <f>SUMIFS([2]Up!$J:$J,[2]Up!$D:$D,D282)</f>
        <v>#VALUE!</v>
      </c>
      <c r="AM282" s="82"/>
      <c r="AN282" s="82" t="str">
        <f t="shared" si="15"/>
        <v>PL30</v>
      </c>
      <c r="AO282" s="53" t="str">
        <f t="shared" si="16"/>
        <v/>
      </c>
      <c r="AP282" s="53" t="s">
        <v>148</v>
      </c>
      <c r="AQ282" s="84" t="s">
        <v>688</v>
      </c>
      <c r="AR282" s="53"/>
      <c r="AS282" s="53" t="s">
        <v>689</v>
      </c>
      <c r="AT282" s="53">
        <v>1</v>
      </c>
      <c r="AU282" s="83">
        <v>46196</v>
      </c>
      <c r="AV282" s="53"/>
      <c r="AW282" s="53"/>
    </row>
    <row r="283" spans="3:49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3"/>
        <v>2</v>
      </c>
      <c r="M283" s="26">
        <f t="shared" si="14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67" t="e">
        <f>SUMIFS([2]Up!$J:$J,[2]Up!$D:$D,D283)</f>
        <v>#VALUE!</v>
      </c>
      <c r="AM283" s="82"/>
      <c r="AN283" s="82" t="str">
        <f t="shared" si="15"/>
        <v>PL20</v>
      </c>
      <c r="AO283" s="53" t="str">
        <f t="shared" si="16"/>
        <v/>
      </c>
      <c r="AP283" s="53" t="s">
        <v>148</v>
      </c>
      <c r="AQ283" s="84" t="s">
        <v>319</v>
      </c>
      <c r="AR283" s="53"/>
      <c r="AS283" s="53" t="s">
        <v>320</v>
      </c>
      <c r="AT283" s="53">
        <v>2</v>
      </c>
      <c r="AU283" s="83">
        <v>46202</v>
      </c>
      <c r="AV283" s="53"/>
      <c r="AW283" s="53"/>
    </row>
    <row r="284" spans="3:49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3"/>
        <v>2</v>
      </c>
      <c r="M284" s="26">
        <f t="shared" si="14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67" t="e">
        <f>SUMIFS([2]Up!$J:$J,[2]Up!$D:$D,D284)</f>
        <v>#VALUE!</v>
      </c>
      <c r="AM284" s="82"/>
      <c r="AN284" s="82" t="str">
        <f t="shared" si="15"/>
        <v>PL20</v>
      </c>
      <c r="AO284" s="53" t="str">
        <f t="shared" si="16"/>
        <v/>
      </c>
      <c r="AP284" s="53" t="s">
        <v>148</v>
      </c>
      <c r="AQ284" s="84" t="s">
        <v>319</v>
      </c>
      <c r="AR284" s="53"/>
      <c r="AS284" s="53" t="s">
        <v>320</v>
      </c>
      <c r="AT284" s="53">
        <v>2</v>
      </c>
      <c r="AU284" s="83">
        <v>46202</v>
      </c>
      <c r="AV284" s="53"/>
      <c r="AW284" s="53"/>
    </row>
    <row r="285" spans="3:49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3"/>
        <v>4</v>
      </c>
      <c r="M285" s="26">
        <f t="shared" si="14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67" t="e">
        <f>SUMIFS([2]Up!$J:$J,[2]Up!$D:$D,D285)</f>
        <v>#VALUE!</v>
      </c>
      <c r="AM285" s="82"/>
      <c r="AN285" s="82" t="str">
        <f t="shared" si="15"/>
        <v>PL20</v>
      </c>
      <c r="AO285" s="53" t="str">
        <f t="shared" si="16"/>
        <v/>
      </c>
      <c r="AP285" s="53" t="s">
        <v>148</v>
      </c>
      <c r="AQ285" s="84" t="s">
        <v>319</v>
      </c>
      <c r="AR285" s="53"/>
      <c r="AS285" s="53" t="s">
        <v>320</v>
      </c>
      <c r="AT285" s="53">
        <v>4</v>
      </c>
      <c r="AU285" s="83">
        <v>46202</v>
      </c>
      <c r="AV285" s="53"/>
      <c r="AW285" s="53"/>
    </row>
    <row r="286" spans="3:49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3"/>
        <v>2</v>
      </c>
      <c r="M286" s="26">
        <f t="shared" si="14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67" t="e">
        <f>SUMIFS([2]Up!$J:$J,[2]Up!$D:$D,D286)</f>
        <v>#VALUE!</v>
      </c>
      <c r="AM286" s="82"/>
      <c r="AN286" s="82" t="str">
        <f t="shared" si="15"/>
        <v>PL20</v>
      </c>
      <c r="AO286" s="53" t="str">
        <f t="shared" si="16"/>
        <v/>
      </c>
      <c r="AP286" s="53" t="s">
        <v>148</v>
      </c>
      <c r="AQ286" s="84" t="s">
        <v>319</v>
      </c>
      <c r="AR286" s="53"/>
      <c r="AS286" s="53" t="s">
        <v>320</v>
      </c>
      <c r="AT286" s="53">
        <v>2</v>
      </c>
      <c r="AU286" s="83">
        <v>46202</v>
      </c>
      <c r="AV286" s="53"/>
      <c r="AW286" s="53"/>
    </row>
    <row r="287" spans="3:49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3"/>
        <v>2</v>
      </c>
      <c r="M287" s="26">
        <f t="shared" si="14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67" t="e">
        <f>SUMIFS([2]Up!$J:$J,[2]Up!$D:$D,D287)</f>
        <v>#VALUE!</v>
      </c>
      <c r="AM287" s="82"/>
      <c r="AN287" s="82" t="str">
        <f t="shared" si="15"/>
        <v>PL20</v>
      </c>
      <c r="AO287" s="53" t="str">
        <f t="shared" si="16"/>
        <v/>
      </c>
      <c r="AP287" s="53" t="s">
        <v>148</v>
      </c>
      <c r="AQ287" s="84" t="s">
        <v>319</v>
      </c>
      <c r="AR287" s="53"/>
      <c r="AS287" s="53" t="s">
        <v>320</v>
      </c>
      <c r="AT287" s="53">
        <v>2</v>
      </c>
      <c r="AU287" s="83">
        <v>46202</v>
      </c>
      <c r="AV287" s="53"/>
      <c r="AW287" s="53"/>
    </row>
    <row r="288" spans="3:49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3"/>
        <v>4</v>
      </c>
      <c r="M288" s="26">
        <f t="shared" si="14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67" t="e">
        <f>SUMIFS([2]Up!$J:$J,[2]Up!$D:$D,D288)</f>
        <v>#VALUE!</v>
      </c>
      <c r="AM288" s="82"/>
      <c r="AN288" s="82" t="str">
        <f t="shared" si="15"/>
        <v>PL20</v>
      </c>
      <c r="AO288" s="53" t="str">
        <f t="shared" si="16"/>
        <v/>
      </c>
      <c r="AP288" s="53" t="s">
        <v>148</v>
      </c>
      <c r="AQ288" s="84" t="s">
        <v>319</v>
      </c>
      <c r="AR288" s="53"/>
      <c r="AS288" s="53" t="s">
        <v>320</v>
      </c>
      <c r="AT288" s="53">
        <v>4</v>
      </c>
      <c r="AU288" s="83">
        <v>46202</v>
      </c>
      <c r="AV288" s="53"/>
      <c r="AW288" s="53"/>
    </row>
    <row r="289" spans="3:49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3"/>
        <v>1</v>
      </c>
      <c r="M289" s="26">
        <f t="shared" si="14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67" t="e">
        <f>SUMIFS([2]Up!$J:$J,[2]Up!$D:$D,D289)</f>
        <v>#VALUE!</v>
      </c>
      <c r="AM289" s="82"/>
      <c r="AN289" s="82" t="str">
        <f t="shared" si="15"/>
        <v>PL5</v>
      </c>
      <c r="AO289" s="53" t="str">
        <f t="shared" si="16"/>
        <v/>
      </c>
      <c r="AP289" s="53" t="s">
        <v>148</v>
      </c>
      <c r="AQ289" s="53" t="s">
        <v>704</v>
      </c>
      <c r="AR289" s="53"/>
      <c r="AS289" s="53" t="s">
        <v>705</v>
      </c>
      <c r="AT289" s="53">
        <v>1</v>
      </c>
      <c r="AU289" s="83">
        <v>46196</v>
      </c>
      <c r="AV289" s="53"/>
      <c r="AW289" s="53"/>
    </row>
    <row r="290" spans="3:49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3"/>
        <v>1</v>
      </c>
      <c r="M290" s="26">
        <f t="shared" si="14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67" t="e">
        <f>SUMIFS([2]Up!$J:$J,[2]Up!$D:$D,D290)</f>
        <v>#VALUE!</v>
      </c>
      <c r="AM290" s="82"/>
      <c r="AN290" s="82" t="str">
        <f t="shared" si="15"/>
        <v>PL20</v>
      </c>
      <c r="AO290" s="53" t="str">
        <f t="shared" si="16"/>
        <v/>
      </c>
      <c r="AP290" s="53" t="s">
        <v>148</v>
      </c>
      <c r="AQ290" s="84" t="s">
        <v>319</v>
      </c>
      <c r="AR290" s="53"/>
      <c r="AS290" s="53" t="s">
        <v>320</v>
      </c>
      <c r="AT290" s="53">
        <v>1</v>
      </c>
      <c r="AU290" s="83">
        <v>46202</v>
      </c>
      <c r="AV290" s="53"/>
      <c r="AW290" s="53"/>
    </row>
    <row r="291" spans="3:49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3"/>
        <v>1</v>
      </c>
      <c r="M291" s="26">
        <f t="shared" si="14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67" t="e">
        <f>SUMIFS([2]Up!$J:$J,[2]Up!$D:$D,D291)</f>
        <v>#VALUE!</v>
      </c>
      <c r="AM291" s="82"/>
      <c r="AN291" s="82" t="str">
        <f t="shared" si="15"/>
        <v>PL20</v>
      </c>
      <c r="AO291" s="53" t="str">
        <f t="shared" si="16"/>
        <v/>
      </c>
      <c r="AP291" s="53" t="s">
        <v>148</v>
      </c>
      <c r="AQ291" s="84" t="s">
        <v>319</v>
      </c>
      <c r="AR291" s="53"/>
      <c r="AS291" s="53" t="s">
        <v>320</v>
      </c>
      <c r="AT291" s="53">
        <v>1</v>
      </c>
      <c r="AU291" s="83">
        <v>46202</v>
      </c>
      <c r="AV291" s="53"/>
      <c r="AW291" s="53"/>
    </row>
    <row r="292" spans="3:49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3"/>
        <v>2</v>
      </c>
      <c r="M292" s="26">
        <f t="shared" si="14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67" t="e">
        <f>SUMIFS([2]Up!$J:$J,[2]Up!$D:$D,D292)</f>
        <v>#VALUE!</v>
      </c>
      <c r="AM292" s="82"/>
      <c r="AN292" s="82" t="str">
        <f t="shared" si="15"/>
        <v>PL20</v>
      </c>
      <c r="AO292" s="53" t="str">
        <f t="shared" si="16"/>
        <v/>
      </c>
      <c r="AP292" s="53" t="s">
        <v>148</v>
      </c>
      <c r="AQ292" s="84" t="s">
        <v>319</v>
      </c>
      <c r="AR292" s="53"/>
      <c r="AS292" s="53" t="s">
        <v>320</v>
      </c>
      <c r="AT292" s="53">
        <v>2</v>
      </c>
      <c r="AU292" s="83">
        <v>46202</v>
      </c>
      <c r="AV292" s="53"/>
      <c r="AW292" s="53"/>
    </row>
    <row r="293" spans="3:49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3"/>
        <v>2</v>
      </c>
      <c r="M293" s="26">
        <f t="shared" si="14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67" t="e">
        <f>SUMIFS([2]Up!$J:$J,[2]Up!$D:$D,D293)</f>
        <v>#VALUE!</v>
      </c>
      <c r="AM293" s="82"/>
      <c r="AN293" s="82" t="str">
        <f t="shared" si="15"/>
        <v>PL20</v>
      </c>
      <c r="AO293" s="53" t="str">
        <f t="shared" si="16"/>
        <v/>
      </c>
      <c r="AP293" s="53" t="s">
        <v>148</v>
      </c>
      <c r="AQ293" s="84" t="s">
        <v>319</v>
      </c>
      <c r="AR293" s="53"/>
      <c r="AS293" s="53" t="s">
        <v>320</v>
      </c>
      <c r="AT293" s="53">
        <v>2</v>
      </c>
      <c r="AU293" s="83">
        <v>46202</v>
      </c>
      <c r="AV293" s="53"/>
      <c r="AW293" s="53"/>
    </row>
    <row r="294" spans="3:49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3"/>
        <v>2</v>
      </c>
      <c r="M294" s="26">
        <f t="shared" si="14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67" t="e">
        <f>SUMIFS([2]Up!$J:$J,[2]Up!$D:$D,D294)</f>
        <v>#VALUE!</v>
      </c>
      <c r="AM294" s="82"/>
      <c r="AN294" s="82" t="str">
        <f t="shared" si="15"/>
        <v>PL20</v>
      </c>
      <c r="AO294" s="53" t="str">
        <f t="shared" si="16"/>
        <v/>
      </c>
      <c r="AP294" s="53" t="s">
        <v>148</v>
      </c>
      <c r="AQ294" s="84" t="s">
        <v>319</v>
      </c>
      <c r="AR294" s="53"/>
      <c r="AS294" s="53" t="s">
        <v>320</v>
      </c>
      <c r="AT294" s="53">
        <v>2</v>
      </c>
      <c r="AU294" s="83">
        <v>46202</v>
      </c>
      <c r="AV294" s="53"/>
      <c r="AW294" s="53"/>
    </row>
    <row r="295" spans="3:49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3"/>
        <v>2</v>
      </c>
      <c r="M295" s="26">
        <f t="shared" si="1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67" t="e">
        <f>SUMIFS([2]Up!$J:$J,[2]Up!$D:$D,D295)</f>
        <v>#VALUE!</v>
      </c>
      <c r="AM295" s="82"/>
      <c r="AN295" s="82" t="str">
        <f t="shared" si="15"/>
        <v>PL20</v>
      </c>
      <c r="AO295" s="53" t="str">
        <f t="shared" si="16"/>
        <v/>
      </c>
      <c r="AP295" s="53" t="s">
        <v>148</v>
      </c>
      <c r="AQ295" s="84" t="s">
        <v>319</v>
      </c>
      <c r="AR295" s="53"/>
      <c r="AS295" s="53" t="s">
        <v>320</v>
      </c>
      <c r="AT295" s="53">
        <v>2</v>
      </c>
      <c r="AU295" s="83">
        <v>46202</v>
      </c>
      <c r="AV295" s="53"/>
      <c r="AW295" s="53"/>
    </row>
    <row r="296" spans="3:49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3"/>
        <v>0</v>
      </c>
      <c r="M296" s="26">
        <f t="shared" si="14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67" t="e">
        <f>SUMIFS([2]Up!$J:$J,[2]Up!$D:$D,D296)</f>
        <v>#VALUE!</v>
      </c>
      <c r="AM296" s="82"/>
      <c r="AN296" s="82" t="e">
        <f t="shared" si="15"/>
        <v>#VALUE!</v>
      </c>
      <c r="AO296" s="53" t="str">
        <f t="shared" si="16"/>
        <v/>
      </c>
      <c r="AP296" s="53" t="s">
        <v>148</v>
      </c>
      <c r="AQ296" s="53"/>
      <c r="AR296" s="53"/>
      <c r="AS296" s="53"/>
      <c r="AT296" s="53"/>
      <c r="AU296" s="83"/>
      <c r="AV296" s="53"/>
      <c r="AW296" s="53"/>
    </row>
    <row r="297" spans="3:49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3"/>
        <v>0</v>
      </c>
      <c r="M297" s="26">
        <f t="shared" si="14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67" t="e">
        <f>SUMIFS([2]Up!$J:$J,[2]Up!$D:$D,D297)</f>
        <v>#VALUE!</v>
      </c>
      <c r="AM297" s="82"/>
      <c r="AN297" s="82" t="str">
        <f t="shared" si="15"/>
        <v>PL10</v>
      </c>
      <c r="AO297" s="53" t="str">
        <f t="shared" si="16"/>
        <v/>
      </c>
      <c r="AP297" s="53" t="s">
        <v>148</v>
      </c>
      <c r="AQ297" s="53"/>
      <c r="AR297" s="53"/>
      <c r="AS297" s="53"/>
      <c r="AT297" s="53"/>
      <c r="AU297" s="83"/>
      <c r="AV297" s="53"/>
      <c r="AW297" s="53"/>
    </row>
    <row r="298" spans="3:49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3"/>
        <v>0</v>
      </c>
      <c r="M298" s="26">
        <f t="shared" si="14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67" t="e">
        <f>SUMIFS([2]Up!$J:$J,[2]Up!$D:$D,D298)</f>
        <v>#VALUE!</v>
      </c>
      <c r="AM298" s="82"/>
      <c r="AN298" s="82" t="str">
        <f t="shared" si="15"/>
        <v>PL12</v>
      </c>
      <c r="AO298" s="53" t="str">
        <f t="shared" si="16"/>
        <v/>
      </c>
      <c r="AP298" s="53" t="s">
        <v>148</v>
      </c>
      <c r="AQ298" s="53"/>
      <c r="AR298" s="53"/>
      <c r="AS298" s="53"/>
      <c r="AT298" s="53"/>
      <c r="AU298" s="83"/>
      <c r="AV298" s="53"/>
      <c r="AW298" s="53"/>
    </row>
    <row r="299" spans="3:49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3"/>
        <v>0</v>
      </c>
      <c r="M299" s="26">
        <f t="shared" si="14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67" t="e">
        <f>SUMIFS([2]Up!$J:$J,[2]Up!$D:$D,D299)</f>
        <v>#VALUE!</v>
      </c>
      <c r="AM299" s="82"/>
      <c r="AN299" s="82" t="e">
        <f t="shared" si="15"/>
        <v>#VALUE!</v>
      </c>
      <c r="AO299" s="53" t="str">
        <f t="shared" si="16"/>
        <v/>
      </c>
      <c r="AP299" s="53" t="s">
        <v>148</v>
      </c>
      <c r="AQ299" s="53"/>
      <c r="AR299" s="53"/>
      <c r="AS299" s="53"/>
      <c r="AT299" s="53"/>
      <c r="AU299" s="83"/>
      <c r="AV299" s="53"/>
      <c r="AW299" s="53"/>
    </row>
    <row r="300" spans="3:49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3"/>
        <v>0</v>
      </c>
      <c r="M300" s="26">
        <f t="shared" si="14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67" t="e">
        <f>SUMIFS([2]Up!$J:$J,[2]Up!$D:$D,D300)</f>
        <v>#VALUE!</v>
      </c>
      <c r="AM300" s="82"/>
      <c r="AN300" s="82" t="str">
        <f t="shared" si="15"/>
        <v>PL10</v>
      </c>
      <c r="AO300" s="53" t="str">
        <f t="shared" si="16"/>
        <v/>
      </c>
      <c r="AP300" s="53" t="s">
        <v>148</v>
      </c>
      <c r="AQ300" s="53"/>
      <c r="AR300" s="53"/>
      <c r="AS300" s="53"/>
      <c r="AT300" s="53"/>
      <c r="AU300" s="83"/>
      <c r="AV300" s="53"/>
      <c r="AW300" s="53"/>
    </row>
    <row r="301" spans="3:49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3"/>
        <v>0</v>
      </c>
      <c r="M301" s="26">
        <f t="shared" si="14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67" t="e">
        <f>SUMIFS([2]Up!$J:$J,[2]Up!$D:$D,D301)</f>
        <v>#VALUE!</v>
      </c>
      <c r="AM301" s="82"/>
      <c r="AN301" s="82" t="str">
        <f t="shared" si="15"/>
        <v>PL12</v>
      </c>
      <c r="AO301" s="53" t="str">
        <f t="shared" si="16"/>
        <v/>
      </c>
      <c r="AP301" s="53" t="s">
        <v>148</v>
      </c>
      <c r="AQ301" s="53"/>
      <c r="AR301" s="53"/>
      <c r="AS301" s="53"/>
      <c r="AT301" s="53"/>
      <c r="AU301" s="83"/>
      <c r="AV301" s="53"/>
      <c r="AW301" s="53"/>
    </row>
    <row r="302" spans="3:49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3"/>
        <v>0</v>
      </c>
      <c r="M302" s="26">
        <f t="shared" si="14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67" t="e">
        <f>SUMIFS([2]Up!$J:$J,[2]Up!$D:$D,D302)</f>
        <v>#VALUE!</v>
      </c>
      <c r="AM302" s="82"/>
      <c r="AN302" s="82" t="e">
        <f t="shared" si="15"/>
        <v>#VALUE!</v>
      </c>
      <c r="AO302" s="53" t="str">
        <f t="shared" si="16"/>
        <v/>
      </c>
      <c r="AP302" s="53" t="s">
        <v>148</v>
      </c>
      <c r="AQ302" s="53"/>
      <c r="AR302" s="53"/>
      <c r="AS302" s="53"/>
      <c r="AT302" s="53"/>
      <c r="AU302" s="83"/>
      <c r="AV302" s="53"/>
      <c r="AW302" s="53"/>
    </row>
    <row r="303" spans="3:49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3"/>
        <v>0</v>
      </c>
      <c r="M303" s="26">
        <f t="shared" si="14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67" t="e">
        <f>SUMIFS([2]Up!$J:$J,[2]Up!$D:$D,D303)</f>
        <v>#VALUE!</v>
      </c>
      <c r="AM303" s="82"/>
      <c r="AN303" s="82" t="str">
        <f t="shared" si="15"/>
        <v>PL10</v>
      </c>
      <c r="AO303" s="53" t="str">
        <f t="shared" si="16"/>
        <v/>
      </c>
      <c r="AP303" s="53" t="s">
        <v>148</v>
      </c>
      <c r="AQ303" s="53"/>
      <c r="AR303" s="53"/>
      <c r="AS303" s="53"/>
      <c r="AT303" s="53"/>
      <c r="AU303" s="83"/>
      <c r="AV303" s="53"/>
      <c r="AW303" s="53"/>
    </row>
    <row r="304" spans="3:49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3"/>
        <v>0</v>
      </c>
      <c r="M304" s="26">
        <f t="shared" si="14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67" t="e">
        <f>SUMIFS([2]Up!$J:$J,[2]Up!$D:$D,D304)</f>
        <v>#VALUE!</v>
      </c>
      <c r="AM304" s="82"/>
      <c r="AN304" s="82" t="str">
        <f t="shared" si="15"/>
        <v>PL10</v>
      </c>
      <c r="AO304" s="53" t="str">
        <f t="shared" si="16"/>
        <v/>
      </c>
      <c r="AP304" s="53" t="s">
        <v>148</v>
      </c>
      <c r="AQ304" s="53"/>
      <c r="AR304" s="53"/>
      <c r="AS304" s="53"/>
      <c r="AT304" s="53"/>
      <c r="AU304" s="83"/>
      <c r="AV304" s="53"/>
      <c r="AW304" s="53"/>
    </row>
    <row r="305" spans="3:49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3"/>
        <v>0</v>
      </c>
      <c r="M305" s="26">
        <f t="shared" si="14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67" t="e">
        <f>SUMIFS([2]Up!$J:$J,[2]Up!$D:$D,D305)</f>
        <v>#VALUE!</v>
      </c>
      <c r="AM305" s="82"/>
      <c r="AN305" s="82" t="e">
        <f t="shared" si="15"/>
        <v>#VALUE!</v>
      </c>
      <c r="AO305" s="53" t="str">
        <f t="shared" si="16"/>
        <v/>
      </c>
      <c r="AP305" s="53" t="s">
        <v>148</v>
      </c>
      <c r="AQ305" s="53"/>
      <c r="AR305" s="53"/>
      <c r="AS305" s="53"/>
      <c r="AT305" s="53"/>
      <c r="AU305" s="83"/>
      <c r="AV305" s="53"/>
      <c r="AW305" s="53"/>
    </row>
    <row r="306" spans="3:49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3"/>
        <v>0</v>
      </c>
      <c r="M306" s="26">
        <f t="shared" si="14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67" t="e">
        <f>SUMIFS([2]Up!$J:$J,[2]Up!$D:$D,D306)</f>
        <v>#VALUE!</v>
      </c>
      <c r="AM306" s="82"/>
      <c r="AN306" s="82" t="str">
        <f t="shared" si="15"/>
        <v>PL10</v>
      </c>
      <c r="AO306" s="53" t="str">
        <f t="shared" si="16"/>
        <v/>
      </c>
      <c r="AP306" s="53" t="s">
        <v>148</v>
      </c>
      <c r="AQ306" s="53"/>
      <c r="AR306" s="53"/>
      <c r="AS306" s="53"/>
      <c r="AT306" s="53"/>
      <c r="AU306" s="83"/>
      <c r="AV306" s="53"/>
      <c r="AW306" s="53"/>
    </row>
    <row r="307" spans="3:49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3"/>
        <v>0</v>
      </c>
      <c r="M307" s="26">
        <f t="shared" si="14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67" t="e">
        <f>SUMIFS([2]Up!$J:$J,[2]Up!$D:$D,D307)</f>
        <v>#VALUE!</v>
      </c>
      <c r="AM307" s="82"/>
      <c r="AN307" s="82" t="str">
        <f t="shared" si="15"/>
        <v>PL12</v>
      </c>
      <c r="AO307" s="53" t="str">
        <f t="shared" si="16"/>
        <v/>
      </c>
      <c r="AP307" s="53" t="s">
        <v>148</v>
      </c>
      <c r="AQ307" s="53"/>
      <c r="AR307" s="53"/>
      <c r="AS307" s="53"/>
      <c r="AT307" s="53"/>
      <c r="AU307" s="83"/>
      <c r="AV307" s="53"/>
      <c r="AW307" s="53"/>
    </row>
    <row r="308" spans="3:49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3"/>
        <v>0</v>
      </c>
      <c r="M308" s="26">
        <f t="shared" si="14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67" t="e">
        <f>SUMIFS([2]Up!$J:$J,[2]Up!$D:$D,D308)</f>
        <v>#VALUE!</v>
      </c>
      <c r="AM308" s="82"/>
      <c r="AN308" s="82" t="e">
        <f t="shared" si="15"/>
        <v>#VALUE!</v>
      </c>
      <c r="AO308" s="53" t="str">
        <f t="shared" si="16"/>
        <v/>
      </c>
      <c r="AP308" s="53" t="s">
        <v>148</v>
      </c>
      <c r="AQ308" s="53"/>
      <c r="AR308" s="53"/>
      <c r="AS308" s="53"/>
      <c r="AT308" s="53"/>
      <c r="AU308" s="83"/>
      <c r="AV308" s="53"/>
      <c r="AW308" s="53"/>
    </row>
    <row r="309" spans="3:49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3"/>
        <v>0</v>
      </c>
      <c r="M309" s="26">
        <f t="shared" si="14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67" t="e">
        <f>SUMIFS([2]Up!$J:$J,[2]Up!$D:$D,D309)</f>
        <v>#VALUE!</v>
      </c>
      <c r="AM309" s="82"/>
      <c r="AN309" s="82" t="str">
        <f t="shared" si="15"/>
        <v>PL12</v>
      </c>
      <c r="AO309" s="53" t="str">
        <f t="shared" si="16"/>
        <v/>
      </c>
      <c r="AP309" s="53" t="s">
        <v>148</v>
      </c>
      <c r="AQ309" s="53"/>
      <c r="AR309" s="53"/>
      <c r="AS309" s="53"/>
      <c r="AT309" s="53"/>
      <c r="AU309" s="83"/>
      <c r="AV309" s="53"/>
      <c r="AW309" s="53"/>
    </row>
    <row r="310" spans="3:49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3"/>
        <v>0</v>
      </c>
      <c r="M310" s="26">
        <f t="shared" si="14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67" t="e">
        <f>SUMIFS([2]Up!$J:$J,[2]Up!$D:$D,D310)</f>
        <v>#VALUE!</v>
      </c>
      <c r="AM310" s="82"/>
      <c r="AN310" s="82" t="str">
        <f t="shared" si="15"/>
        <v>PL10</v>
      </c>
      <c r="AO310" s="53" t="str">
        <f t="shared" si="16"/>
        <v/>
      </c>
      <c r="AP310" s="53" t="s">
        <v>148</v>
      </c>
      <c r="AQ310" s="53"/>
      <c r="AR310" s="53"/>
      <c r="AS310" s="53"/>
      <c r="AT310" s="53"/>
      <c r="AU310" s="83"/>
      <c r="AV310" s="53"/>
      <c r="AW310" s="53"/>
    </row>
    <row r="311" spans="3:49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3"/>
        <v>0</v>
      </c>
      <c r="M311" s="26">
        <f t="shared" si="14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67" t="e">
        <f>SUMIFS([2]Up!$J:$J,[2]Up!$D:$D,D311)</f>
        <v>#VALUE!</v>
      </c>
      <c r="AM311" s="82"/>
      <c r="AN311" s="82" t="e">
        <f t="shared" si="15"/>
        <v>#VALUE!</v>
      </c>
      <c r="AO311" s="53" t="str">
        <f t="shared" si="16"/>
        <v/>
      </c>
      <c r="AP311" s="53" t="s">
        <v>148</v>
      </c>
      <c r="AQ311" s="53"/>
      <c r="AR311" s="53"/>
      <c r="AS311" s="53"/>
      <c r="AT311" s="53"/>
      <c r="AU311" s="83"/>
      <c r="AV311" s="53"/>
      <c r="AW311" s="53"/>
    </row>
    <row r="312" spans="3:49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3"/>
        <v>0</v>
      </c>
      <c r="M312" s="26">
        <f t="shared" si="14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67" t="e">
        <f>SUMIFS([2]Up!$J:$J,[2]Up!$D:$D,D312)</f>
        <v>#VALUE!</v>
      </c>
      <c r="AM312" s="82"/>
      <c r="AN312" s="82" t="str">
        <f t="shared" si="15"/>
        <v>PL10</v>
      </c>
      <c r="AO312" s="53" t="str">
        <f t="shared" si="16"/>
        <v/>
      </c>
      <c r="AP312" s="53" t="s">
        <v>148</v>
      </c>
      <c r="AQ312" s="53"/>
      <c r="AR312" s="53"/>
      <c r="AS312" s="53"/>
      <c r="AT312" s="53"/>
      <c r="AU312" s="83"/>
      <c r="AV312" s="53"/>
      <c r="AW312" s="53"/>
    </row>
    <row r="313" spans="3:49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3"/>
        <v>0</v>
      </c>
      <c r="M313" s="26">
        <f t="shared" si="14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67" t="e">
        <f>SUMIFS([2]Up!$J:$J,[2]Up!$D:$D,D313)</f>
        <v>#VALUE!</v>
      </c>
      <c r="AM313" s="82"/>
      <c r="AN313" s="82" t="str">
        <f t="shared" si="15"/>
        <v>PL10</v>
      </c>
      <c r="AO313" s="53" t="str">
        <f t="shared" si="16"/>
        <v/>
      </c>
      <c r="AP313" s="53" t="s">
        <v>148</v>
      </c>
      <c r="AQ313" s="53"/>
      <c r="AR313" s="53"/>
      <c r="AS313" s="53"/>
      <c r="AT313" s="53"/>
      <c r="AU313" s="83"/>
      <c r="AV313" s="53"/>
      <c r="AW313" s="53"/>
    </row>
    <row r="314" spans="3:49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3"/>
        <v>0</v>
      </c>
      <c r="M314" s="26">
        <f t="shared" si="14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67" t="e">
        <f>SUMIFS([2]Up!$J:$J,[2]Up!$D:$D,D314)</f>
        <v>#VALUE!</v>
      </c>
      <c r="AM314" s="82"/>
      <c r="AN314" s="82" t="e">
        <f t="shared" si="15"/>
        <v>#VALUE!</v>
      </c>
      <c r="AO314" s="53" t="str">
        <f t="shared" si="16"/>
        <v/>
      </c>
      <c r="AP314" s="53" t="s">
        <v>154</v>
      </c>
      <c r="AQ314" s="53"/>
      <c r="AR314" s="53"/>
      <c r="AS314" s="53"/>
      <c r="AT314" s="53"/>
      <c r="AU314" s="83"/>
      <c r="AV314" s="53"/>
      <c r="AW314" s="53"/>
    </row>
    <row r="315" spans="3:49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3"/>
        <v>0</v>
      </c>
      <c r="M315" s="26">
        <f t="shared" si="14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67" t="e">
        <f>SUMIFS([2]Up!$J:$J,[2]Up!$D:$D,D315)</f>
        <v>#VALUE!</v>
      </c>
      <c r="AM315" s="82"/>
      <c r="AN315" s="82" t="str">
        <f t="shared" si="15"/>
        <v>PL10</v>
      </c>
      <c r="AO315" s="53" t="str">
        <f t="shared" si="16"/>
        <v/>
      </c>
      <c r="AP315" s="53" t="s">
        <v>148</v>
      </c>
      <c r="AQ315" s="53"/>
      <c r="AR315" s="53"/>
      <c r="AS315" s="53"/>
      <c r="AT315" s="53"/>
      <c r="AU315" s="83"/>
      <c r="AV315" s="53"/>
      <c r="AW315" s="53"/>
    </row>
    <row r="316" spans="3:49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3"/>
        <v>0</v>
      </c>
      <c r="M316" s="26">
        <f t="shared" si="14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67" t="e">
        <f>SUMIFS([2]Up!$J:$J,[2]Up!$D:$D,D316)</f>
        <v>#VALUE!</v>
      </c>
      <c r="AM316" s="82"/>
      <c r="AN316" s="82" t="str">
        <f t="shared" si="15"/>
        <v>PL15</v>
      </c>
      <c r="AO316" s="53" t="str">
        <f t="shared" si="16"/>
        <v/>
      </c>
      <c r="AP316" s="53" t="s">
        <v>148</v>
      </c>
      <c r="AQ316" s="53"/>
      <c r="AR316" s="53"/>
      <c r="AS316" s="53"/>
      <c r="AT316" s="53"/>
      <c r="AU316" s="83"/>
      <c r="AV316" s="53"/>
      <c r="AW316" s="53"/>
    </row>
    <row r="317" spans="3:49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3"/>
        <v>0</v>
      </c>
      <c r="M317" s="26">
        <f t="shared" si="14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67" t="e">
        <f>SUMIFS([2]Up!$J:$J,[2]Up!$D:$D,D317)</f>
        <v>#VALUE!</v>
      </c>
      <c r="AM317" s="82"/>
      <c r="AN317" s="82" t="str">
        <f t="shared" si="15"/>
        <v>PL15</v>
      </c>
      <c r="AO317" s="53" t="str">
        <f t="shared" si="16"/>
        <v/>
      </c>
      <c r="AP317" s="53" t="s">
        <v>148</v>
      </c>
      <c r="AQ317" s="53"/>
      <c r="AR317" s="53"/>
      <c r="AS317" s="53"/>
      <c r="AT317" s="53"/>
      <c r="AU317" s="83"/>
      <c r="AV317" s="53"/>
      <c r="AW317" s="53"/>
    </row>
    <row r="318" spans="3:49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3"/>
        <v>0</v>
      </c>
      <c r="M318" s="26">
        <f t="shared" si="14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67" t="e">
        <f>SUMIFS([2]Up!$J:$J,[2]Up!$D:$D,D318)</f>
        <v>#VALUE!</v>
      </c>
      <c r="AM318" s="82"/>
      <c r="AN318" s="82" t="e">
        <f t="shared" si="15"/>
        <v>#VALUE!</v>
      </c>
      <c r="AO318" s="53" t="str">
        <f t="shared" si="16"/>
        <v/>
      </c>
      <c r="AP318" s="53" t="s">
        <v>154</v>
      </c>
      <c r="AQ318" s="53"/>
      <c r="AR318" s="53"/>
      <c r="AS318" s="53" t="s">
        <v>57</v>
      </c>
      <c r="AT318" s="53">
        <v>16</v>
      </c>
      <c r="AU318" s="83"/>
      <c r="AV318" s="53"/>
      <c r="AW318" s="53"/>
    </row>
    <row r="319" spans="3:49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3"/>
        <v>0</v>
      </c>
      <c r="M319" s="26">
        <f t="shared" si="14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67" t="e">
        <f>SUMIFS([2]Up!$J:$J,[2]Up!$D:$D,D319)</f>
        <v>#VALUE!</v>
      </c>
      <c r="AM319" s="82"/>
      <c r="AN319" s="82" t="str">
        <f t="shared" si="15"/>
        <v>PL10</v>
      </c>
      <c r="AO319" s="53" t="str">
        <f t="shared" si="16"/>
        <v/>
      </c>
      <c r="AP319" s="53" t="s">
        <v>148</v>
      </c>
      <c r="AQ319" s="84" t="s">
        <v>210</v>
      </c>
      <c r="AR319" s="53"/>
      <c r="AS319" s="53" t="s">
        <v>211</v>
      </c>
      <c r="AT319" s="53">
        <v>8</v>
      </c>
      <c r="AU319" s="83">
        <v>46201</v>
      </c>
      <c r="AV319" s="53"/>
      <c r="AW319" s="53"/>
    </row>
    <row r="320" spans="3:49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3"/>
        <v>0</v>
      </c>
      <c r="M320" s="26">
        <f t="shared" si="14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67" t="e">
        <f>SUMIFS([2]Up!$J:$J,[2]Up!$D:$D,D320)</f>
        <v>#VALUE!</v>
      </c>
      <c r="AM320" s="82"/>
      <c r="AN320" s="82" t="str">
        <f t="shared" si="15"/>
        <v>PL15</v>
      </c>
      <c r="AO320" s="53" t="str">
        <f t="shared" si="16"/>
        <v/>
      </c>
      <c r="AP320" s="53" t="s">
        <v>148</v>
      </c>
      <c r="AQ320" s="84" t="s">
        <v>200</v>
      </c>
      <c r="AR320" s="53"/>
      <c r="AS320" s="53" t="s">
        <v>201</v>
      </c>
      <c r="AT320" s="53">
        <v>24</v>
      </c>
      <c r="AU320" s="83">
        <v>46201</v>
      </c>
      <c r="AV320" s="53"/>
      <c r="AW320" s="53"/>
    </row>
    <row r="321" spans="3:49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3"/>
        <v>0</v>
      </c>
      <c r="M321" s="26">
        <f t="shared" si="14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67" t="e">
        <f>SUMIFS([2]Up!$J:$J,[2]Up!$D:$D,D321)</f>
        <v>#VALUE!</v>
      </c>
      <c r="AM321" s="82"/>
      <c r="AN321" s="82" t="str">
        <f t="shared" si="15"/>
        <v>PL15</v>
      </c>
      <c r="AO321" s="53" t="str">
        <f t="shared" si="16"/>
        <v/>
      </c>
      <c r="AP321" s="53" t="s">
        <v>148</v>
      </c>
      <c r="AQ321" s="84" t="s">
        <v>200</v>
      </c>
      <c r="AR321" s="53"/>
      <c r="AS321" s="53" t="s">
        <v>201</v>
      </c>
      <c r="AT321" s="53">
        <v>8</v>
      </c>
      <c r="AU321" s="83">
        <v>46201</v>
      </c>
      <c r="AV321" s="53"/>
      <c r="AW321" s="53"/>
    </row>
    <row r="322" spans="3:49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3"/>
        <v>0</v>
      </c>
      <c r="M322" s="26">
        <f t="shared" si="14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67" t="e">
        <f>SUMIFS([2]Up!$J:$J,[2]Up!$D:$D,D322)</f>
        <v>#VALUE!</v>
      </c>
      <c r="AM322" s="82"/>
      <c r="AN322" s="82" t="str">
        <f t="shared" si="15"/>
        <v>PL15</v>
      </c>
      <c r="AO322" s="53" t="str">
        <f t="shared" si="16"/>
        <v/>
      </c>
      <c r="AP322" s="53" t="s">
        <v>148</v>
      </c>
      <c r="AQ322" s="53"/>
      <c r="AR322" s="53"/>
      <c r="AS322" s="53"/>
      <c r="AT322" s="53"/>
      <c r="AU322" s="83"/>
      <c r="AV322" s="53"/>
      <c r="AW322" s="53"/>
    </row>
    <row r="323" spans="3:49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3"/>
        <v>0</v>
      </c>
      <c r="M323" s="26">
        <f t="shared" si="14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67" t="e">
        <f>SUMIFS([2]Up!$J:$J,[2]Up!$D:$D,D323)</f>
        <v>#VALUE!</v>
      </c>
      <c r="AM323" s="82"/>
      <c r="AN323" s="82" t="str">
        <f t="shared" si="15"/>
        <v>PL15</v>
      </c>
      <c r="AO323" s="53" t="str">
        <f t="shared" si="16"/>
        <v/>
      </c>
      <c r="AP323" s="53" t="s">
        <v>148</v>
      </c>
      <c r="AQ323" s="53"/>
      <c r="AR323" s="53"/>
      <c r="AS323" s="53"/>
      <c r="AT323" s="53"/>
      <c r="AU323" s="83"/>
      <c r="AV323" s="53"/>
      <c r="AW323" s="53"/>
    </row>
    <row r="324" spans="3:49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3"/>
        <v>0</v>
      </c>
      <c r="M324" s="26">
        <f t="shared" si="14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67" t="e">
        <f>SUMIFS([2]Up!$J:$J,[2]Up!$D:$D,D324)</f>
        <v>#VALUE!</v>
      </c>
      <c r="AM324" s="82"/>
      <c r="AN324" s="82" t="e">
        <f t="shared" si="15"/>
        <v>#VALUE!</v>
      </c>
      <c r="AO324" s="53" t="str">
        <f t="shared" si="16"/>
        <v/>
      </c>
      <c r="AP324" s="53" t="s">
        <v>154</v>
      </c>
      <c r="AQ324" s="53"/>
      <c r="AR324" s="53"/>
      <c r="AS324" s="53"/>
      <c r="AT324" s="53"/>
      <c r="AU324" s="83"/>
      <c r="AV324" s="53"/>
      <c r="AW324" s="53"/>
    </row>
    <row r="325" spans="3:49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3"/>
        <v>0</v>
      </c>
      <c r="M325" s="26">
        <f t="shared" si="14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67" t="e">
        <f>SUMIFS([2]Up!$J:$J,[2]Up!$D:$D,D325)</f>
        <v>#VALUE!</v>
      </c>
      <c r="AM325" s="82"/>
      <c r="AN325" s="82" t="str">
        <f t="shared" si="15"/>
        <v>PL10</v>
      </c>
      <c r="AO325" s="53" t="str">
        <f t="shared" si="16"/>
        <v/>
      </c>
      <c r="AP325" s="53" t="s">
        <v>148</v>
      </c>
      <c r="AQ325" s="53"/>
      <c r="AR325" s="53"/>
      <c r="AS325" s="53"/>
      <c r="AT325" s="53"/>
      <c r="AU325" s="83"/>
      <c r="AV325" s="53"/>
      <c r="AW325" s="53"/>
    </row>
    <row r="326" spans="3:49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67"/>
      <c r="AM326" s="82"/>
      <c r="AN326" s="82"/>
      <c r="AO326" s="53"/>
      <c r="AP326" s="53"/>
      <c r="AQ326" s="53"/>
      <c r="AR326" s="53"/>
      <c r="AS326" s="53"/>
      <c r="AT326" s="85"/>
      <c r="AU326" s="53"/>
      <c r="AV326" s="53"/>
      <c r="AW326" s="53"/>
    </row>
    <row r="327" spans="3:49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67"/>
      <c r="AM327" s="82"/>
      <c r="AN327" s="82"/>
      <c r="AO327" s="53"/>
      <c r="AP327" s="53"/>
      <c r="AQ327" s="53"/>
      <c r="AR327" s="53"/>
      <c r="AS327" s="53"/>
      <c r="AT327" s="85"/>
      <c r="AU327" s="53"/>
      <c r="AV327" s="53"/>
      <c r="AW327" s="53"/>
    </row>
    <row r="328" spans="3:49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67"/>
      <c r="AM328" s="82"/>
      <c r="AN328" s="82"/>
      <c r="AO328" s="53"/>
      <c r="AP328" s="53"/>
      <c r="AQ328" s="53"/>
      <c r="AR328" s="53"/>
      <c r="AS328" s="53"/>
      <c r="AT328" s="85"/>
      <c r="AU328" s="53"/>
      <c r="AV328" s="53"/>
      <c r="AW328" s="53"/>
    </row>
    <row r="329" spans="3:49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67"/>
      <c r="AM329" s="82"/>
      <c r="AN329" s="82"/>
      <c r="AO329" s="53"/>
      <c r="AP329" s="53"/>
      <c r="AQ329" s="53"/>
      <c r="AR329" s="53"/>
      <c r="AS329" s="53"/>
      <c r="AT329" s="85"/>
      <c r="AU329" s="53"/>
      <c r="AV329" s="53"/>
      <c r="AW329" s="53"/>
    </row>
    <row r="330" spans="3:49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67"/>
      <c r="AM330" s="82"/>
      <c r="AN330" s="82"/>
      <c r="AO330" s="53"/>
      <c r="AP330" s="53"/>
      <c r="AQ330" s="53"/>
      <c r="AR330" s="53"/>
      <c r="AS330" s="53"/>
      <c r="AT330" s="85"/>
      <c r="AU330" s="53"/>
      <c r="AV330" s="53"/>
      <c r="AW330" s="53"/>
    </row>
    <row r="331" spans="3:49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67"/>
      <c r="AM331" s="82"/>
      <c r="AN331" s="82"/>
      <c r="AO331" s="53"/>
      <c r="AP331" s="53"/>
      <c r="AQ331" s="53"/>
      <c r="AR331" s="53"/>
      <c r="AS331" s="53"/>
      <c r="AT331" s="85"/>
      <c r="AU331" s="53"/>
      <c r="AV331" s="53"/>
      <c r="AW331" s="53"/>
    </row>
    <row r="332" spans="3:49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67"/>
      <c r="AM332" s="82"/>
      <c r="AN332" s="82"/>
      <c r="AO332" s="53"/>
      <c r="AP332" s="53"/>
      <c r="AQ332" s="53"/>
      <c r="AR332" s="53"/>
      <c r="AS332" s="53"/>
      <c r="AT332" s="85"/>
      <c r="AU332" s="53"/>
      <c r="AV332" s="53"/>
      <c r="AW332" s="53"/>
    </row>
  </sheetData>
  <autoFilter ref="C29:AW332" xr:uid="{B5DE6D30-F474-449D-82A7-1262A8A8C8BB}">
    <filterColumn colId="33">
      <customFilters>
        <customFilter operator="notEqual" val=" "/>
      </custom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4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2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0.47727272727272729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282"/>
        <v>1</v>
      </c>
      <c r="V140" s="146">
        <f t="shared" ca="1" si="283"/>
        <v>0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0</v>
      </c>
      <c r="AJ140" s="146">
        <f t="shared" ca="1" si="287"/>
        <v>1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1.7857142857142856E-2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301"/>
        <v>2</v>
      </c>
      <c r="V170" s="146">
        <f t="shared" ca="1" si="302"/>
        <v>0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0</v>
      </c>
      <c r="AO170" s="146">
        <f t="shared" ca="1" si="309"/>
        <v>2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0</v>
      </c>
      <c r="X184" s="135">
        <f ca="1">SUMIFS(T:T,C:C,C184,AE:AE,"")/SUMIFS(L:L,C:C,C184,AE:AE,"",AB:AB,"")</f>
        <v>0.8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320"/>
        <v>1</v>
      </c>
      <c r="V189" s="146">
        <f t="shared" ca="1" si="321"/>
        <v>0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0</v>
      </c>
      <c r="AJ189" s="146">
        <f t="shared" ca="1" si="325"/>
        <v>1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0.6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338"/>
        <v>1</v>
      </c>
      <c r="V195" s="146">
        <f t="shared" ca="1" si="339"/>
        <v>0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0</v>
      </c>
      <c r="AJ195" s="146">
        <f t="shared" ca="1" si="343"/>
        <v>1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0</v>
      </c>
      <c r="X196" s="135">
        <f ca="1">SUMIFS(T:T,C:C,C196,AE:AE,"")/SUMIFS(L:L,C:C,C196,AE:AE,"",AB:AB,"")</f>
        <v>0.8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356"/>
        <v>1</v>
      </c>
      <c r="V201" s="146">
        <f t="shared" ca="1" si="357"/>
        <v>0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0</v>
      </c>
      <c r="AJ201" s="146">
        <f t="shared" ca="1" si="361"/>
        <v>1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0.6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146">
        <f t="shared" ca="1" si="374"/>
        <v>1</v>
      </c>
      <c r="V207" s="146">
        <f t="shared" ca="1" si="375"/>
        <v>0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0</v>
      </c>
      <c r="AJ207" s="146">
        <f t="shared" ca="1" si="379"/>
        <v>1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0</v>
      </c>
      <c r="X208" s="135">
        <f ca="1">SUMIFS(T:T,C:C,C208,AE:AE,"")/SUMIFS(L:L,C:C,C208,AE:AE,"",AB:AB,"")</f>
        <v>0.8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46">
        <f t="shared" ca="1" si="392"/>
        <v>1</v>
      </c>
      <c r="V213" s="146">
        <f t="shared" ca="1" si="393"/>
        <v>0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0</v>
      </c>
      <c r="AJ213" s="146">
        <f t="shared" ca="1" si="397"/>
        <v>1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0</v>
      </c>
      <c r="X214" s="135">
        <f ca="1">SUMIFS(T:T,C:C,C214,AE:AE,"")/SUMIFS(L:L,C:C,C214,AE:AE,"",AB:AB,"")</f>
        <v>0.8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410"/>
        <v>1</v>
      </c>
      <c r="V219" s="146">
        <f t="shared" ca="1" si="411"/>
        <v>0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0</v>
      </c>
      <c r="AJ219" s="146">
        <f t="shared" ca="1" si="415"/>
        <v>1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0.6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428"/>
        <v>1</v>
      </c>
      <c r="V225" s="146">
        <f t="shared" ca="1" si="429"/>
        <v>0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0</v>
      </c>
      <c r="AJ225" s="146">
        <f t="shared" ca="1" si="433"/>
        <v>1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0.6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446"/>
        <v>1</v>
      </c>
      <c r="V231" s="146">
        <f t="shared" ca="1" si="447"/>
        <v>0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0</v>
      </c>
      <c r="AJ231" s="146">
        <f t="shared" ca="1" si="451"/>
        <v>1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0</v>
      </c>
      <c r="X232" s="135">
        <f ca="1">SUMIFS(T:T,C:C,C232,AE:AE,"")/SUMIFS(L:L,C:C,C232,AE:AE,"",AB:AB,"")</f>
        <v>0.8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464"/>
        <v>1</v>
      </c>
      <c r="V237" s="146">
        <f t="shared" ca="1" si="465"/>
        <v>0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0</v>
      </c>
      <c r="AJ237" s="146">
        <f t="shared" ca="1" si="469"/>
        <v>1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0</v>
      </c>
      <c r="X244" s="135">
        <f ca="1">SUMIFS(T:T,C:C,C244,AE:AE,"")/SUMIFS(L:L,C:C,C244,AE:AE,"",AB:AB,"")</f>
        <v>0.8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46">
        <f t="shared" ca="1" si="500"/>
        <v>1</v>
      </c>
      <c r="V249" s="146">
        <f t="shared" ca="1" si="501"/>
        <v>0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0</v>
      </c>
      <c r="AJ249" s="146">
        <f t="shared" ca="1" si="505"/>
        <v>1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0</v>
      </c>
      <c r="X250" s="135">
        <f ca="1">SUMIFS(T:T,C:C,C250,AE:AE,"")/SUMIFS(L:L,C:C,C250,AE:AE,"",AB:AB,"")</f>
        <v>0.8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46">
        <f t="shared" ca="1" si="518"/>
        <v>1</v>
      </c>
      <c r="V255" s="146">
        <f t="shared" ca="1" si="519"/>
        <v>0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0</v>
      </c>
      <c r="AJ255" s="146">
        <f t="shared" ca="1" si="523"/>
        <v>1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B556"/>
  <sheetViews>
    <sheetView zoomScaleNormal="100" workbookViewId="0">
      <pane xSplit="13" ySplit="29" topLeftCell="AI30" activePane="bottomRight" state="frozen"/>
      <selection activeCell="AJ30" sqref="AJ30"/>
      <selection pane="topRight" activeCell="AJ30" sqref="AJ30"/>
      <selection pane="bottomLeft" activeCell="AJ30" sqref="AJ30"/>
      <selection pane="bottomRight" activeCell="AQ322" sqref="AQ32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0" width="6.875" style="3" customWidth="1"/>
    <col min="41" max="41" width="7.25" style="3" customWidth="1"/>
    <col min="42" max="42" width="8.625" style="3" customWidth="1"/>
    <col min="43" max="43" width="9.875" style="3" customWidth="1"/>
    <col min="44" max="44" width="8.625" style="3" customWidth="1"/>
    <col min="45" max="45" width="8.75" style="3" customWidth="1"/>
    <col min="46" max="46" width="7.5" style="3" customWidth="1"/>
    <col min="47" max="47" width="11.125" style="3" customWidth="1"/>
    <col min="48" max="49" width="9" style="3" customWidth="1"/>
    <col min="50" max="50" width="8.75" style="3" customWidth="1"/>
    <col min="51" max="51" width="8.625" style="3" customWidth="1"/>
    <col min="52" max="53" width="9" style="3" customWidth="1"/>
    <col min="54" max="16384" width="8.75" style="3"/>
  </cols>
  <sheetData>
    <row r="1" spans="4:41" ht="19.5">
      <c r="D1" s="1" t="s">
        <v>952</v>
      </c>
      <c r="E1" s="2"/>
      <c r="F1" s="2"/>
      <c r="G1" s="2"/>
      <c r="H1" s="2"/>
    </row>
    <row r="2" spans="4:41" ht="13.5" thickBot="1"/>
    <row r="3" spans="4:4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</row>
    <row r="4" spans="4:4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5"/>
    </row>
    <row r="5" spans="4:41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43</v>
      </c>
      <c r="H5" s="26" cm="1">
        <f t="array" ref="H5">SUMPRODUCT(--($C$30:$C$556=$D5),$L$30:$L$556,$J$30:$J$556)</f>
        <v>670.52094000000011</v>
      </c>
      <c r="I5" s="26" cm="1">
        <f t="array" ref="I5">SUMPRODUCT(--($C$30:$C$556=$D5),$M$30:$M$556)</f>
        <v>199</v>
      </c>
      <c r="J5" s="27" cm="1">
        <f t="array" ref="J5">SUMPRODUCT(--($C$30:$C$556=$D5),$M$30:$M$556,$J$30:$J$556)</f>
        <v>1970.0741800000003</v>
      </c>
      <c r="L5" s="28" t="s">
        <v>12</v>
      </c>
      <c r="M5" s="29">
        <f>G8</f>
        <v>476</v>
      </c>
      <c r="N5" s="30">
        <f>H8</f>
        <v>92688.840940000009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spans="4:41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433</v>
      </c>
      <c r="H6" s="26" cm="1">
        <f t="array" ref="H6">SUMPRODUCT(--($C$30:$C$556=$D6),$L$30:$L$556,$J$30:$J$556)</f>
        <v>92018.32</v>
      </c>
      <c r="I6" s="26" cm="1">
        <f t="array" ref="I6">SUMPRODUCT(--($C$30:$C$556=$D6),$M$30:$M$556)</f>
        <v>1309</v>
      </c>
      <c r="J6" s="27" cm="1">
        <f t="array" ref="J6">SUMPRODUCT(--($C$30:$C$556=$D6),$M$30:$M$556,$J$30:$J$556)</f>
        <v>97042.838726114671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4:41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1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476</v>
      </c>
      <c r="H8" s="41">
        <f t="shared" si="0"/>
        <v>92688.840940000009</v>
      </c>
      <c r="I8" s="41">
        <f t="shared" si="0"/>
        <v>1617</v>
      </c>
      <c r="J8" s="42">
        <f t="shared" si="0"/>
        <v>101260.82250611467</v>
      </c>
    </row>
    <row r="9" spans="4:41" ht="13.5" hidden="1" outlineLevel="1" thickTop="1"/>
    <row r="10" spans="4:4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1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</row>
    <row r="12" spans="4:41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</row>
    <row r="13" spans="4:41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</row>
    <row r="14" spans="4:41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0</v>
      </c>
      <c r="K14" s="50" cm="1">
        <f t="array" ref="K14">SUMPRODUCT(--($C$30:$C$556=$D$11),--($E$30:$E$556=K$11),$L$30:$L$556,$G$30:$G$556)</f>
        <v>0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</row>
    <row r="15" spans="4:41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0</v>
      </c>
      <c r="K15" s="53" cm="1">
        <f t="array" ref="K15">SUMPRODUCT(--($C$30:$C$556=$D$11),--($E$30:$E$556=K$11),$L$30:$L$556)</f>
        <v>0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</row>
    <row r="16" spans="4:41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752</v>
      </c>
      <c r="K16" s="50" cm="1">
        <f t="array" ref="K16">SUMPRODUCT(--($C$30:$C$556=$D$11),--($E$30:$E$556=K$11),$M$30:$M$556,$G$30:$G$556)</f>
        <v>2608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</row>
    <row r="17" spans="3:53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4</v>
      </c>
      <c r="K17" s="58" cm="1">
        <f t="array" ref="K17">SUMPRODUCT(--($C$30:$C$556=$D$11),--($E$30:$E$556=K$11),$M$30:$M$556)</f>
        <v>8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</row>
    <row r="18" spans="3:53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1.2</v>
      </c>
      <c r="K18" s="61" cm="1">
        <f t="array" ref="K18">SUMPRODUCT(--($C$30:$C$556=$D$11),--($E$30:$E$556=K$11),$M$30:$M$556,$J$30:$J$556)</f>
        <v>6.4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</row>
    <row r="19" spans="3:53" ht="13.5" hidden="1" outlineLevel="1" thickTop="1"/>
    <row r="20" spans="3:53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3" ht="13.5" hidden="1" outlineLevel="1" thickTop="1">
      <c r="D21" s="63" t="s">
        <v>13</v>
      </c>
      <c r="E21" s="64" t="str" cm="1">
        <f t="array" ref="E21:P21">_xlfn._xlws.SORT(MID(TRANSPOSE(_xlfn.UNIQUE(_xlfn._xlws.FILTER(AR30:AR556,(C30:C556=$D$21)*(M30:M556&lt;&gt;0)))),3,3),,1)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 spans="3:53" ht="30.75" hidden="1" customHeight="1" outlineLevel="2">
      <c r="D22" s="66" t="s">
        <v>24</v>
      </c>
      <c r="E22" s="67" cm="1">
        <f t="array" ref="E22">SUMPRODUCT(--($C$30:$C$556=$D$21),--($AR$30:$AR$556="PL"&amp;E$21),$J$30:$J$556,$I$30:$I$556)/(7.85*E$21)</f>
        <v>1.1627700920929855</v>
      </c>
      <c r="F22" s="67" cm="1">
        <f t="array" ref="F22">SUMPRODUCT(--($C$30:$C$556=$D$21),--($AR$30:$AR$556="PL"&amp;F$21),$J$30:$J$556,$I$30:$I$556)/(7.85*F$21)</f>
        <v>0.81188959660297255</v>
      </c>
      <c r="G22" s="67" cm="1">
        <f t="array" ref="G22">SUMPRODUCT(--($C$30:$C$556=$D$21),--($AR$30:$AR$556="PL"&amp;G$21),$J$30:$J$556,$I$30:$I$556)/(7.85*G$21)</f>
        <v>2.6751592356687901</v>
      </c>
      <c r="H22" s="67" cm="1">
        <f t="array" ref="H22">SUMPRODUCT(--($C$30:$C$556=$D$21),--($AR$30:$AR$556="PL"&amp;H$21),$J$30:$J$556,$I$30:$I$556)/(7.85*H$21)</f>
        <v>3.8471337579617839</v>
      </c>
      <c r="I22" s="67" cm="1">
        <f t="array" ref="I22">SUMPRODUCT(--($C$30:$C$556=$D$21),--($AR$30:$AR$556="PL"&amp;I$21),$J$30:$J$556,$I$30:$I$556)/(7.85*I$21)</f>
        <v>8.4920382165605055</v>
      </c>
      <c r="J22" s="67" cm="1">
        <f t="array" ref="J22">SUMPRODUCT(--($C$30:$C$556=$D$21),--($AR$30:$AR$556="PL"&amp;J$21),$J$30:$J$556,$I$30:$I$556)/(7.85*J$21)</f>
        <v>0.89171974522292996</v>
      </c>
      <c r="K22" s="67" cm="1">
        <f t="array" ref="K22">SUMPRODUCT(--($C$30:$C$556=$D$21),--($AR$30:$AR$556="PL"&amp;K$21),$J$30:$J$556,$I$30:$I$556)/(7.85*K$21)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</row>
    <row r="23" spans="3:53" ht="21" hidden="1" customHeight="1" outlineLevel="2">
      <c r="D23" s="66" t="s">
        <v>17</v>
      </c>
      <c r="E23" s="69" cm="1">
        <f t="array" ref="E23">SUMPRODUCT(--($C$30:$C$556=$D$21),--($AR$30:$AR$556="PL"&amp;E$21),$I$30:$I$556)</f>
        <v>52</v>
      </c>
      <c r="F23" s="69" cm="1">
        <f t="array" ref="F23">SUMPRODUCT(--($C$30:$C$556=$D$21),--($AR$30:$AR$556="PL"&amp;F$21),$I$30:$I$556)</f>
        <v>35</v>
      </c>
      <c r="G23" s="69" cm="1">
        <f t="array" ref="G23">SUMPRODUCT(--($C$30:$C$556=$D$21),--($AR$30:$AR$556="PL"&amp;G$21),$I$30:$I$556)</f>
        <v>111</v>
      </c>
      <c r="H23" s="69" cm="1">
        <f t="array" ref="H23">SUMPRODUCT(--($C$30:$C$556=$D$21),--($AR$30:$AR$556="PL"&amp;H$21),$I$30:$I$556)</f>
        <v>214</v>
      </c>
      <c r="I23" s="69" cm="1">
        <f t="array" ref="I23">SUMPRODUCT(--($C$30:$C$556=$D$21),--($AR$30:$AR$556="PL"&amp;I$21),$I$30:$I$556)</f>
        <v>296</v>
      </c>
      <c r="J23" s="69" cm="1">
        <f t="array" ref="J23">SUMPRODUCT(--($C$30:$C$556=$D$21),--($AR$30:$AR$556="PL"&amp;J$21),$I$30:$I$556)</f>
        <v>32</v>
      </c>
      <c r="K23" s="69" cm="1">
        <f t="array" ref="K23">SUMPRODUCT(--($C$30:$C$556=$D$21),--($AR$30:$AR$556="PL"&amp;K$21),$I$30:$I$556)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</row>
    <row r="24" spans="3:53" ht="25.9" hidden="1" customHeight="1" outlineLevel="2">
      <c r="D24" s="66" t="s">
        <v>25</v>
      </c>
      <c r="E24" s="67" cm="1">
        <f t="array" ref="E24">SUMPRODUCT(--($C$30:$C$556=$D$21),--($AR$30:$AR$556="PL"&amp;E$21),$J$30:$J$556,$M$30:$M$556)/(7.85*E$21)</f>
        <v>0.99971276725222114</v>
      </c>
      <c r="F24" s="67" cm="1">
        <f t="array" ref="F24">SUMPRODUCT(--($C$30:$C$556=$D$21),--($AR$30:$AR$556="PL"&amp;F$21),$J$30:$J$556,$M$30:$M$556)/(7.85*F$21)</f>
        <v>0.72186836518046715</v>
      </c>
      <c r="G24" s="67" cm="1">
        <f t="array" ref="G24">SUMPRODUCT(--($C$30:$C$556=$D$21),--($AR$30:$AR$556="PL"&amp;G$21),$J$30:$J$556,$M$30:$M$556)/(7.85*G$21)</f>
        <v>2.6751592356687901</v>
      </c>
      <c r="H24" s="67" cm="1">
        <f t="array" ref="H24">SUMPRODUCT(--($C$30:$C$556=$D$21),--($AR$30:$AR$556="PL"&amp;H$21),$J$30:$J$556,$M$30:$M$556)/(7.85*H$21)</f>
        <v>3.8471337579617839</v>
      </c>
      <c r="I24" s="67" cm="1">
        <f t="array" ref="I24">SUMPRODUCT(--($C$30:$C$556=$D$21),--($AR$30:$AR$556="PL"&amp;I$21),$J$30:$J$556,$M$30:$M$556)/(7.85*I$21)</f>
        <v>6.3288216560509554</v>
      </c>
      <c r="J24" s="67" cm="1">
        <f t="array" ref="J24">SUMPRODUCT(--($C$30:$C$556=$D$21),--($AR$30:$AR$556="PL"&amp;J$21),$J$30:$J$556,$M$30:$M$556)/(7.85*J$21)</f>
        <v>0.89171974522292996</v>
      </c>
      <c r="K24" s="67" cm="1">
        <f t="array" ref="K24">SUMPRODUCT(--($C$30:$C$556=$D$21),--($AR$30:$AR$556="PL"&amp;K$21),$J$30:$J$556,$M$30:$M$556)/(7.85*K$21)</f>
        <v>177.36464968152868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</row>
    <row r="25" spans="3:53" ht="19.5" hidden="1" customHeight="1" outlineLevel="2">
      <c r="D25" s="71" t="s">
        <v>26</v>
      </c>
      <c r="E25" s="69" cm="1">
        <f t="array" ref="E25">SUMPRODUCT(--($C$30:$C$556=$D$21),--($AR$30:$AR$556="PL"&amp;E$21),$M$30:$M$556)</f>
        <v>48</v>
      </c>
      <c r="F25" s="69" cm="1">
        <f t="array" ref="F25">SUMPRODUCT(--($C$30:$C$556=$D$21),--($AR$30:$AR$556="PL"&amp;F$21),$M$30:$M$556)</f>
        <v>34</v>
      </c>
      <c r="G25" s="69" cm="1">
        <f t="array" ref="G25">SUMPRODUCT(--($C$30:$C$556=$D$21),--($AR$30:$AR$556="PL"&amp;G$21),$M$30:$M$556)</f>
        <v>111</v>
      </c>
      <c r="H25" s="69" cm="1">
        <f t="array" ref="H25">SUMPRODUCT(--($C$30:$C$556=$D$21),--($AR$30:$AR$556="PL"&amp;H$21),$M$30:$M$556)</f>
        <v>214</v>
      </c>
      <c r="I25" s="69" cm="1">
        <f t="array" ref="I25">SUMPRODUCT(--($C$30:$C$556=$D$21),--($AR$30:$AR$556="PL"&amp;I$21),$M$30:$M$556)</f>
        <v>223</v>
      </c>
      <c r="J25" s="69" cm="1">
        <f t="array" ref="J25">SUMPRODUCT(--($C$30:$C$556=$D$21),--($AR$30:$AR$556="PL"&amp;J$21),$M$30:$M$556)</f>
        <v>32</v>
      </c>
      <c r="K25" s="69" cm="1">
        <f t="array" ref="K25">SUMPRODUCT(--($C$30:$C$556=$D$21),--($AR$30:$AR$556="PL"&amp;K$21),$M$30:$M$556)</f>
        <v>39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3:53" ht="25.9" hidden="1" customHeight="1" outlineLevel="1" collapsed="1" thickBot="1">
      <c r="D26" s="72" t="s">
        <v>27</v>
      </c>
      <c r="E26" s="67" cm="1">
        <f t="array" ref="E26">SUMPRODUCT(--($C$30:$C$556=$D$21),--($AR$30:$AR$556="PL"&amp;E$21),$J$30:$J$556,$M$30:$M$556)</f>
        <v>39.23872611464968</v>
      </c>
      <c r="F26" s="67" cm="1">
        <f t="array" ref="F26">SUMPRODUCT(--($C$30:$C$556=$D$21),--($AR$30:$AR$556="PL"&amp;F$21),$J$30:$J$556,$M$30:$M$556)</f>
        <v>17</v>
      </c>
      <c r="G26" s="67" cm="1">
        <f t="array" ref="G26">SUMPRODUCT(--($C$30:$C$556=$D$21),--($AR$30:$AR$556="PL"&amp;G$21),$J$30:$J$556,$M$30:$M$556)</f>
        <v>42</v>
      </c>
      <c r="H26" s="67" cm="1">
        <f t="array" ref="H26">SUMPRODUCT(--($C$30:$C$556=$D$21),--($AR$30:$AR$556="PL"&amp;H$21),$J$30:$J$556,$M$30:$M$556)</f>
        <v>30.200000000000003</v>
      </c>
      <c r="I26" s="67" cm="1">
        <f t="array" ref="I26">SUMPRODUCT(--($C$30:$C$556=$D$21),--($AR$30:$AR$556="PL"&amp;I$21),$J$30:$J$556,$M$30:$M$556)</f>
        <v>794.9</v>
      </c>
      <c r="J26" s="67" cm="1">
        <f t="array" ref="J26">SUMPRODUCT(--($C$30:$C$556=$D$21),--($AR$30:$AR$556="PL"&amp;J$21),$J$30:$J$556,$M$30:$M$556)</f>
        <v>280</v>
      </c>
      <c r="K26" s="67" cm="1">
        <f t="array" ref="K26">SUMPRODUCT(--($C$30:$C$556=$D$21),--($AR$30:$AR$556="PL"&amp;K$21),$J$30:$J$556,$M$30:$M$556)</f>
        <v>11138.5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</row>
    <row r="27" spans="3:53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-2.12</v>
      </c>
      <c r="AP27" s="73" t="e" cm="1">
        <f t="array" ref="AP27">SUMPRODUCT($J$30:$J$556,AP30:AP556,--(AP30:AP556&lt;&gt;""))</f>
        <v>#VALUE!</v>
      </c>
    </row>
    <row r="28" spans="3:5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O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" si="10">SUM(AN30:AN556)</f>
        <v>20</v>
      </c>
      <c r="AO28" s="75">
        <f t="shared" si="1"/>
        <v>-1</v>
      </c>
      <c r="AP28" s="75" t="e">
        <f t="shared" ref="AP28" si="11">SUM(AP30:AP556)</f>
        <v>#VALUE!</v>
      </c>
      <c r="AQ28" s="74"/>
      <c r="AR28" s="74"/>
    </row>
    <row r="29" spans="3:53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8" t="s">
        <v>34</v>
      </c>
      <c r="AP29" s="77" t="s">
        <v>35</v>
      </c>
      <c r="AQ29" s="77" t="s">
        <v>36</v>
      </c>
      <c r="AR29" s="77" t="s">
        <v>37</v>
      </c>
      <c r="AS29" s="80" t="s">
        <v>38</v>
      </c>
      <c r="AT29" s="80" t="s">
        <v>39</v>
      </c>
      <c r="AU29" s="80" t="s">
        <v>40</v>
      </c>
      <c r="AV29" s="80" t="s">
        <v>41</v>
      </c>
      <c r="AW29" s="80" t="s">
        <v>42</v>
      </c>
      <c r="AX29" s="80" t="s">
        <v>43</v>
      </c>
      <c r="AY29" s="81" t="s">
        <v>44</v>
      </c>
      <c r="AZ29" s="80"/>
      <c r="BA29" s="80"/>
    </row>
    <row r="30" spans="3:53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2">MIN(SUM(N30:AO30),I30)</f>
        <v>0</v>
      </c>
      <c r="M30" s="26">
        <f t="shared" ref="M30:M284" si="13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67" t="e">
        <f>SUMIFS([2]Up!$J:$J,[2]Up!$D:$D,D30)</f>
        <v>#VALUE!</v>
      </c>
      <c r="AQ30" s="82"/>
      <c r="AR30" s="82" t="str">
        <f t="shared" ref="AR30:AR93" si="14">IFERROR(IF(C30="Plate",LEFT(E30,FIND("*",E30,1)-1),""),IF(C30="Plate",LEFT(E30,FIND("x",E30,1)-1),""))</f>
        <v>PL5</v>
      </c>
      <c r="AS30" s="53" t="str">
        <f t="shared" ref="AS30:AS93" si="15">IF(ROUND(SUM(N30:AO30)-I30,0)&gt;0,"Thừa "&amp;SUM(N30:AO30)-I30,"")</f>
        <v/>
      </c>
      <c r="AT30" s="53" t="s">
        <v>148</v>
      </c>
      <c r="AU30" s="53" t="s">
        <v>956</v>
      </c>
      <c r="AV30" s="53" t="s">
        <v>957</v>
      </c>
      <c r="AW30" s="53" t="s">
        <v>958</v>
      </c>
      <c r="AX30" s="53">
        <v>8</v>
      </c>
      <c r="AY30" s="83" t="s">
        <v>2223</v>
      </c>
      <c r="AZ30" s="53"/>
      <c r="BA30" s="53"/>
    </row>
    <row r="31" spans="3:53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2"/>
        <v>0</v>
      </c>
      <c r="M31" s="26">
        <f t="shared" si="13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67" t="e">
        <f>SUMIFS([2]Up!$J:$J,[2]Up!$D:$D,D31)</f>
        <v>#VALUE!</v>
      </c>
      <c r="AQ31" s="82"/>
      <c r="AR31" s="82" t="str">
        <f t="shared" si="14"/>
        <v>PL3</v>
      </c>
      <c r="AS31" s="53" t="str">
        <f t="shared" si="15"/>
        <v/>
      </c>
      <c r="AT31" s="53" t="s">
        <v>148</v>
      </c>
      <c r="AU31" s="53" t="s">
        <v>961</v>
      </c>
      <c r="AV31" s="53" t="s">
        <v>962</v>
      </c>
      <c r="AW31" s="53" t="s">
        <v>963</v>
      </c>
      <c r="AX31" s="53">
        <v>8</v>
      </c>
      <c r="AY31" s="83" t="s">
        <v>2223</v>
      </c>
      <c r="AZ31" s="53"/>
      <c r="BA31" s="53"/>
    </row>
    <row r="32" spans="3:53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2"/>
        <v>0</v>
      </c>
      <c r="M32" s="26">
        <f t="shared" si="13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67" t="e">
        <f>SUMIFS([2]Up!$J:$J,[2]Up!$D:$D,D32)</f>
        <v>#VALUE!</v>
      </c>
      <c r="AQ32" s="82"/>
      <c r="AR32" s="82" t="str">
        <f t="shared" si="14"/>
        <v>PL2</v>
      </c>
      <c r="AS32" s="53" t="str">
        <f t="shared" si="15"/>
        <v/>
      </c>
      <c r="AT32" s="53" t="s">
        <v>148</v>
      </c>
      <c r="AU32" s="53" t="s">
        <v>966</v>
      </c>
      <c r="AV32" s="53" t="s">
        <v>967</v>
      </c>
      <c r="AW32" s="53" t="s">
        <v>968</v>
      </c>
      <c r="AX32" s="53">
        <v>24</v>
      </c>
      <c r="AY32" s="83" t="s">
        <v>2223</v>
      </c>
      <c r="AZ32" s="53"/>
      <c r="BA32" s="53"/>
    </row>
    <row r="33" spans="3:54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2"/>
        <v>0</v>
      </c>
      <c r="M33" s="26">
        <f t="shared" si="13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67" t="e">
        <f>SUMIFS([2]Up!$J:$J,[2]Up!$D:$D,D33)</f>
        <v>#VALUE!</v>
      </c>
      <c r="AQ33" s="82"/>
      <c r="AR33" s="82" t="str">
        <f t="shared" si="14"/>
        <v>PL1</v>
      </c>
      <c r="AS33" s="53" t="str">
        <f t="shared" si="15"/>
        <v/>
      </c>
      <c r="AT33" s="53" t="s">
        <v>148</v>
      </c>
      <c r="AU33" s="53" t="s">
        <v>971</v>
      </c>
      <c r="AV33" s="53" t="s">
        <v>972</v>
      </c>
      <c r="AW33" s="53" t="s">
        <v>973</v>
      </c>
      <c r="AX33" s="53">
        <v>48</v>
      </c>
      <c r="AY33" s="83" t="s">
        <v>2223</v>
      </c>
      <c r="AZ33" s="53"/>
      <c r="BA33" s="53"/>
    </row>
    <row r="34" spans="3:54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2"/>
        <v>0</v>
      </c>
      <c r="M34" s="26">
        <f t="shared" si="13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67" t="e">
        <f>SUMIFS([2]Up!$J:$J,[2]Up!$D:$D,D34)</f>
        <v>#VALUE!</v>
      </c>
      <c r="AQ34" s="82"/>
      <c r="AR34" s="82" t="str">
        <f t="shared" si="14"/>
        <v/>
      </c>
      <c r="AS34" s="53" t="str">
        <f t="shared" si="15"/>
        <v/>
      </c>
      <c r="AT34" s="53" t="s">
        <v>977</v>
      </c>
      <c r="AU34" s="53"/>
      <c r="AV34" s="53"/>
      <c r="AW34" s="53"/>
      <c r="AX34" s="53"/>
      <c r="AY34" s="83"/>
      <c r="AZ34" s="53"/>
      <c r="BA34" s="53"/>
    </row>
    <row r="35" spans="3:54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2"/>
        <v>0</v>
      </c>
      <c r="M35" s="26">
        <f t="shared" si="13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67" t="e">
        <f>SUMIFS([2]Up!$J:$J,[2]Up!$D:$D,D35)</f>
        <v>#VALUE!</v>
      </c>
      <c r="AQ35" s="82"/>
      <c r="AR35" s="82" t="str">
        <f t="shared" si="14"/>
        <v/>
      </c>
      <c r="AS35" s="53" t="str">
        <f t="shared" si="15"/>
        <v/>
      </c>
      <c r="AT35" s="53" t="s">
        <v>154</v>
      </c>
      <c r="AU35" s="53"/>
      <c r="AV35" s="53" t="s">
        <v>981</v>
      </c>
      <c r="AW35" s="53"/>
      <c r="AX35" s="53"/>
      <c r="AY35" s="83"/>
      <c r="AZ35" s="53"/>
      <c r="BA35" s="53"/>
    </row>
    <row r="36" spans="3:54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2"/>
        <v>0</v>
      </c>
      <c r="M36" s="26">
        <f t="shared" si="13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67" t="e">
        <f>SUMIFS([2]Up!$J:$J,[2]Up!$D:$D,D36)</f>
        <v>#VALUE!</v>
      </c>
      <c r="AQ36" s="82"/>
      <c r="AR36" s="82" t="str">
        <f t="shared" si="14"/>
        <v/>
      </c>
      <c r="AS36" s="53" t="str">
        <f t="shared" si="15"/>
        <v/>
      </c>
      <c r="AT36" s="53" t="s">
        <v>977</v>
      </c>
      <c r="AU36" s="53"/>
      <c r="AV36" s="53"/>
      <c r="AW36" s="53"/>
      <c r="AX36" s="53"/>
      <c r="AY36" s="83"/>
      <c r="AZ36" s="53"/>
      <c r="BA36" s="53"/>
    </row>
    <row r="37" spans="3:54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2"/>
        <v>1</v>
      </c>
      <c r="M37" s="26">
        <f t="shared" si="13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67" t="e">
        <f>SUMIFS([2]Up!$J:$J,[2]Up!$D:$D,D37)</f>
        <v>#VALUE!</v>
      </c>
      <c r="AQ37" s="82"/>
      <c r="AR37" s="82" t="str">
        <f t="shared" si="14"/>
        <v>PL16</v>
      </c>
      <c r="AS37" s="53" t="str">
        <f t="shared" si="15"/>
        <v/>
      </c>
      <c r="AT37" s="53" t="s">
        <v>154</v>
      </c>
      <c r="AU37" s="53" t="s">
        <v>988</v>
      </c>
      <c r="AV37" s="53" t="s">
        <v>989</v>
      </c>
      <c r="AW37" s="53" t="s">
        <v>990</v>
      </c>
      <c r="AX37" s="53">
        <v>4</v>
      </c>
      <c r="AY37" s="83" t="s">
        <v>2223</v>
      </c>
      <c r="AZ37" s="53"/>
      <c r="BA37" s="53"/>
    </row>
    <row r="38" spans="3:54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2"/>
        <v>0</v>
      </c>
      <c r="M38" s="26">
        <f t="shared" si="13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67" t="e">
        <f>SUMIFS([2]Up!$J:$J,[2]Up!$D:$D,D38)</f>
        <v>#VALUE!</v>
      </c>
      <c r="AQ38" s="82"/>
      <c r="AR38" s="82" t="str">
        <f t="shared" si="14"/>
        <v>PL40</v>
      </c>
      <c r="AS38" s="53" t="str">
        <f t="shared" si="15"/>
        <v/>
      </c>
      <c r="AT38" s="53" t="s">
        <v>148</v>
      </c>
      <c r="AU38" s="53" t="s">
        <v>993</v>
      </c>
      <c r="AV38" s="53" t="s">
        <v>994</v>
      </c>
      <c r="AW38" s="53" t="s">
        <v>995</v>
      </c>
      <c r="AX38" s="53">
        <v>4</v>
      </c>
      <c r="AY38" s="83" t="s">
        <v>2223</v>
      </c>
      <c r="AZ38" s="53"/>
      <c r="BA38" s="53"/>
    </row>
    <row r="39" spans="3:54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2"/>
        <v>0</v>
      </c>
      <c r="M39" s="26">
        <f t="shared" si="13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67" t="e">
        <f>SUMIFS([2]Up!$J:$J,[2]Up!$D:$D,D39)</f>
        <v>#VALUE!</v>
      </c>
      <c r="AQ39" s="82"/>
      <c r="AR39" s="82" t="str">
        <f t="shared" si="14"/>
        <v>PL40</v>
      </c>
      <c r="AS39" s="53" t="str">
        <f t="shared" si="15"/>
        <v/>
      </c>
      <c r="AT39" s="53" t="s">
        <v>148</v>
      </c>
      <c r="AU39" s="53" t="s">
        <v>993</v>
      </c>
      <c r="AV39" s="53" t="s">
        <v>994</v>
      </c>
      <c r="AW39" s="53" t="s">
        <v>995</v>
      </c>
      <c r="AX39" s="53">
        <v>4</v>
      </c>
      <c r="AY39" s="83" t="s">
        <v>2223</v>
      </c>
      <c r="AZ39" s="53"/>
      <c r="BA39" s="53"/>
    </row>
    <row r="40" spans="3:54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2"/>
        <v>0</v>
      </c>
      <c r="M40" s="26">
        <f t="shared" si="13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67" t="e">
        <f>SUMIFS([2]Up!$J:$J,[2]Up!$D:$D,D40)</f>
        <v>#VALUE!</v>
      </c>
      <c r="AQ40" s="82"/>
      <c r="AR40" s="82" t="str">
        <f t="shared" si="14"/>
        <v>PL1</v>
      </c>
      <c r="AS40" s="53" t="str">
        <f t="shared" si="15"/>
        <v/>
      </c>
      <c r="AT40" s="53" t="s">
        <v>148</v>
      </c>
      <c r="AU40" s="53" t="s">
        <v>971</v>
      </c>
      <c r="AV40" s="53" t="s">
        <v>972</v>
      </c>
      <c r="AW40" s="84" t="s">
        <v>1000</v>
      </c>
      <c r="AX40" s="53">
        <v>10</v>
      </c>
      <c r="AY40" s="83" t="s">
        <v>2224</v>
      </c>
      <c r="AZ40" s="53"/>
      <c r="BA40" s="53"/>
      <c r="BB40" s="238"/>
    </row>
    <row r="41" spans="3:54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2"/>
        <v>0</v>
      </c>
      <c r="M41" s="26">
        <f t="shared" si="13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67" t="e">
        <f>SUMIFS([2]Up!$J:$J,[2]Up!$D:$D,D41)</f>
        <v>#VALUE!</v>
      </c>
      <c r="AQ41" s="82"/>
      <c r="AR41" s="82" t="str">
        <f t="shared" si="14"/>
        <v/>
      </c>
      <c r="AS41" s="53" t="str">
        <f t="shared" si="15"/>
        <v/>
      </c>
      <c r="AT41" s="53" t="s">
        <v>977</v>
      </c>
      <c r="AU41" s="53"/>
      <c r="AV41" s="53"/>
      <c r="AW41" s="53"/>
      <c r="AX41" s="53"/>
      <c r="AY41" s="83"/>
      <c r="AZ41" s="53"/>
      <c r="BA41" s="53"/>
    </row>
    <row r="42" spans="3:54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2"/>
        <v>0</v>
      </c>
      <c r="M42" s="26">
        <f t="shared" si="13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67" t="e">
        <f>SUMIFS([2]Up!$J:$J,[2]Up!$D:$D,D42)</f>
        <v>#VALUE!</v>
      </c>
      <c r="AQ42" s="82"/>
      <c r="AR42" s="82" t="str">
        <f t="shared" si="14"/>
        <v>PL2</v>
      </c>
      <c r="AS42" s="53" t="str">
        <f t="shared" si="15"/>
        <v/>
      </c>
      <c r="AT42" s="53" t="s">
        <v>154</v>
      </c>
      <c r="AU42" s="53" t="s">
        <v>1005</v>
      </c>
      <c r="AV42" s="53" t="s">
        <v>1006</v>
      </c>
      <c r="AW42" s="53"/>
      <c r="AX42" s="53"/>
      <c r="AY42" s="83"/>
      <c r="AZ42" s="53"/>
      <c r="BA42" s="53"/>
    </row>
    <row r="43" spans="3:54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2"/>
        <v>0</v>
      </c>
      <c r="M43" s="26">
        <f t="shared" si="13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67" t="e">
        <f>SUMIFS([2]Up!$J:$J,[2]Up!$D:$D,D43)</f>
        <v>#VALUE!</v>
      </c>
      <c r="AQ43" s="82"/>
      <c r="AR43" s="82" t="str">
        <f t="shared" si="14"/>
        <v>PL2</v>
      </c>
      <c r="AS43" s="53" t="str">
        <f t="shared" si="15"/>
        <v/>
      </c>
      <c r="AT43" s="53" t="s">
        <v>154</v>
      </c>
      <c r="AU43" s="53" t="s">
        <v>966</v>
      </c>
      <c r="AV43" s="53" t="s">
        <v>967</v>
      </c>
      <c r="AW43" s="53" t="s">
        <v>968</v>
      </c>
      <c r="AX43" s="53">
        <v>4</v>
      </c>
      <c r="AY43" s="83" t="s">
        <v>2223</v>
      </c>
      <c r="AZ43" s="53"/>
      <c r="BA43" s="53"/>
    </row>
    <row r="44" spans="3:54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67" t="e">
        <f>SUMIFS([2]Up!$J:$J,[2]Up!$D:$D,D44)</f>
        <v>#VALUE!</v>
      </c>
      <c r="AQ44" s="82"/>
      <c r="AR44" s="82" t="str">
        <f t="shared" si="14"/>
        <v>PL8</v>
      </c>
      <c r="AS44" s="53" t="str">
        <f t="shared" si="15"/>
        <v/>
      </c>
      <c r="AT44" s="53" t="s">
        <v>154</v>
      </c>
      <c r="AU44" s="53" t="s">
        <v>1012</v>
      </c>
      <c r="AV44" s="53" t="s">
        <v>1013</v>
      </c>
      <c r="AW44" s="53" t="s">
        <v>1014</v>
      </c>
      <c r="AX44" s="53">
        <v>1</v>
      </c>
      <c r="AY44" s="83">
        <v>46088</v>
      </c>
      <c r="AZ44" s="53"/>
      <c r="BA44" s="53"/>
    </row>
    <row r="45" spans="3:54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67" t="e">
        <f>SUMIFS([2]Up!$J:$J,[2]Up!$D:$D,D45)</f>
        <v>#VALUE!</v>
      </c>
      <c r="AQ45" s="82"/>
      <c r="AR45" s="82" t="str">
        <f t="shared" si="14"/>
        <v/>
      </c>
      <c r="AS45" s="53" t="str">
        <f t="shared" si="15"/>
        <v/>
      </c>
      <c r="AT45" s="53" t="s">
        <v>977</v>
      </c>
      <c r="AU45" s="53"/>
      <c r="AV45" s="53"/>
      <c r="AW45" s="53"/>
      <c r="AX45" s="53"/>
      <c r="AY45" s="83"/>
      <c r="AZ45" s="53"/>
      <c r="BA45" s="53"/>
    </row>
    <row r="46" spans="3:54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2"/>
        <v>0</v>
      </c>
      <c r="M46" s="26">
        <f t="shared" si="1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67" t="e">
        <f>SUMIFS([2]Up!$J:$J,[2]Up!$D:$D,D46)</f>
        <v>#VALUE!</v>
      </c>
      <c r="AQ46" s="82"/>
      <c r="AR46" s="82" t="str">
        <f t="shared" si="14"/>
        <v>PL12</v>
      </c>
      <c r="AS46" s="53" t="str">
        <f t="shared" si="15"/>
        <v/>
      </c>
      <c r="AT46" s="53" t="s">
        <v>154</v>
      </c>
      <c r="AU46" s="53" t="s">
        <v>1021</v>
      </c>
      <c r="AV46" s="53" t="s">
        <v>1022</v>
      </c>
      <c r="AW46" s="53" t="s">
        <v>1023</v>
      </c>
      <c r="AX46" s="53">
        <v>1</v>
      </c>
      <c r="AY46" s="83">
        <v>46088</v>
      </c>
      <c r="AZ46" s="53"/>
      <c r="BA46" s="53"/>
    </row>
    <row r="47" spans="3:54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2"/>
        <v>1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67" t="e">
        <f>SUMIFS([2]Up!$J:$J,[2]Up!$D:$D,D47)</f>
        <v>#VALUE!</v>
      </c>
      <c r="AQ47" s="82"/>
      <c r="AR47" s="82" t="str">
        <f t="shared" si="14"/>
        <v/>
      </c>
      <c r="AS47" s="53" t="str">
        <f t="shared" si="15"/>
        <v/>
      </c>
      <c r="AT47" s="53" t="s">
        <v>148</v>
      </c>
      <c r="AU47" s="53" t="s">
        <v>1027</v>
      </c>
      <c r="AV47" s="53" t="s">
        <v>1028</v>
      </c>
      <c r="AW47" s="53" t="s">
        <v>1029</v>
      </c>
      <c r="AX47" s="53">
        <v>1</v>
      </c>
      <c r="AY47" s="83">
        <v>46362</v>
      </c>
      <c r="AZ47" s="53"/>
      <c r="BA47" s="53"/>
    </row>
    <row r="48" spans="3:54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2"/>
        <v>0</v>
      </c>
      <c r="M48" s="26">
        <f t="shared" si="13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67" t="e">
        <f>SUMIFS([2]Up!$J:$J,[2]Up!$D:$D,D48)</f>
        <v>#VALUE!</v>
      </c>
      <c r="AQ48" s="82"/>
      <c r="AR48" s="82" t="str">
        <f t="shared" si="14"/>
        <v>PL12</v>
      </c>
      <c r="AS48" s="53" t="str">
        <f t="shared" si="15"/>
        <v/>
      </c>
      <c r="AT48" s="53" t="s">
        <v>148</v>
      </c>
      <c r="AU48" s="53" t="s">
        <v>1021</v>
      </c>
      <c r="AV48" s="53" t="s">
        <v>1022</v>
      </c>
      <c r="AW48" s="53" t="s">
        <v>1023</v>
      </c>
      <c r="AX48" s="53">
        <v>1</v>
      </c>
      <c r="AY48" s="83">
        <v>46088</v>
      </c>
      <c r="AZ48" s="53"/>
      <c r="BA48" s="53"/>
    </row>
    <row r="49" spans="3:53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2"/>
        <v>1</v>
      </c>
      <c r="M49" s="26">
        <f t="shared" si="1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67" t="e">
        <f>SUMIFS([2]Up!$J:$J,[2]Up!$D:$D,D49)</f>
        <v>#VALUE!</v>
      </c>
      <c r="AQ49" s="82"/>
      <c r="AR49" s="82" t="str">
        <f t="shared" si="14"/>
        <v/>
      </c>
      <c r="AS49" s="53" t="str">
        <f t="shared" si="15"/>
        <v/>
      </c>
      <c r="AT49" s="53" t="s">
        <v>154</v>
      </c>
      <c r="AU49" s="53" t="s">
        <v>1034</v>
      </c>
      <c r="AV49" s="53" t="s">
        <v>1033</v>
      </c>
      <c r="AW49" s="53" t="s">
        <v>1035</v>
      </c>
      <c r="AX49" s="53">
        <v>1</v>
      </c>
      <c r="AY49" s="83">
        <v>46362</v>
      </c>
      <c r="AZ49" s="53"/>
      <c r="BA49" s="53"/>
    </row>
    <row r="50" spans="3:53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2"/>
        <v>0</v>
      </c>
      <c r="M50" s="26">
        <f t="shared" si="13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67" t="e">
        <f>SUMIFS([2]Up!$J:$J,[2]Up!$D:$D,D50)</f>
        <v>#VALUE!</v>
      </c>
      <c r="AQ50" s="82"/>
      <c r="AR50" s="82" t="str">
        <f t="shared" si="14"/>
        <v/>
      </c>
      <c r="AS50" s="53" t="str">
        <f t="shared" si="15"/>
        <v/>
      </c>
      <c r="AT50" s="53" t="s">
        <v>977</v>
      </c>
      <c r="AU50" s="53"/>
      <c r="AV50" s="53"/>
      <c r="AW50" s="53"/>
      <c r="AX50" s="53"/>
      <c r="AY50" s="83"/>
      <c r="AZ50" s="53"/>
      <c r="BA50" s="53"/>
    </row>
    <row r="51" spans="3:53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2"/>
        <v>0</v>
      </c>
      <c r="M51" s="26">
        <f t="shared" si="13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67" t="e">
        <f>SUMIFS([2]Up!$J:$J,[2]Up!$D:$D,D51)</f>
        <v>#VALUE!</v>
      </c>
      <c r="AQ51" s="82"/>
      <c r="AR51" s="82" t="str">
        <f t="shared" si="14"/>
        <v/>
      </c>
      <c r="AS51" s="53" t="str">
        <f t="shared" si="15"/>
        <v/>
      </c>
      <c r="AT51" s="53" t="s">
        <v>154</v>
      </c>
      <c r="AU51" s="53" t="s">
        <v>1042</v>
      </c>
      <c r="AV51" s="53" t="s">
        <v>1041</v>
      </c>
      <c r="AW51" s="53" t="s">
        <v>1043</v>
      </c>
      <c r="AX51" s="53">
        <v>2</v>
      </c>
      <c r="AY51" s="83">
        <v>46362</v>
      </c>
      <c r="AZ51" s="53"/>
      <c r="BA51" s="53"/>
    </row>
    <row r="52" spans="3:53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2"/>
        <v>0</v>
      </c>
      <c r="M52" s="26">
        <f t="shared" si="13"/>
        <v>4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67" t="e">
        <f>SUMIFS([2]Up!$J:$J,[2]Up!$D:$D,D52)</f>
        <v>#VALUE!</v>
      </c>
      <c r="AQ52" s="82"/>
      <c r="AR52" s="82" t="str">
        <f t="shared" si="14"/>
        <v/>
      </c>
      <c r="AS52" s="53" t="str">
        <f t="shared" si="15"/>
        <v/>
      </c>
      <c r="AT52" s="53" t="s">
        <v>154</v>
      </c>
      <c r="AU52" s="53" t="s">
        <v>1046</v>
      </c>
      <c r="AV52" s="53" t="s">
        <v>1045</v>
      </c>
      <c r="AW52" s="53" t="s">
        <v>1047</v>
      </c>
      <c r="AX52" s="53">
        <v>1</v>
      </c>
      <c r="AY52" s="83">
        <v>46362</v>
      </c>
      <c r="AZ52" s="53"/>
      <c r="BA52" s="53"/>
    </row>
    <row r="53" spans="3:53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2"/>
        <v>1</v>
      </c>
      <c r="M53" s="26">
        <f t="shared" si="13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67" t="e">
        <f>SUMIFS([2]Up!$J:$J,[2]Up!$D:$D,D53)</f>
        <v>#VALUE!</v>
      </c>
      <c r="AQ53" s="82"/>
      <c r="AR53" s="82" t="str">
        <f t="shared" si="14"/>
        <v/>
      </c>
      <c r="AS53" s="53" t="str">
        <f t="shared" si="15"/>
        <v/>
      </c>
      <c r="AT53" s="53" t="s">
        <v>148</v>
      </c>
      <c r="AU53" s="53" t="s">
        <v>1051</v>
      </c>
      <c r="AV53" s="53" t="s">
        <v>1049</v>
      </c>
      <c r="AW53" s="53" t="s">
        <v>1052</v>
      </c>
      <c r="AX53" s="53">
        <v>1</v>
      </c>
      <c r="AY53" s="83">
        <v>46362</v>
      </c>
      <c r="AZ53" s="53"/>
      <c r="BA53" s="53"/>
    </row>
    <row r="54" spans="3:53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2"/>
        <v>0</v>
      </c>
      <c r="M54" s="26">
        <f t="shared" si="13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67" t="e">
        <f>SUMIFS([2]Up!$J:$J,[2]Up!$D:$D,D54)</f>
        <v>#VALUE!</v>
      </c>
      <c r="AQ54" s="82"/>
      <c r="AR54" s="82" t="str">
        <f t="shared" si="14"/>
        <v/>
      </c>
      <c r="AS54" s="53" t="str">
        <f t="shared" si="15"/>
        <v/>
      </c>
      <c r="AT54" s="53" t="s">
        <v>977</v>
      </c>
      <c r="AU54" s="53"/>
      <c r="AV54" s="53"/>
      <c r="AW54" s="53"/>
      <c r="AX54" s="53"/>
      <c r="AY54" s="83"/>
      <c r="AZ54" s="53"/>
      <c r="BA54" s="53"/>
    </row>
    <row r="55" spans="3:53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2"/>
        <v>0</v>
      </c>
      <c r="M55" s="26">
        <f t="shared" si="13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67" t="e">
        <f>SUMIFS([2]Up!$J:$J,[2]Up!$D:$D,D55)</f>
        <v>#VALUE!</v>
      </c>
      <c r="AQ55" s="82"/>
      <c r="AR55" s="82" t="str">
        <f t="shared" si="14"/>
        <v/>
      </c>
      <c r="AS55" s="53" t="str">
        <f t="shared" si="15"/>
        <v/>
      </c>
      <c r="AT55" s="53" t="s">
        <v>977</v>
      </c>
      <c r="AU55" s="53"/>
      <c r="AV55" s="53"/>
      <c r="AW55" s="53"/>
      <c r="AX55" s="53"/>
      <c r="AY55" s="83"/>
      <c r="AZ55" s="53"/>
      <c r="BA55" s="53"/>
    </row>
    <row r="56" spans="3:53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67" t="e">
        <f>SUMIFS([2]Up!$J:$J,[2]Up!$D:$D,D56)</f>
        <v>#VALUE!</v>
      </c>
      <c r="AQ56" s="82"/>
      <c r="AR56" s="82" t="str">
        <f t="shared" si="14"/>
        <v>PL30</v>
      </c>
      <c r="AS56" s="53" t="str">
        <f t="shared" si="15"/>
        <v/>
      </c>
      <c r="AT56" s="53" t="s">
        <v>148</v>
      </c>
      <c r="AU56" s="53" t="s">
        <v>1059</v>
      </c>
      <c r="AV56" s="53" t="s">
        <v>1060</v>
      </c>
      <c r="AW56" s="53" t="s">
        <v>1061</v>
      </c>
      <c r="AX56" s="53">
        <v>1</v>
      </c>
      <c r="AY56" s="83" t="s">
        <v>2223</v>
      </c>
      <c r="AZ56" s="53"/>
      <c r="BA56" s="53"/>
    </row>
    <row r="57" spans="3:53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2"/>
        <v>0</v>
      </c>
      <c r="M57" s="26">
        <f t="shared" si="13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67" t="e">
        <f>SUMIFS([2]Up!$J:$J,[2]Up!$D:$D,D57)</f>
        <v>#VALUE!</v>
      </c>
      <c r="AQ57" s="82"/>
      <c r="AR57" s="82" t="str">
        <f t="shared" si="14"/>
        <v>PL10</v>
      </c>
      <c r="AS57" s="53" t="str">
        <f t="shared" si="15"/>
        <v/>
      </c>
      <c r="AT57" s="53" t="s">
        <v>148</v>
      </c>
      <c r="AU57" s="53" t="s">
        <v>1005</v>
      </c>
      <c r="AV57" s="53" t="s">
        <v>1006</v>
      </c>
      <c r="AW57" s="53" t="s">
        <v>1064</v>
      </c>
      <c r="AX57" s="53">
        <v>2</v>
      </c>
      <c r="AY57" s="83">
        <v>46088</v>
      </c>
      <c r="AZ57" s="53"/>
      <c r="BA57" s="53"/>
    </row>
    <row r="58" spans="3:53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2"/>
        <v>0</v>
      </c>
      <c r="M58" s="26">
        <f t="shared" si="13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67" t="e">
        <f>SUMIFS([2]Up!$J:$J,[2]Up!$D:$D,D58)</f>
        <v>#VALUE!</v>
      </c>
      <c r="AQ58" s="82"/>
      <c r="AR58" s="82" t="str">
        <f t="shared" si="14"/>
        <v>PL10</v>
      </c>
      <c r="AS58" s="53" t="str">
        <f t="shared" si="15"/>
        <v/>
      </c>
      <c r="AT58" s="53" t="s">
        <v>148</v>
      </c>
      <c r="AU58" s="53" t="s">
        <v>1005</v>
      </c>
      <c r="AV58" s="53" t="s">
        <v>1006</v>
      </c>
      <c r="AW58" s="53" t="s">
        <v>1064</v>
      </c>
      <c r="AX58" s="53">
        <v>1</v>
      </c>
      <c r="AY58" s="83">
        <v>46088</v>
      </c>
      <c r="AZ58" s="53"/>
      <c r="BA58" s="53"/>
    </row>
    <row r="59" spans="3:53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2"/>
        <v>1</v>
      </c>
      <c r="M59" s="26">
        <f t="shared" si="13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67" t="e">
        <f>SUMIFS([2]Up!$J:$J,[2]Up!$D:$D,D59)</f>
        <v>#VALUE!</v>
      </c>
      <c r="AQ59" s="82"/>
      <c r="AR59" s="82" t="str">
        <f t="shared" si="14"/>
        <v/>
      </c>
      <c r="AS59" s="53" t="str">
        <f t="shared" si="15"/>
        <v/>
      </c>
      <c r="AT59" s="53" t="s">
        <v>148</v>
      </c>
      <c r="AU59" s="53" t="s">
        <v>1051</v>
      </c>
      <c r="AV59" s="53" t="s">
        <v>1049</v>
      </c>
      <c r="AW59" s="53" t="s">
        <v>1052</v>
      </c>
      <c r="AX59" s="53">
        <v>1</v>
      </c>
      <c r="AY59" s="83">
        <v>46362</v>
      </c>
      <c r="AZ59" s="53"/>
      <c r="BA59" s="53"/>
    </row>
    <row r="60" spans="3:53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2"/>
        <v>0</v>
      </c>
      <c r="M60" s="26">
        <f t="shared" si="13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67" t="e">
        <f>SUMIFS([2]Up!$J:$J,[2]Up!$D:$D,D60)</f>
        <v>#VALUE!</v>
      </c>
      <c r="AQ60" s="82"/>
      <c r="AR60" s="82" t="str">
        <f t="shared" si="14"/>
        <v/>
      </c>
      <c r="AS60" s="53" t="str">
        <f t="shared" si="15"/>
        <v/>
      </c>
      <c r="AT60" s="53" t="s">
        <v>977</v>
      </c>
      <c r="AU60" s="53"/>
      <c r="AV60" s="53"/>
      <c r="AW60" s="53"/>
      <c r="AX60" s="53"/>
      <c r="AY60" s="83"/>
      <c r="AZ60" s="53"/>
      <c r="BA60" s="53"/>
    </row>
    <row r="61" spans="3:53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2"/>
        <v>0</v>
      </c>
      <c r="M61" s="26">
        <f t="shared" si="13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67" t="e">
        <f>SUMIFS([2]Up!$J:$J,[2]Up!$D:$D,D61)</f>
        <v>#VALUE!</v>
      </c>
      <c r="AQ61" s="82"/>
      <c r="AR61" s="82" t="str">
        <f t="shared" si="14"/>
        <v/>
      </c>
      <c r="AS61" s="53" t="str">
        <f t="shared" si="15"/>
        <v/>
      </c>
      <c r="AT61" s="53" t="s">
        <v>977</v>
      </c>
      <c r="AU61" s="53"/>
      <c r="AV61" s="53"/>
      <c r="AW61" s="53"/>
      <c r="AX61" s="53"/>
      <c r="AY61" s="83"/>
      <c r="AZ61" s="53"/>
      <c r="BA61" s="53"/>
    </row>
    <row r="62" spans="3:53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2"/>
        <v>1</v>
      </c>
      <c r="M62" s="26">
        <f t="shared" si="13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67" t="e">
        <f>SUMIFS([2]Up!$J:$J,[2]Up!$D:$D,D62)</f>
        <v>#VALUE!</v>
      </c>
      <c r="AQ62" s="82"/>
      <c r="AR62" s="82" t="str">
        <f t="shared" si="14"/>
        <v>PL8</v>
      </c>
      <c r="AS62" s="53" t="str">
        <f t="shared" si="15"/>
        <v/>
      </c>
      <c r="AT62" s="53" t="s">
        <v>154</v>
      </c>
      <c r="AU62" s="53" t="s">
        <v>1012</v>
      </c>
      <c r="AV62" s="53" t="s">
        <v>1013</v>
      </c>
      <c r="AW62" s="53" t="s">
        <v>1014</v>
      </c>
      <c r="AX62" s="53">
        <v>1</v>
      </c>
      <c r="AY62" s="83">
        <v>46088</v>
      </c>
      <c r="AZ62" s="53"/>
      <c r="BA62" s="53"/>
    </row>
    <row r="63" spans="3:53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2"/>
        <v>0</v>
      </c>
      <c r="M63" s="26">
        <f t="shared" si="13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67" t="e">
        <f>SUMIFS([2]Up!$J:$J,[2]Up!$D:$D,D63)</f>
        <v>#VALUE!</v>
      </c>
      <c r="AQ63" s="82"/>
      <c r="AR63" s="82" t="str">
        <f t="shared" si="14"/>
        <v>PL5</v>
      </c>
      <c r="AS63" s="53" t="str">
        <f t="shared" si="15"/>
        <v/>
      </c>
      <c r="AT63" s="53" t="s">
        <v>148</v>
      </c>
      <c r="AU63" s="53" t="s">
        <v>956</v>
      </c>
      <c r="AV63" s="53" t="s">
        <v>957</v>
      </c>
      <c r="AW63" s="53" t="s">
        <v>958</v>
      </c>
      <c r="AX63" s="53">
        <v>1</v>
      </c>
      <c r="AY63" s="83" t="s">
        <v>2223</v>
      </c>
      <c r="AZ63" s="53"/>
      <c r="BA63" s="53"/>
    </row>
    <row r="64" spans="3:53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2"/>
        <v>0</v>
      </c>
      <c r="M64" s="26">
        <f t="shared" si="13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67" t="e">
        <f>SUMIFS([2]Up!$J:$J,[2]Up!$D:$D,D64)</f>
        <v>#VALUE!</v>
      </c>
      <c r="AQ64" s="82"/>
      <c r="AR64" s="82" t="str">
        <f t="shared" si="14"/>
        <v/>
      </c>
      <c r="AS64" s="53" t="str">
        <f t="shared" si="15"/>
        <v/>
      </c>
      <c r="AT64" s="53" t="s">
        <v>148</v>
      </c>
      <c r="AU64" s="53" t="s">
        <v>1079</v>
      </c>
      <c r="AV64" s="53" t="s">
        <v>1076</v>
      </c>
      <c r="AW64" s="53" t="s">
        <v>2105</v>
      </c>
      <c r="AX64" s="53">
        <v>5</v>
      </c>
      <c r="AY64" s="83">
        <v>46120</v>
      </c>
      <c r="AZ64" s="53"/>
      <c r="BA64" s="53"/>
    </row>
    <row r="65" spans="3:53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2"/>
        <v>0</v>
      </c>
      <c r="M65" s="26">
        <f t="shared" si="1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67" t="e">
        <f>SUMIFS([2]Up!$J:$J,[2]Up!$D:$D,D65)</f>
        <v>#VALUE!</v>
      </c>
      <c r="AQ65" s="82"/>
      <c r="AR65" s="82" t="str">
        <f t="shared" si="14"/>
        <v/>
      </c>
      <c r="AS65" s="53" t="str">
        <f t="shared" si="15"/>
        <v/>
      </c>
      <c r="AT65" s="53" t="s">
        <v>154</v>
      </c>
      <c r="AU65" s="53" t="s">
        <v>1082</v>
      </c>
      <c r="AV65" s="53" t="s">
        <v>1081</v>
      </c>
      <c r="AW65" s="53" t="s">
        <v>2106</v>
      </c>
      <c r="AX65" s="53">
        <v>1</v>
      </c>
      <c r="AY65" s="83">
        <v>46120</v>
      </c>
      <c r="AZ65" s="53"/>
      <c r="BA65" s="53"/>
    </row>
    <row r="66" spans="3:53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2"/>
        <v>0</v>
      </c>
      <c r="M66" s="26">
        <f t="shared" si="1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67" t="e">
        <f>SUMIFS([2]Up!$J:$J,[2]Up!$D:$D,D66)</f>
        <v>#VALUE!</v>
      </c>
      <c r="AQ66" s="82"/>
      <c r="AR66" s="82" t="str">
        <f t="shared" si="14"/>
        <v>PL12</v>
      </c>
      <c r="AS66" s="53" t="str">
        <f t="shared" si="15"/>
        <v/>
      </c>
      <c r="AT66" s="53" t="s">
        <v>154</v>
      </c>
      <c r="AU66" s="53" t="s">
        <v>1021</v>
      </c>
      <c r="AV66" s="53" t="s">
        <v>1022</v>
      </c>
      <c r="AW66" s="53" t="s">
        <v>57</v>
      </c>
      <c r="AX66" s="53">
        <v>1</v>
      </c>
      <c r="AY66" s="83"/>
      <c r="AZ66" s="53"/>
      <c r="BA66" s="53"/>
    </row>
    <row r="67" spans="3:53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67" t="e">
        <f>SUMIFS([2]Up!$J:$J,[2]Up!$D:$D,D67)</f>
        <v>#VALUE!</v>
      </c>
      <c r="AQ67" s="82"/>
      <c r="AR67" s="82" t="str">
        <f t="shared" si="14"/>
        <v>PL10</v>
      </c>
      <c r="AS67" s="53" t="str">
        <f t="shared" si="15"/>
        <v/>
      </c>
      <c r="AT67" s="53" t="s">
        <v>148</v>
      </c>
      <c r="AU67" s="53" t="s">
        <v>1005</v>
      </c>
      <c r="AV67" s="53" t="s">
        <v>1006</v>
      </c>
      <c r="AW67" s="53"/>
      <c r="AX67" s="53"/>
      <c r="AY67" s="83"/>
      <c r="AZ67" s="53"/>
      <c r="BA67" s="53"/>
    </row>
    <row r="68" spans="3:53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2"/>
        <v>0</v>
      </c>
      <c r="M68" s="26">
        <f t="shared" si="13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67" t="e">
        <f>SUMIFS([2]Up!$J:$J,[2]Up!$D:$D,D68)</f>
        <v>#VALUE!</v>
      </c>
      <c r="AQ68" s="82"/>
      <c r="AR68" s="82" t="str">
        <f t="shared" si="14"/>
        <v>PL12</v>
      </c>
      <c r="AS68" s="53" t="str">
        <f t="shared" si="15"/>
        <v/>
      </c>
      <c r="AT68" s="53" t="s">
        <v>148</v>
      </c>
      <c r="AU68" s="53" t="s">
        <v>1021</v>
      </c>
      <c r="AV68" s="53" t="s">
        <v>1022</v>
      </c>
      <c r="AW68" s="53" t="s">
        <v>2100</v>
      </c>
      <c r="AX68" s="53">
        <v>10</v>
      </c>
      <c r="AY68" s="83">
        <v>46303</v>
      </c>
      <c r="AZ68" s="53"/>
      <c r="BA68" s="53"/>
    </row>
    <row r="69" spans="3:53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2"/>
        <v>0</v>
      </c>
      <c r="M69" s="26">
        <f t="shared" si="13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67" t="e">
        <f>SUMIFS([2]Up!$J:$J,[2]Up!$D:$D,D69)</f>
        <v>#VALUE!</v>
      </c>
      <c r="AQ69" s="82"/>
      <c r="AR69" s="82" t="str">
        <f t="shared" si="14"/>
        <v>PL16</v>
      </c>
      <c r="AS69" s="53" t="str">
        <f t="shared" si="15"/>
        <v/>
      </c>
      <c r="AT69" s="53" t="s">
        <v>148</v>
      </c>
      <c r="AU69" s="53" t="s">
        <v>988</v>
      </c>
      <c r="AV69" s="53" t="s">
        <v>989</v>
      </c>
      <c r="AW69" s="53" t="s">
        <v>2104</v>
      </c>
      <c r="AX69" s="53">
        <v>10</v>
      </c>
      <c r="AY69" s="83">
        <v>46120</v>
      </c>
      <c r="AZ69" s="53"/>
      <c r="BA69" s="53"/>
    </row>
    <row r="70" spans="3:53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2"/>
        <v>0</v>
      </c>
      <c r="M70" s="26">
        <f t="shared" si="13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67" t="e">
        <f>SUMIFS([2]Up!$J:$J,[2]Up!$D:$D,D70)</f>
        <v>#VALUE!</v>
      </c>
      <c r="AQ70" s="82"/>
      <c r="AR70" s="82" t="str">
        <f t="shared" si="14"/>
        <v>PL15</v>
      </c>
      <c r="AS70" s="53" t="str">
        <f t="shared" si="15"/>
        <v/>
      </c>
      <c r="AT70" s="53" t="s">
        <v>148</v>
      </c>
      <c r="AU70" s="53" t="s">
        <v>1094</v>
      </c>
      <c r="AV70" s="53" t="s">
        <v>1095</v>
      </c>
      <c r="AW70" s="53" t="s">
        <v>2101</v>
      </c>
      <c r="AX70" s="53">
        <v>2</v>
      </c>
      <c r="AY70" s="83">
        <v>46120</v>
      </c>
      <c r="AZ70" s="53"/>
      <c r="BA70" s="53"/>
    </row>
    <row r="71" spans="3:53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2"/>
        <v>0</v>
      </c>
      <c r="M71" s="26">
        <f t="shared" si="1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67" t="e">
        <f>SUMIFS([2]Up!$J:$J,[2]Up!$D:$D,D71)</f>
        <v>#VALUE!</v>
      </c>
      <c r="AQ71" s="82"/>
      <c r="AR71" s="82" t="str">
        <f t="shared" si="14"/>
        <v>PL10</v>
      </c>
      <c r="AS71" s="53" t="str">
        <f t="shared" si="15"/>
        <v/>
      </c>
      <c r="AT71" s="53" t="s">
        <v>154</v>
      </c>
      <c r="AU71" s="53" t="s">
        <v>1005</v>
      </c>
      <c r="AV71" s="53" t="s">
        <v>1006</v>
      </c>
      <c r="AW71" s="53"/>
      <c r="AX71" s="53"/>
      <c r="AY71" s="83"/>
      <c r="AZ71" s="53"/>
      <c r="BA71" s="53"/>
    </row>
    <row r="72" spans="3:53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2"/>
        <v>0</v>
      </c>
      <c r="M72" s="26">
        <f t="shared" si="1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67" t="e">
        <f>SUMIFS([2]Up!$J:$J,[2]Up!$D:$D,D72)</f>
        <v>#VALUE!</v>
      </c>
      <c r="AQ72" s="82"/>
      <c r="AR72" s="82" t="str">
        <f t="shared" si="14"/>
        <v>PL20</v>
      </c>
      <c r="AS72" s="53" t="str">
        <f t="shared" si="15"/>
        <v/>
      </c>
      <c r="AT72" s="53" t="s">
        <v>148</v>
      </c>
      <c r="AU72" s="53" t="s">
        <v>1100</v>
      </c>
      <c r="AV72" s="53" t="s">
        <v>1101</v>
      </c>
      <c r="AW72" s="53" t="s">
        <v>2102</v>
      </c>
      <c r="AX72" s="53">
        <v>1</v>
      </c>
      <c r="AY72" s="83">
        <v>46303</v>
      </c>
      <c r="AZ72" s="53"/>
      <c r="BA72" s="53"/>
    </row>
    <row r="73" spans="3:53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2"/>
        <v>0</v>
      </c>
      <c r="M73" s="26">
        <f t="shared" si="13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67" t="e">
        <f>SUMIFS([2]Up!$J:$J,[2]Up!$D:$D,D73)</f>
        <v>#VALUE!</v>
      </c>
      <c r="AQ73" s="82"/>
      <c r="AR73" s="82" t="str">
        <f t="shared" si="14"/>
        <v>PL12</v>
      </c>
      <c r="AS73" s="53" t="str">
        <f t="shared" si="15"/>
        <v/>
      </c>
      <c r="AT73" s="53" t="s">
        <v>148</v>
      </c>
      <c r="AU73" s="53" t="s">
        <v>1021</v>
      </c>
      <c r="AV73" s="53" t="s">
        <v>1022</v>
      </c>
      <c r="AW73" s="53" t="s">
        <v>2100</v>
      </c>
      <c r="AX73" s="53">
        <v>4</v>
      </c>
      <c r="AY73" s="83">
        <v>46303</v>
      </c>
      <c r="AZ73" s="53"/>
      <c r="BA73" s="53"/>
    </row>
    <row r="74" spans="3:53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2"/>
        <v>0</v>
      </c>
      <c r="M74" s="26">
        <f t="shared" si="1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67" t="e">
        <f>SUMIFS([2]Up!$J:$J,[2]Up!$D:$D,D74)</f>
        <v>#VALUE!</v>
      </c>
      <c r="AQ74" s="82"/>
      <c r="AR74" s="82" t="str">
        <f t="shared" si="14"/>
        <v>PL12</v>
      </c>
      <c r="AS74" s="53" t="str">
        <f t="shared" si="15"/>
        <v/>
      </c>
      <c r="AT74" s="53" t="s">
        <v>148</v>
      </c>
      <c r="AU74" s="53" t="s">
        <v>1021</v>
      </c>
      <c r="AV74" s="53" t="s">
        <v>1022</v>
      </c>
      <c r="AW74" s="53" t="s">
        <v>2100</v>
      </c>
      <c r="AX74" s="53">
        <v>2</v>
      </c>
      <c r="AY74" s="83">
        <v>46303</v>
      </c>
      <c r="AZ74" s="53"/>
      <c r="BA74" s="53"/>
    </row>
    <row r="75" spans="3:53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67" t="e">
        <f>SUMIFS([2]Up!$J:$J,[2]Up!$D:$D,D75)</f>
        <v>#VALUE!</v>
      </c>
      <c r="AQ75" s="82"/>
      <c r="AR75" s="82" t="str">
        <f t="shared" si="14"/>
        <v>PL20</v>
      </c>
      <c r="AS75" s="53" t="str">
        <f t="shared" si="15"/>
        <v/>
      </c>
      <c r="AT75" s="53" t="s">
        <v>148</v>
      </c>
      <c r="AU75" s="53" t="s">
        <v>1100</v>
      </c>
      <c r="AV75" s="53" t="s">
        <v>1101</v>
      </c>
      <c r="AW75" s="53" t="s">
        <v>2102</v>
      </c>
      <c r="AX75" s="53">
        <v>1</v>
      </c>
      <c r="AY75" s="83">
        <v>46303</v>
      </c>
      <c r="AZ75" s="53"/>
      <c r="BA75" s="53"/>
    </row>
    <row r="76" spans="3:53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2"/>
        <v>0</v>
      </c>
      <c r="M76" s="26">
        <f t="shared" si="1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67" t="e">
        <f>SUMIFS([2]Up!$J:$J,[2]Up!$D:$D,D76)</f>
        <v>#VALUE!</v>
      </c>
      <c r="AQ76" s="82"/>
      <c r="AR76" s="82" t="str">
        <f t="shared" si="14"/>
        <v>PL5</v>
      </c>
      <c r="AS76" s="53" t="str">
        <f t="shared" si="15"/>
        <v/>
      </c>
      <c r="AT76" s="53" t="s">
        <v>148</v>
      </c>
      <c r="AU76" s="53" t="s">
        <v>1108</v>
      </c>
      <c r="AV76" s="53" t="s">
        <v>957</v>
      </c>
      <c r="AW76" s="53" t="s">
        <v>2103</v>
      </c>
      <c r="AX76" s="53">
        <v>2</v>
      </c>
      <c r="AY76" s="83">
        <v>46120</v>
      </c>
      <c r="AZ76" s="53"/>
      <c r="BA76" s="53"/>
    </row>
    <row r="77" spans="3:53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2"/>
        <v>0</v>
      </c>
      <c r="M77" s="26">
        <f t="shared" si="1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67" t="e">
        <f>SUMIFS([2]Up!$J:$J,[2]Up!$D:$D,D77)</f>
        <v>#VALUE!</v>
      </c>
      <c r="AQ77" s="82"/>
      <c r="AR77" s="82" t="str">
        <f t="shared" si="14"/>
        <v>PL10</v>
      </c>
      <c r="AS77" s="53" t="str">
        <f t="shared" si="15"/>
        <v/>
      </c>
      <c r="AT77" s="53" t="s">
        <v>148</v>
      </c>
      <c r="AU77" s="53" t="s">
        <v>1005</v>
      </c>
      <c r="AV77" s="53" t="s">
        <v>1006</v>
      </c>
      <c r="AW77" s="53"/>
      <c r="AX77" s="53"/>
      <c r="AY77" s="83"/>
      <c r="AZ77" s="53"/>
      <c r="BA77" s="53"/>
    </row>
    <row r="78" spans="3:53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2"/>
        <v>0</v>
      </c>
      <c r="M78" s="26">
        <f t="shared" si="13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67" t="e">
        <f>SUMIFS([2]Up!$J:$J,[2]Up!$D:$D,D78)</f>
        <v>#VALUE!</v>
      </c>
      <c r="AQ78" s="82"/>
      <c r="AR78" s="82" t="str">
        <f t="shared" si="14"/>
        <v>PL12</v>
      </c>
      <c r="AS78" s="53" t="str">
        <f t="shared" si="15"/>
        <v/>
      </c>
      <c r="AT78" s="53" t="s">
        <v>154</v>
      </c>
      <c r="AU78" s="53" t="s">
        <v>1021</v>
      </c>
      <c r="AV78" s="53" t="s">
        <v>1022</v>
      </c>
      <c r="AW78" s="53" t="s">
        <v>57</v>
      </c>
      <c r="AX78" s="53">
        <v>1</v>
      </c>
      <c r="AY78" s="83"/>
      <c r="AZ78" s="53"/>
      <c r="BA78" s="53"/>
    </row>
    <row r="79" spans="3:53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2"/>
        <v>0</v>
      </c>
      <c r="M79" s="26">
        <f t="shared" si="1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67" t="e">
        <f>SUMIFS([2]Up!$J:$J,[2]Up!$D:$D,D79)</f>
        <v>#VALUE!</v>
      </c>
      <c r="AQ79" s="82"/>
      <c r="AR79" s="82" t="str">
        <f t="shared" si="14"/>
        <v>PL10</v>
      </c>
      <c r="AS79" s="53" t="str">
        <f t="shared" si="15"/>
        <v/>
      </c>
      <c r="AT79" s="53" t="s">
        <v>154</v>
      </c>
      <c r="AU79" s="53" t="s">
        <v>1005</v>
      </c>
      <c r="AV79" s="53" t="s">
        <v>1006</v>
      </c>
      <c r="AW79" s="53"/>
      <c r="AX79" s="53"/>
      <c r="AY79" s="83"/>
      <c r="AZ79" s="53"/>
      <c r="BA79" s="53"/>
    </row>
    <row r="80" spans="3:53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2"/>
        <v>1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67" t="e">
        <f>SUMIFS([2]Up!$J:$J,[2]Up!$D:$D,D80)</f>
        <v>#VALUE!</v>
      </c>
      <c r="AQ80" s="82"/>
      <c r="AR80" s="82" t="str">
        <f t="shared" si="14"/>
        <v>PL20</v>
      </c>
      <c r="AS80" s="53" t="str">
        <f t="shared" si="15"/>
        <v/>
      </c>
      <c r="AT80" s="53" t="s">
        <v>148</v>
      </c>
      <c r="AU80" s="53" t="s">
        <v>1100</v>
      </c>
      <c r="AV80" s="53" t="s">
        <v>1101</v>
      </c>
      <c r="AW80" s="53" t="s">
        <v>2102</v>
      </c>
      <c r="AX80" s="53">
        <v>1</v>
      </c>
      <c r="AY80" s="83">
        <v>46303</v>
      </c>
      <c r="AZ80" s="53"/>
      <c r="BA80" s="53"/>
    </row>
    <row r="81" spans="3:53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2"/>
        <v>0</v>
      </c>
      <c r="M81" s="26">
        <f t="shared" si="13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67" t="e">
        <f>SUMIFS([2]Up!$J:$J,[2]Up!$D:$D,D81)</f>
        <v>#VALUE!</v>
      </c>
      <c r="AQ81" s="82"/>
      <c r="AR81" s="82" t="str">
        <f t="shared" si="14"/>
        <v>PL12</v>
      </c>
      <c r="AS81" s="53" t="str">
        <f t="shared" si="15"/>
        <v/>
      </c>
      <c r="AT81" s="53" t="s">
        <v>148</v>
      </c>
      <c r="AU81" s="53" t="s">
        <v>1021</v>
      </c>
      <c r="AV81" s="53" t="s">
        <v>1022</v>
      </c>
      <c r="AW81" s="53" t="s">
        <v>2100</v>
      </c>
      <c r="AX81" s="53">
        <v>5</v>
      </c>
      <c r="AY81" s="83">
        <v>46303</v>
      </c>
      <c r="AZ81" s="53"/>
      <c r="BA81" s="53"/>
    </row>
    <row r="82" spans="3:53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2"/>
        <v>0</v>
      </c>
      <c r="M82" s="26">
        <f t="shared" si="1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67" t="e">
        <f>SUMIFS([2]Up!$J:$J,[2]Up!$D:$D,D82)</f>
        <v>#VALUE!</v>
      </c>
      <c r="AQ82" s="82"/>
      <c r="AR82" s="82" t="str">
        <f t="shared" si="14"/>
        <v>PL15</v>
      </c>
      <c r="AS82" s="53" t="str">
        <f t="shared" si="15"/>
        <v/>
      </c>
      <c r="AT82" s="53" t="s">
        <v>148</v>
      </c>
      <c r="AU82" s="53" t="s">
        <v>1094</v>
      </c>
      <c r="AV82" s="53" t="s">
        <v>1095</v>
      </c>
      <c r="AW82" s="53" t="s">
        <v>2101</v>
      </c>
      <c r="AX82" s="53">
        <v>1</v>
      </c>
      <c r="AY82" s="83">
        <v>46120</v>
      </c>
      <c r="AZ82" s="53"/>
      <c r="BA82" s="53"/>
    </row>
    <row r="83" spans="3:53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67" t="e">
        <f>SUMIFS([2]Up!$J:$J,[2]Up!$D:$D,D83)</f>
        <v>#VALUE!</v>
      </c>
      <c r="AQ83" s="82"/>
      <c r="AR83" s="82" t="str">
        <f t="shared" si="14"/>
        <v>PL12</v>
      </c>
      <c r="AS83" s="53" t="str">
        <f t="shared" si="15"/>
        <v/>
      </c>
      <c r="AT83" s="53" t="s">
        <v>154</v>
      </c>
      <c r="AU83" s="53" t="s">
        <v>1021</v>
      </c>
      <c r="AV83" s="53" t="s">
        <v>1022</v>
      </c>
      <c r="AW83" s="53" t="s">
        <v>57</v>
      </c>
      <c r="AX83" s="53">
        <v>1</v>
      </c>
      <c r="AY83" s="83"/>
      <c r="AZ83" s="53"/>
      <c r="BA83" s="53"/>
    </row>
    <row r="84" spans="3:53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2"/>
        <v>0</v>
      </c>
      <c r="M84" s="26">
        <f t="shared" si="13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67" t="e">
        <f>SUMIFS([2]Up!$J:$J,[2]Up!$D:$D,D84)</f>
        <v>#VALUE!</v>
      </c>
      <c r="AQ84" s="82"/>
      <c r="AR84" s="82" t="str">
        <f t="shared" si="14"/>
        <v>PL12</v>
      </c>
      <c r="AS84" s="53" t="str">
        <f t="shared" si="15"/>
        <v/>
      </c>
      <c r="AT84" s="53" t="s">
        <v>148</v>
      </c>
      <c r="AU84" s="53" t="s">
        <v>1021</v>
      </c>
      <c r="AV84" s="53" t="s">
        <v>1022</v>
      </c>
      <c r="AW84" s="53" t="s">
        <v>2100</v>
      </c>
      <c r="AX84" s="53">
        <v>5</v>
      </c>
      <c r="AY84" s="83">
        <v>46303</v>
      </c>
      <c r="AZ84" s="53"/>
      <c r="BA84" s="53"/>
    </row>
    <row r="85" spans="3:53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2"/>
        <v>0</v>
      </c>
      <c r="M85" s="26">
        <f t="shared" si="1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67" t="e">
        <f>SUMIFS([2]Up!$J:$J,[2]Up!$D:$D,D85)</f>
        <v>#VALUE!</v>
      </c>
      <c r="AQ85" s="82"/>
      <c r="AR85" s="82" t="str">
        <f t="shared" si="14"/>
        <v>PL20</v>
      </c>
      <c r="AS85" s="53" t="str">
        <f t="shared" si="15"/>
        <v/>
      </c>
      <c r="AT85" s="53" t="s">
        <v>148</v>
      </c>
      <c r="AU85" s="53" t="s">
        <v>1100</v>
      </c>
      <c r="AV85" s="53" t="s">
        <v>1101</v>
      </c>
      <c r="AW85" s="53" t="s">
        <v>2102</v>
      </c>
      <c r="AX85" s="53">
        <v>1</v>
      </c>
      <c r="AY85" s="83">
        <v>46303</v>
      </c>
      <c r="AZ85" s="53"/>
      <c r="BA85" s="53"/>
    </row>
    <row r="86" spans="3:53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2"/>
        <v>0</v>
      </c>
      <c r="M86" s="26">
        <f t="shared" si="13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67" t="e">
        <f>SUMIFS([2]Up!$J:$J,[2]Up!$D:$D,D86)</f>
        <v>#VALUE!</v>
      </c>
      <c r="AQ86" s="82"/>
      <c r="AR86" s="82" t="str">
        <f t="shared" si="14"/>
        <v>PL20</v>
      </c>
      <c r="AS86" s="53" t="str">
        <f t="shared" si="15"/>
        <v/>
      </c>
      <c r="AT86" s="53" t="s">
        <v>148</v>
      </c>
      <c r="AU86" s="53" t="s">
        <v>1100</v>
      </c>
      <c r="AV86" s="53" t="s">
        <v>1101</v>
      </c>
      <c r="AW86" s="53"/>
      <c r="AX86" s="53"/>
      <c r="AY86" s="83"/>
      <c r="AZ86" s="53"/>
      <c r="BA86" s="53"/>
    </row>
    <row r="87" spans="3:53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2"/>
        <v>0</v>
      </c>
      <c r="M87" s="26">
        <f t="shared" si="13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67" t="e">
        <f>SUMIFS([2]Up!$J:$J,[2]Up!$D:$D,D87)</f>
        <v>#VALUE!</v>
      </c>
      <c r="AQ87" s="82"/>
      <c r="AR87" s="82" t="str">
        <f t="shared" si="14"/>
        <v>PL20</v>
      </c>
      <c r="AS87" s="53" t="str">
        <f t="shared" si="15"/>
        <v/>
      </c>
      <c r="AT87" s="53" t="s">
        <v>148</v>
      </c>
      <c r="AU87" s="53" t="s">
        <v>1094</v>
      </c>
      <c r="AV87" s="53" t="s">
        <v>1095</v>
      </c>
      <c r="AW87" s="53" t="s">
        <v>2102</v>
      </c>
      <c r="AX87" s="53">
        <v>2</v>
      </c>
      <c r="AY87" s="83">
        <v>46303</v>
      </c>
      <c r="AZ87" s="53"/>
      <c r="BA87" s="53"/>
    </row>
    <row r="88" spans="3:53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2"/>
        <v>0</v>
      </c>
      <c r="M88" s="26">
        <f t="shared" si="13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67" t="e">
        <f>SUMIFS([2]Up!$J:$J,[2]Up!$D:$D,D88)</f>
        <v>#VALUE!</v>
      </c>
      <c r="AQ88" s="82"/>
      <c r="AR88" s="82" t="str">
        <f t="shared" si="14"/>
        <v/>
      </c>
      <c r="AS88" s="53" t="str">
        <f t="shared" si="15"/>
        <v/>
      </c>
      <c r="AT88" s="53" t="s">
        <v>154</v>
      </c>
      <c r="AU88" s="53" t="s">
        <v>1082</v>
      </c>
      <c r="AV88" s="53" t="s">
        <v>1081</v>
      </c>
      <c r="AW88" s="53" t="s">
        <v>2106</v>
      </c>
      <c r="AX88" s="53">
        <v>5</v>
      </c>
      <c r="AY88" s="83">
        <v>46120</v>
      </c>
      <c r="AZ88" s="53"/>
      <c r="BA88" s="53"/>
    </row>
    <row r="89" spans="3:53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2"/>
        <v>0</v>
      </c>
      <c r="M89" s="26">
        <f t="shared" si="1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67" t="e">
        <f>SUMIFS([2]Up!$J:$J,[2]Up!$D:$D,D89)</f>
        <v>#VALUE!</v>
      </c>
      <c r="AQ89" s="82"/>
      <c r="AR89" s="82" t="str">
        <f t="shared" si="14"/>
        <v/>
      </c>
      <c r="AS89" s="53" t="str">
        <f t="shared" si="15"/>
        <v/>
      </c>
      <c r="AT89" s="53" t="s">
        <v>154</v>
      </c>
      <c r="AU89" s="53"/>
      <c r="AV89" s="53" t="s">
        <v>1129</v>
      </c>
      <c r="AW89" s="53" t="s">
        <v>2113</v>
      </c>
      <c r="AX89" s="53">
        <v>1</v>
      </c>
      <c r="AY89" s="83">
        <v>46120</v>
      </c>
      <c r="AZ89" s="53"/>
      <c r="BA89" s="53"/>
    </row>
    <row r="90" spans="3:53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2"/>
        <v>0</v>
      </c>
      <c r="M90" s="26">
        <f t="shared" si="13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67" t="e">
        <f>SUMIFS([2]Up!$J:$J,[2]Up!$D:$D,D90)</f>
        <v>#VALUE!</v>
      </c>
      <c r="AQ90" s="82"/>
      <c r="AR90" s="82" t="str">
        <f t="shared" si="14"/>
        <v>PL12</v>
      </c>
      <c r="AS90" s="53" t="str">
        <f t="shared" si="15"/>
        <v/>
      </c>
      <c r="AT90" s="53" t="s">
        <v>154</v>
      </c>
      <c r="AU90" s="53" t="s">
        <v>1021</v>
      </c>
      <c r="AV90" s="53" t="s">
        <v>1022</v>
      </c>
      <c r="AW90" s="53" t="s">
        <v>57</v>
      </c>
      <c r="AX90" s="53">
        <v>1</v>
      </c>
      <c r="AY90" s="83"/>
      <c r="AZ90" s="53"/>
      <c r="BA90" s="53"/>
    </row>
    <row r="91" spans="3:53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2"/>
        <v>0</v>
      </c>
      <c r="M91" s="26">
        <f t="shared" si="13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67" t="e">
        <f>SUMIFS([2]Up!$J:$J,[2]Up!$D:$D,D91)</f>
        <v>#VALUE!</v>
      </c>
      <c r="AQ91" s="82"/>
      <c r="AR91" s="82" t="str">
        <f t="shared" si="14"/>
        <v>PL10</v>
      </c>
      <c r="AS91" s="53" t="str">
        <f t="shared" si="15"/>
        <v/>
      </c>
      <c r="AT91" s="53" t="s">
        <v>148</v>
      </c>
      <c r="AU91" s="53" t="s">
        <v>1005</v>
      </c>
      <c r="AV91" s="53" t="s">
        <v>1006</v>
      </c>
      <c r="AW91" s="53"/>
      <c r="AX91" s="53"/>
      <c r="AY91" s="83"/>
      <c r="AZ91" s="53"/>
      <c r="BA91" s="53"/>
    </row>
    <row r="92" spans="3:53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2"/>
        <v>0</v>
      </c>
      <c r="M92" s="26">
        <f t="shared" si="13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67" t="e">
        <f>SUMIFS([2]Up!$J:$J,[2]Up!$D:$D,D92)</f>
        <v>#VALUE!</v>
      </c>
      <c r="AQ92" s="82"/>
      <c r="AR92" s="82" t="str">
        <f t="shared" si="14"/>
        <v>PL10</v>
      </c>
      <c r="AS92" s="53" t="str">
        <f t="shared" si="15"/>
        <v/>
      </c>
      <c r="AT92" s="53" t="s">
        <v>148</v>
      </c>
      <c r="AU92" s="53" t="s">
        <v>1005</v>
      </c>
      <c r="AV92" s="53" t="s">
        <v>1006</v>
      </c>
      <c r="AW92" s="53"/>
      <c r="AX92" s="53"/>
      <c r="AY92" s="83"/>
      <c r="AZ92" s="53"/>
      <c r="BA92" s="53"/>
    </row>
    <row r="93" spans="3:53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2"/>
        <v>0</v>
      </c>
      <c r="M93" s="26">
        <f t="shared" si="1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67" t="e">
        <f>SUMIFS([2]Up!$J:$J,[2]Up!$D:$D,D93)</f>
        <v>#VALUE!</v>
      </c>
      <c r="AQ93" s="82"/>
      <c r="AR93" s="82" t="str">
        <f t="shared" si="14"/>
        <v>PL10</v>
      </c>
      <c r="AS93" s="53" t="str">
        <f t="shared" si="15"/>
        <v/>
      </c>
      <c r="AT93" s="53" t="s">
        <v>154</v>
      </c>
      <c r="AU93" s="53" t="s">
        <v>1005</v>
      </c>
      <c r="AV93" s="53" t="s">
        <v>1006</v>
      </c>
      <c r="AW93" s="53"/>
      <c r="AX93" s="53"/>
      <c r="AY93" s="83"/>
      <c r="AZ93" s="53"/>
      <c r="BA93" s="53"/>
    </row>
    <row r="94" spans="3:53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6">MIN(SUM(N94:AO94),I94)</f>
        <v>1</v>
      </c>
      <c r="M94" s="26">
        <f t="shared" si="1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67" t="e">
        <f>SUMIFS([2]Up!$J:$J,[2]Up!$D:$D,D94)</f>
        <v>#VALUE!</v>
      </c>
      <c r="AQ94" s="82"/>
      <c r="AR94" s="82" t="str">
        <f t="shared" ref="AR94:AR157" si="17">IFERROR(IF(C94="Plate",LEFT(E94,FIND("*",E94,1)-1),""),IF(C94="Plate",LEFT(E94,FIND("x",E94,1)-1),""))</f>
        <v>PL20</v>
      </c>
      <c r="AS94" s="53" t="str">
        <f t="shared" ref="AS94:AS157" si="18">IF(ROUND(SUM(N94:AO94)-I94,0)&gt;0,"Thừa "&amp;SUM(N94:AO94)-I94,"")</f>
        <v/>
      </c>
      <c r="AT94" s="53" t="s">
        <v>148</v>
      </c>
      <c r="AU94" s="53" t="s">
        <v>1100</v>
      </c>
      <c r="AV94" s="53" t="s">
        <v>1101</v>
      </c>
      <c r="AW94" s="53" t="s">
        <v>2102</v>
      </c>
      <c r="AX94" s="53">
        <v>1</v>
      </c>
      <c r="AY94" s="83">
        <v>46303</v>
      </c>
      <c r="AZ94" s="53"/>
      <c r="BA94" s="53"/>
    </row>
    <row r="95" spans="3:53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6"/>
        <v>0</v>
      </c>
      <c r="M95" s="26">
        <f t="shared" si="13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67" t="e">
        <f>SUMIFS([2]Up!$J:$J,[2]Up!$D:$D,D95)</f>
        <v>#VALUE!</v>
      </c>
      <c r="AQ95" s="82"/>
      <c r="AR95" s="82" t="str">
        <f t="shared" si="17"/>
        <v>PL10</v>
      </c>
      <c r="AS95" s="53" t="str">
        <f t="shared" si="18"/>
        <v/>
      </c>
      <c r="AT95" s="53" t="s">
        <v>154</v>
      </c>
      <c r="AU95" s="53" t="s">
        <v>1005</v>
      </c>
      <c r="AV95" s="53" t="s">
        <v>1006</v>
      </c>
      <c r="AW95" s="53"/>
      <c r="AX95" s="53"/>
      <c r="AY95" s="83"/>
      <c r="AZ95" s="53"/>
      <c r="BA95" s="53"/>
    </row>
    <row r="96" spans="3:53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6"/>
        <v>0</v>
      </c>
      <c r="M96" s="26">
        <f t="shared" si="13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67" t="e">
        <f>SUMIFS([2]Up!$J:$J,[2]Up!$D:$D,D96)</f>
        <v>#VALUE!</v>
      </c>
      <c r="AQ96" s="82"/>
      <c r="AR96" s="82" t="str">
        <f t="shared" si="17"/>
        <v>PL10</v>
      </c>
      <c r="AS96" s="53" t="str">
        <f t="shared" si="18"/>
        <v/>
      </c>
      <c r="AT96" s="53" t="s">
        <v>154</v>
      </c>
      <c r="AU96" s="53" t="s">
        <v>1005</v>
      </c>
      <c r="AV96" s="53" t="s">
        <v>1006</v>
      </c>
      <c r="AW96" s="53"/>
      <c r="AX96" s="53"/>
      <c r="AY96" s="83"/>
      <c r="AZ96" s="53"/>
      <c r="BA96" s="53"/>
    </row>
    <row r="97" spans="3:53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6"/>
        <v>0</v>
      </c>
      <c r="M97" s="26">
        <f t="shared" si="13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67" t="e">
        <f>SUMIFS([2]Up!$J:$J,[2]Up!$D:$D,D97)</f>
        <v>#VALUE!</v>
      </c>
      <c r="AQ97" s="82"/>
      <c r="AR97" s="82" t="str">
        <f t="shared" si="17"/>
        <v>PL10</v>
      </c>
      <c r="AS97" s="53" t="str">
        <f t="shared" si="18"/>
        <v/>
      </c>
      <c r="AT97" s="53" t="s">
        <v>154</v>
      </c>
      <c r="AU97" s="53" t="s">
        <v>1005</v>
      </c>
      <c r="AV97" s="53" t="s">
        <v>1006</v>
      </c>
      <c r="AW97" s="53"/>
      <c r="AX97" s="53"/>
      <c r="AY97" s="83"/>
      <c r="AZ97" s="53"/>
      <c r="BA97" s="53"/>
    </row>
    <row r="98" spans="3:53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6"/>
        <v>0</v>
      </c>
      <c r="M98" s="26">
        <f t="shared" si="13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67" t="e">
        <f>SUMIFS([2]Up!$J:$J,[2]Up!$D:$D,D98)</f>
        <v>#VALUE!</v>
      </c>
      <c r="AQ98" s="82"/>
      <c r="AR98" s="82" t="str">
        <f t="shared" si="17"/>
        <v>PL12</v>
      </c>
      <c r="AS98" s="53" t="str">
        <f t="shared" si="18"/>
        <v/>
      </c>
      <c r="AT98" s="53" t="s">
        <v>148</v>
      </c>
      <c r="AU98" s="53" t="s">
        <v>1021</v>
      </c>
      <c r="AV98" s="53" t="s">
        <v>1022</v>
      </c>
      <c r="AW98" s="53" t="s">
        <v>2100</v>
      </c>
      <c r="AX98" s="53">
        <v>5</v>
      </c>
      <c r="AY98" s="83">
        <v>46303</v>
      </c>
      <c r="AZ98" s="53"/>
      <c r="BA98" s="53"/>
    </row>
    <row r="99" spans="3:53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6"/>
        <v>0</v>
      </c>
      <c r="M99" s="26">
        <f t="shared" si="13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67" t="e">
        <f>SUMIFS([2]Up!$J:$J,[2]Up!$D:$D,D99)</f>
        <v>#VALUE!</v>
      </c>
      <c r="AQ99" s="82"/>
      <c r="AR99" s="82" t="str">
        <f t="shared" si="17"/>
        <v>PL15</v>
      </c>
      <c r="AS99" s="53" t="str">
        <f t="shared" si="18"/>
        <v/>
      </c>
      <c r="AT99" s="53" t="s">
        <v>148</v>
      </c>
      <c r="AU99" s="53" t="s">
        <v>1094</v>
      </c>
      <c r="AV99" s="53" t="s">
        <v>1095</v>
      </c>
      <c r="AW99" s="53" t="s">
        <v>2101</v>
      </c>
      <c r="AX99" s="53">
        <v>1</v>
      </c>
      <c r="AY99" s="83">
        <v>46120</v>
      </c>
      <c r="AZ99" s="53"/>
      <c r="BA99" s="53"/>
    </row>
    <row r="100" spans="3:53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6"/>
        <v>0</v>
      </c>
      <c r="M100" s="26">
        <f t="shared" si="13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67" t="e">
        <f>SUMIFS([2]Up!$J:$J,[2]Up!$D:$D,D100)</f>
        <v>#VALUE!</v>
      </c>
      <c r="AQ100" s="82"/>
      <c r="AR100" s="82" t="str">
        <f t="shared" si="17"/>
        <v>PL15</v>
      </c>
      <c r="AS100" s="53" t="str">
        <f t="shared" si="18"/>
        <v/>
      </c>
      <c r="AT100" s="53" t="s">
        <v>148</v>
      </c>
      <c r="AU100" s="53" t="s">
        <v>1094</v>
      </c>
      <c r="AV100" s="53" t="s">
        <v>1095</v>
      </c>
      <c r="AW100" s="53" t="s">
        <v>2101</v>
      </c>
      <c r="AX100" s="53">
        <v>1</v>
      </c>
      <c r="AY100" s="83">
        <v>46120</v>
      </c>
      <c r="AZ100" s="53"/>
      <c r="BA100" s="53"/>
    </row>
    <row r="101" spans="3:53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6"/>
        <v>0</v>
      </c>
      <c r="M101" s="26">
        <f t="shared" si="13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67" t="e">
        <f>SUMIFS([2]Up!$J:$J,[2]Up!$D:$D,D101)</f>
        <v>#VALUE!</v>
      </c>
      <c r="AQ101" s="82"/>
      <c r="AR101" s="82" t="str">
        <f t="shared" si="17"/>
        <v/>
      </c>
      <c r="AS101" s="53" t="str">
        <f t="shared" si="18"/>
        <v/>
      </c>
      <c r="AT101" s="53" t="s">
        <v>148</v>
      </c>
      <c r="AU101" s="53" t="s">
        <v>1079</v>
      </c>
      <c r="AV101" s="53" t="s">
        <v>1076</v>
      </c>
      <c r="AW101" s="53" t="s">
        <v>2105</v>
      </c>
      <c r="AX101" s="53">
        <v>5</v>
      </c>
      <c r="AY101" s="83">
        <v>46120</v>
      </c>
      <c r="AZ101" s="53"/>
      <c r="BA101" s="53"/>
    </row>
    <row r="102" spans="3:53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6"/>
        <v>0</v>
      </c>
      <c r="M102" s="26">
        <f t="shared" si="13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67" t="e">
        <f>SUMIFS([2]Up!$J:$J,[2]Up!$D:$D,D102)</f>
        <v>#VALUE!</v>
      </c>
      <c r="AQ102" s="82"/>
      <c r="AR102" s="82" t="str">
        <f t="shared" si="17"/>
        <v>PL10</v>
      </c>
      <c r="AS102" s="53" t="str">
        <f t="shared" si="18"/>
        <v/>
      </c>
      <c r="AT102" s="53" t="s">
        <v>154</v>
      </c>
      <c r="AU102" s="53" t="s">
        <v>1005</v>
      </c>
      <c r="AV102" s="53" t="s">
        <v>1006</v>
      </c>
      <c r="AW102" s="53"/>
      <c r="AX102" s="53"/>
      <c r="AY102" s="83"/>
      <c r="AZ102" s="53"/>
      <c r="BA102" s="53"/>
    </row>
    <row r="103" spans="3:53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6"/>
        <v>0</v>
      </c>
      <c r="M103" s="26">
        <f t="shared" si="13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67" t="e">
        <f>SUMIFS([2]Up!$J:$J,[2]Up!$D:$D,D103)</f>
        <v>#VALUE!</v>
      </c>
      <c r="AQ103" s="82"/>
      <c r="AR103" s="82" t="str">
        <f t="shared" si="17"/>
        <v>PL10</v>
      </c>
      <c r="AS103" s="53" t="str">
        <f t="shared" si="18"/>
        <v/>
      </c>
      <c r="AT103" s="53" t="s">
        <v>154</v>
      </c>
      <c r="AU103" s="53" t="s">
        <v>1005</v>
      </c>
      <c r="AV103" s="53" t="s">
        <v>1006</v>
      </c>
      <c r="AW103" s="53"/>
      <c r="AX103" s="53"/>
      <c r="AY103" s="83"/>
      <c r="AZ103" s="53"/>
      <c r="BA103" s="53"/>
    </row>
    <row r="104" spans="3:53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6"/>
        <v>0</v>
      </c>
      <c r="M104" s="26">
        <f t="shared" si="13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67" t="e">
        <f>SUMIFS([2]Up!$J:$J,[2]Up!$D:$D,D104)</f>
        <v>#VALUE!</v>
      </c>
      <c r="AQ104" s="82"/>
      <c r="AR104" s="82" t="str">
        <f t="shared" si="17"/>
        <v>PL10</v>
      </c>
      <c r="AS104" s="53" t="str">
        <f t="shared" si="18"/>
        <v/>
      </c>
      <c r="AT104" s="53" t="s">
        <v>154</v>
      </c>
      <c r="AU104" s="53" t="s">
        <v>1005</v>
      </c>
      <c r="AV104" s="53" t="s">
        <v>1006</v>
      </c>
      <c r="AW104" s="53"/>
      <c r="AX104" s="53"/>
      <c r="AY104" s="83"/>
      <c r="AZ104" s="53"/>
      <c r="BA104" s="53"/>
    </row>
    <row r="105" spans="3:53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6"/>
        <v>0</v>
      </c>
      <c r="M105" s="26">
        <f t="shared" si="13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67" t="e">
        <f>SUMIFS([2]Up!$J:$J,[2]Up!$D:$D,D105)</f>
        <v>#VALUE!</v>
      </c>
      <c r="AQ105" s="82"/>
      <c r="AR105" s="82" t="str">
        <f t="shared" si="17"/>
        <v>PL12</v>
      </c>
      <c r="AS105" s="53" t="str">
        <f t="shared" si="18"/>
        <v/>
      </c>
      <c r="AT105" s="53" t="s">
        <v>154</v>
      </c>
      <c r="AU105" s="53" t="s">
        <v>1021</v>
      </c>
      <c r="AV105" s="53" t="s">
        <v>1022</v>
      </c>
      <c r="AW105" s="53" t="s">
        <v>2100</v>
      </c>
      <c r="AX105" s="53">
        <v>2</v>
      </c>
      <c r="AY105" s="83">
        <v>46303</v>
      </c>
      <c r="AZ105" s="53"/>
      <c r="BA105" s="53"/>
    </row>
    <row r="106" spans="3:53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6"/>
        <v>0</v>
      </c>
      <c r="M106" s="26">
        <f t="shared" si="13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67" t="e">
        <f>SUMIFS([2]Up!$J:$J,[2]Up!$D:$D,D106)</f>
        <v>#VALUE!</v>
      </c>
      <c r="AQ106" s="82"/>
      <c r="AR106" s="82" t="str">
        <f t="shared" si="17"/>
        <v>PL15</v>
      </c>
      <c r="AS106" s="53" t="str">
        <f t="shared" si="18"/>
        <v/>
      </c>
      <c r="AT106" s="53" t="s">
        <v>148</v>
      </c>
      <c r="AU106" s="53" t="s">
        <v>1094</v>
      </c>
      <c r="AV106" s="53" t="s">
        <v>1095</v>
      </c>
      <c r="AW106" s="53" t="s">
        <v>2101</v>
      </c>
      <c r="AX106" s="53">
        <v>2</v>
      </c>
      <c r="AY106" s="83">
        <v>46120</v>
      </c>
      <c r="AZ106" s="53"/>
      <c r="BA106" s="53"/>
    </row>
    <row r="107" spans="3:53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6"/>
        <v>0</v>
      </c>
      <c r="M107" s="26">
        <f t="shared" si="13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67" t="e">
        <f>SUMIFS([2]Up!$J:$J,[2]Up!$D:$D,D107)</f>
        <v>#VALUE!</v>
      </c>
      <c r="AQ107" s="82"/>
      <c r="AR107" s="82" t="str">
        <f t="shared" si="17"/>
        <v>PL10</v>
      </c>
      <c r="AS107" s="53" t="str">
        <f t="shared" si="18"/>
        <v/>
      </c>
      <c r="AT107" s="53" t="s">
        <v>148</v>
      </c>
      <c r="AU107" s="53" t="s">
        <v>1005</v>
      </c>
      <c r="AV107" s="53" t="s">
        <v>1006</v>
      </c>
      <c r="AW107" s="53"/>
      <c r="AX107" s="53"/>
      <c r="AY107" s="83"/>
      <c r="AZ107" s="53"/>
      <c r="BA107" s="53"/>
    </row>
    <row r="108" spans="3:53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6"/>
        <v>0</v>
      </c>
      <c r="M108" s="26">
        <f t="shared" si="13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67" t="e">
        <f>SUMIFS([2]Up!$J:$J,[2]Up!$D:$D,D108)</f>
        <v>#VALUE!</v>
      </c>
      <c r="AQ108" s="82"/>
      <c r="AR108" s="82" t="str">
        <f t="shared" si="17"/>
        <v>PL12</v>
      </c>
      <c r="AS108" s="53" t="str">
        <f t="shared" si="18"/>
        <v/>
      </c>
      <c r="AT108" s="53" t="s">
        <v>148</v>
      </c>
      <c r="AU108" s="53" t="s">
        <v>1021</v>
      </c>
      <c r="AV108" s="53" t="s">
        <v>1022</v>
      </c>
      <c r="AW108" s="53" t="s">
        <v>2100</v>
      </c>
      <c r="AX108" s="53">
        <v>2</v>
      </c>
      <c r="AY108" s="83">
        <v>46303</v>
      </c>
      <c r="AZ108" s="53"/>
      <c r="BA108" s="53"/>
    </row>
    <row r="109" spans="3:53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6"/>
        <v>0</v>
      </c>
      <c r="M109" s="26">
        <f t="shared" si="13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67" t="e">
        <f>SUMIFS([2]Up!$J:$J,[2]Up!$D:$D,D109)</f>
        <v>#VALUE!</v>
      </c>
      <c r="AQ109" s="82"/>
      <c r="AR109" s="82" t="str">
        <f t="shared" si="17"/>
        <v>PL16</v>
      </c>
      <c r="AS109" s="53" t="str">
        <f t="shared" si="18"/>
        <v/>
      </c>
      <c r="AT109" s="53" t="s">
        <v>148</v>
      </c>
      <c r="AU109" s="53" t="s">
        <v>988</v>
      </c>
      <c r="AV109" s="53" t="s">
        <v>989</v>
      </c>
      <c r="AW109" s="53" t="s">
        <v>2104</v>
      </c>
      <c r="AX109" s="53">
        <v>6</v>
      </c>
      <c r="AY109" s="83">
        <v>46120</v>
      </c>
      <c r="AZ109" s="53"/>
      <c r="BA109" s="53"/>
    </row>
    <row r="110" spans="3:53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6"/>
        <v>0</v>
      </c>
      <c r="M110" s="26">
        <f t="shared" si="13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67" t="e">
        <f>SUMIFS([2]Up!$J:$J,[2]Up!$D:$D,D110)</f>
        <v>#VALUE!</v>
      </c>
      <c r="AQ110" s="82"/>
      <c r="AR110" s="82" t="str">
        <f t="shared" si="17"/>
        <v>PL16</v>
      </c>
      <c r="AS110" s="53" t="str">
        <f t="shared" si="18"/>
        <v/>
      </c>
      <c r="AT110" s="53" t="s">
        <v>148</v>
      </c>
      <c r="AU110" s="53" t="s">
        <v>988</v>
      </c>
      <c r="AV110" s="53" t="s">
        <v>989</v>
      </c>
      <c r="AW110" s="53" t="s">
        <v>2104</v>
      </c>
      <c r="AX110" s="53">
        <v>2</v>
      </c>
      <c r="AY110" s="83">
        <v>46120</v>
      </c>
      <c r="AZ110" s="53"/>
      <c r="BA110" s="53"/>
    </row>
    <row r="111" spans="3:53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6"/>
        <v>0</v>
      </c>
      <c r="M111" s="26">
        <f t="shared" si="13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67" t="e">
        <f>SUMIFS([2]Up!$J:$J,[2]Up!$D:$D,D111)</f>
        <v>#VALUE!</v>
      </c>
      <c r="AQ111" s="82"/>
      <c r="AR111" s="82" t="str">
        <f t="shared" si="17"/>
        <v>PL10</v>
      </c>
      <c r="AS111" s="53" t="str">
        <f t="shared" si="18"/>
        <v/>
      </c>
      <c r="AT111" s="53" t="s">
        <v>154</v>
      </c>
      <c r="AU111" s="53" t="s">
        <v>1005</v>
      </c>
      <c r="AV111" s="53" t="s">
        <v>1006</v>
      </c>
      <c r="AW111" s="53"/>
      <c r="AX111" s="53"/>
      <c r="AY111" s="83"/>
      <c r="AZ111" s="53"/>
      <c r="BA111" s="53"/>
    </row>
    <row r="112" spans="3:53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6"/>
        <v>0</v>
      </c>
      <c r="M112" s="26">
        <f t="shared" si="13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67" t="e">
        <f>SUMIFS([2]Up!$J:$J,[2]Up!$D:$D,D112)</f>
        <v>#VALUE!</v>
      </c>
      <c r="AQ112" s="82"/>
      <c r="AR112" s="82" t="str">
        <f t="shared" si="17"/>
        <v>PL12</v>
      </c>
      <c r="AS112" s="53" t="str">
        <f t="shared" si="18"/>
        <v/>
      </c>
      <c r="AT112" s="53" t="s">
        <v>154</v>
      </c>
      <c r="AU112" s="53" t="s">
        <v>1021</v>
      </c>
      <c r="AV112" s="53" t="s">
        <v>1022</v>
      </c>
      <c r="AW112" s="53" t="s">
        <v>57</v>
      </c>
      <c r="AX112" s="53">
        <v>1</v>
      </c>
      <c r="AY112" s="83"/>
      <c r="AZ112" s="53"/>
      <c r="BA112" s="53"/>
    </row>
    <row r="113" spans="3:53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6"/>
        <v>0</v>
      </c>
      <c r="M113" s="26">
        <f t="shared" si="13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67" t="e">
        <f>SUMIFS([2]Up!$J:$J,[2]Up!$D:$D,D113)</f>
        <v>#VALUE!</v>
      </c>
      <c r="AQ113" s="82"/>
      <c r="AR113" s="82" t="str">
        <f t="shared" si="17"/>
        <v>PL10</v>
      </c>
      <c r="AS113" s="53" t="str">
        <f t="shared" si="18"/>
        <v/>
      </c>
      <c r="AT113" s="53" t="s">
        <v>154</v>
      </c>
      <c r="AU113" s="53" t="s">
        <v>1005</v>
      </c>
      <c r="AV113" s="53" t="s">
        <v>1006</v>
      </c>
      <c r="AW113" s="53"/>
      <c r="AX113" s="53"/>
      <c r="AY113" s="83"/>
      <c r="AZ113" s="53"/>
      <c r="BA113" s="53"/>
    </row>
    <row r="114" spans="3:53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6"/>
        <v>0</v>
      </c>
      <c r="M114" s="26">
        <f t="shared" si="13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67" t="e">
        <f>SUMIFS([2]Up!$J:$J,[2]Up!$D:$D,D114)</f>
        <v>#VALUE!</v>
      </c>
      <c r="AQ114" s="82"/>
      <c r="AR114" s="82" t="str">
        <f t="shared" si="17"/>
        <v>PL10</v>
      </c>
      <c r="AS114" s="53" t="str">
        <f t="shared" si="18"/>
        <v/>
      </c>
      <c r="AT114" s="53" t="s">
        <v>148</v>
      </c>
      <c r="AU114" s="53" t="s">
        <v>1005</v>
      </c>
      <c r="AV114" s="53" t="s">
        <v>1006</v>
      </c>
      <c r="AW114" s="53"/>
      <c r="AX114" s="53"/>
      <c r="AY114" s="83"/>
      <c r="AZ114" s="53"/>
      <c r="BA114" s="53"/>
    </row>
    <row r="115" spans="3:53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6"/>
        <v>0</v>
      </c>
      <c r="M115" s="26">
        <f t="shared" si="13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67" t="e">
        <f>SUMIFS([2]Up!$J:$J,[2]Up!$D:$D,D115)</f>
        <v>#VALUE!</v>
      </c>
      <c r="AQ115" s="82"/>
      <c r="AR115" s="82" t="str">
        <f t="shared" si="17"/>
        <v>PL12</v>
      </c>
      <c r="AS115" s="53" t="str">
        <f t="shared" si="18"/>
        <v/>
      </c>
      <c r="AT115" s="53" t="s">
        <v>148</v>
      </c>
      <c r="AU115" s="53" t="s">
        <v>1021</v>
      </c>
      <c r="AV115" s="53" t="s">
        <v>1022</v>
      </c>
      <c r="AW115" s="53" t="s">
        <v>2100</v>
      </c>
      <c r="AX115" s="53">
        <v>1</v>
      </c>
      <c r="AY115" s="83">
        <v>46303</v>
      </c>
      <c r="AZ115" s="53"/>
      <c r="BA115" s="53"/>
    </row>
    <row r="116" spans="3:53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6"/>
        <v>0</v>
      </c>
      <c r="M116" s="26">
        <f t="shared" si="13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67" t="e">
        <f>SUMIFS([2]Up!$J:$J,[2]Up!$D:$D,D116)</f>
        <v>#VALUE!</v>
      </c>
      <c r="AQ116" s="82"/>
      <c r="AR116" s="82" t="str">
        <f t="shared" si="17"/>
        <v>PL10</v>
      </c>
      <c r="AS116" s="53" t="str">
        <f t="shared" si="18"/>
        <v/>
      </c>
      <c r="AT116" s="53" t="s">
        <v>154</v>
      </c>
      <c r="AU116" s="53" t="s">
        <v>1005</v>
      </c>
      <c r="AV116" s="53" t="s">
        <v>1006</v>
      </c>
      <c r="AW116" s="53"/>
      <c r="AX116" s="53"/>
      <c r="AY116" s="83"/>
      <c r="AZ116" s="53"/>
      <c r="BA116" s="53"/>
    </row>
    <row r="117" spans="3:53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6"/>
        <v>0</v>
      </c>
      <c r="M117" s="26">
        <f t="shared" si="13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67" t="e">
        <f>SUMIFS([2]Up!$J:$J,[2]Up!$D:$D,D117)</f>
        <v>#VALUE!</v>
      </c>
      <c r="AQ117" s="82"/>
      <c r="AR117" s="82" t="str">
        <f t="shared" si="17"/>
        <v>PL10</v>
      </c>
      <c r="AS117" s="53" t="str">
        <f t="shared" si="18"/>
        <v/>
      </c>
      <c r="AT117" s="53" t="s">
        <v>154</v>
      </c>
      <c r="AU117" s="53" t="s">
        <v>1005</v>
      </c>
      <c r="AV117" s="53" t="s">
        <v>1006</v>
      </c>
      <c r="AW117" s="53"/>
      <c r="AX117" s="53"/>
      <c r="AY117" s="83"/>
      <c r="AZ117" s="53"/>
      <c r="BA117" s="53"/>
    </row>
    <row r="118" spans="3:53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6"/>
        <v>0</v>
      </c>
      <c r="M118" s="26">
        <f t="shared" si="13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67" t="e">
        <f>SUMIFS([2]Up!$J:$J,[2]Up!$D:$D,D118)</f>
        <v>#VALUE!</v>
      </c>
      <c r="AQ118" s="82"/>
      <c r="AR118" s="82" t="str">
        <f t="shared" si="17"/>
        <v>PL12</v>
      </c>
      <c r="AS118" s="53" t="str">
        <f t="shared" si="18"/>
        <v/>
      </c>
      <c r="AT118" s="53" t="s">
        <v>154</v>
      </c>
      <c r="AU118" s="53" t="s">
        <v>1021</v>
      </c>
      <c r="AV118" s="53" t="s">
        <v>1022</v>
      </c>
      <c r="AW118" s="53" t="s">
        <v>2100</v>
      </c>
      <c r="AX118" s="53">
        <v>1</v>
      </c>
      <c r="AY118" s="83">
        <v>46303</v>
      </c>
      <c r="AZ118" s="53"/>
      <c r="BA118" s="53"/>
    </row>
    <row r="119" spans="3:53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6"/>
        <v>0</v>
      </c>
      <c r="M119" s="26">
        <f t="shared" si="13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67" t="e">
        <f>SUMIFS([2]Up!$J:$J,[2]Up!$D:$D,D119)</f>
        <v>#VALUE!</v>
      </c>
      <c r="AQ119" s="82"/>
      <c r="AR119" s="82" t="str">
        <f t="shared" si="17"/>
        <v>PL10</v>
      </c>
      <c r="AS119" s="53" t="str">
        <f t="shared" si="18"/>
        <v/>
      </c>
      <c r="AT119" s="53" t="s">
        <v>148</v>
      </c>
      <c r="AU119" s="53" t="s">
        <v>1005</v>
      </c>
      <c r="AV119" s="53" t="s">
        <v>1006</v>
      </c>
      <c r="AW119" s="53"/>
      <c r="AX119" s="53"/>
      <c r="AY119" s="83"/>
      <c r="AZ119" s="53"/>
      <c r="BA119" s="53"/>
    </row>
    <row r="120" spans="3:53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6"/>
        <v>0</v>
      </c>
      <c r="M120" s="26">
        <f t="shared" si="13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67" t="e">
        <f>SUMIFS([2]Up!$J:$J,[2]Up!$D:$D,D120)</f>
        <v>#VALUE!</v>
      </c>
      <c r="AQ120" s="82"/>
      <c r="AR120" s="82" t="str">
        <f t="shared" si="17"/>
        <v>PL12</v>
      </c>
      <c r="AS120" s="53" t="str">
        <f t="shared" si="18"/>
        <v/>
      </c>
      <c r="AT120" s="53" t="s">
        <v>148</v>
      </c>
      <c r="AU120" s="53" t="s">
        <v>1021</v>
      </c>
      <c r="AV120" s="53" t="s">
        <v>1022</v>
      </c>
      <c r="AW120" s="53" t="s">
        <v>2100</v>
      </c>
      <c r="AX120" s="53">
        <v>1</v>
      </c>
      <c r="AY120" s="83">
        <v>46303</v>
      </c>
      <c r="AZ120" s="53"/>
      <c r="BA120" s="53"/>
    </row>
    <row r="121" spans="3:53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6"/>
        <v>0</v>
      </c>
      <c r="M121" s="26">
        <f t="shared" si="13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67" t="e">
        <f>SUMIFS([2]Up!$J:$J,[2]Up!$D:$D,D121)</f>
        <v>#VALUE!</v>
      </c>
      <c r="AQ121" s="82"/>
      <c r="AR121" s="82" t="str">
        <f t="shared" si="17"/>
        <v>PL20</v>
      </c>
      <c r="AS121" s="53" t="str">
        <f t="shared" si="18"/>
        <v/>
      </c>
      <c r="AT121" s="53" t="s">
        <v>148</v>
      </c>
      <c r="AU121" s="53" t="s">
        <v>1100</v>
      </c>
      <c r="AV121" s="53" t="s">
        <v>1101</v>
      </c>
      <c r="AW121" s="53" t="s">
        <v>2102</v>
      </c>
      <c r="AX121" s="53">
        <v>2</v>
      </c>
      <c r="AY121" s="83">
        <v>46303</v>
      </c>
      <c r="AZ121" s="53"/>
      <c r="BA121" s="53"/>
    </row>
    <row r="122" spans="3:53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6"/>
        <v>0</v>
      </c>
      <c r="M122" s="26">
        <f t="shared" si="13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67" t="e">
        <f>SUMIFS([2]Up!$J:$J,[2]Up!$D:$D,D122)</f>
        <v>#VALUE!</v>
      </c>
      <c r="AQ122" s="82"/>
      <c r="AR122" s="82" t="str">
        <f t="shared" si="17"/>
        <v>PL15</v>
      </c>
      <c r="AS122" s="53" t="str">
        <f t="shared" si="18"/>
        <v/>
      </c>
      <c r="AT122" s="53" t="s">
        <v>148</v>
      </c>
      <c r="AU122" s="53" t="s">
        <v>1094</v>
      </c>
      <c r="AV122" s="53" t="s">
        <v>1095</v>
      </c>
      <c r="AW122" s="53" t="s">
        <v>2101</v>
      </c>
      <c r="AX122" s="53">
        <v>2</v>
      </c>
      <c r="AY122" s="83">
        <v>46120</v>
      </c>
      <c r="AZ122" s="53"/>
      <c r="BA122" s="53"/>
    </row>
    <row r="123" spans="3:53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6"/>
        <v>0</v>
      </c>
      <c r="M123" s="26">
        <f t="shared" si="13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67" t="e">
        <f>SUMIFS([2]Up!$J:$J,[2]Up!$D:$D,D123)</f>
        <v>#VALUE!</v>
      </c>
      <c r="AQ123" s="82"/>
      <c r="AR123" s="82" t="str">
        <f t="shared" si="17"/>
        <v>PL10</v>
      </c>
      <c r="AS123" s="53" t="str">
        <f t="shared" si="18"/>
        <v/>
      </c>
      <c r="AT123" s="53" t="s">
        <v>154</v>
      </c>
      <c r="AU123" s="53" t="s">
        <v>1005</v>
      </c>
      <c r="AV123" s="53" t="s">
        <v>1006</v>
      </c>
      <c r="AW123" s="53"/>
      <c r="AX123" s="53"/>
      <c r="AY123" s="83"/>
      <c r="AZ123" s="53"/>
      <c r="BA123" s="53"/>
    </row>
    <row r="124" spans="3:53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6"/>
        <v>0</v>
      </c>
      <c r="M124" s="26">
        <f t="shared" si="13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67" t="e">
        <f>SUMIFS([2]Up!$J:$J,[2]Up!$D:$D,D124)</f>
        <v>#VALUE!</v>
      </c>
      <c r="AQ124" s="82"/>
      <c r="AR124" s="82" t="str">
        <f t="shared" si="17"/>
        <v>PL10</v>
      </c>
      <c r="AS124" s="53" t="str">
        <f t="shared" si="18"/>
        <v/>
      </c>
      <c r="AT124" s="53" t="s">
        <v>154</v>
      </c>
      <c r="AU124" s="53" t="s">
        <v>1005</v>
      </c>
      <c r="AV124" s="53" t="s">
        <v>1006</v>
      </c>
      <c r="AW124" s="53"/>
      <c r="AX124" s="53"/>
      <c r="AY124" s="83"/>
      <c r="AZ124" s="53"/>
      <c r="BA124" s="53"/>
    </row>
    <row r="125" spans="3:53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6"/>
        <v>0</v>
      </c>
      <c r="M125" s="26">
        <f t="shared" si="13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67" t="e">
        <f>SUMIFS([2]Up!$J:$J,[2]Up!$D:$D,D125)</f>
        <v>#VALUE!</v>
      </c>
      <c r="AQ125" s="82"/>
      <c r="AR125" s="82" t="str">
        <f t="shared" si="17"/>
        <v>PL12</v>
      </c>
      <c r="AS125" s="53" t="str">
        <f t="shared" si="18"/>
        <v/>
      </c>
      <c r="AT125" s="53" t="s">
        <v>154</v>
      </c>
      <c r="AU125" s="53" t="s">
        <v>1021</v>
      </c>
      <c r="AV125" s="53" t="s">
        <v>1022</v>
      </c>
      <c r="AW125" s="53" t="s">
        <v>57</v>
      </c>
      <c r="AX125" s="53">
        <v>1</v>
      </c>
      <c r="AY125" s="83"/>
      <c r="AZ125" s="53"/>
      <c r="BA125" s="53"/>
    </row>
    <row r="126" spans="3:53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6"/>
        <v>0</v>
      </c>
      <c r="M126" s="26">
        <f t="shared" si="13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67" t="e">
        <f>SUMIFS([2]Up!$J:$J,[2]Up!$D:$D,D126)</f>
        <v>#VALUE!</v>
      </c>
      <c r="AQ126" s="82"/>
      <c r="AR126" s="82" t="str">
        <f t="shared" si="17"/>
        <v>PL10</v>
      </c>
      <c r="AS126" s="53" t="str">
        <f t="shared" si="18"/>
        <v/>
      </c>
      <c r="AT126" s="53" t="s">
        <v>148</v>
      </c>
      <c r="AU126" s="53" t="s">
        <v>1005</v>
      </c>
      <c r="AV126" s="53" t="s">
        <v>1006</v>
      </c>
      <c r="AW126" s="53"/>
      <c r="AX126" s="53"/>
      <c r="AY126" s="83"/>
      <c r="AZ126" s="53"/>
      <c r="BA126" s="53"/>
    </row>
    <row r="127" spans="3:53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6"/>
        <v>0</v>
      </c>
      <c r="M127" s="26">
        <f t="shared" si="13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67" t="e">
        <f>SUMIFS([2]Up!$J:$J,[2]Up!$D:$D,D127)</f>
        <v>#VALUE!</v>
      </c>
      <c r="AQ127" s="82"/>
      <c r="AR127" s="82" t="str">
        <f t="shared" si="17"/>
        <v>PL12</v>
      </c>
      <c r="AS127" s="53" t="str">
        <f t="shared" si="18"/>
        <v/>
      </c>
      <c r="AT127" s="53" t="s">
        <v>148</v>
      </c>
      <c r="AU127" s="53" t="s">
        <v>1021</v>
      </c>
      <c r="AV127" s="53" t="s">
        <v>1022</v>
      </c>
      <c r="AW127" s="53" t="s">
        <v>2100</v>
      </c>
      <c r="AX127" s="53">
        <v>1</v>
      </c>
      <c r="AY127" s="83">
        <v>46303</v>
      </c>
      <c r="AZ127" s="53"/>
      <c r="BA127" s="53"/>
    </row>
    <row r="128" spans="3:53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6"/>
        <v>0</v>
      </c>
      <c r="M128" s="26">
        <f t="shared" si="13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67" t="e">
        <f>SUMIFS([2]Up!$J:$J,[2]Up!$D:$D,D128)</f>
        <v>#VALUE!</v>
      </c>
      <c r="AQ128" s="82"/>
      <c r="AR128" s="82" t="str">
        <f t="shared" si="17"/>
        <v/>
      </c>
      <c r="AS128" s="53" t="str">
        <f t="shared" si="18"/>
        <v/>
      </c>
      <c r="AT128" s="53" t="s">
        <v>148</v>
      </c>
      <c r="AU128" s="53" t="s">
        <v>1079</v>
      </c>
      <c r="AV128" s="53" t="s">
        <v>1076</v>
      </c>
      <c r="AW128" s="53" t="s">
        <v>2105</v>
      </c>
      <c r="AX128" s="53">
        <v>2</v>
      </c>
      <c r="AY128" s="83">
        <v>46120</v>
      </c>
      <c r="AZ128" s="53"/>
      <c r="BA128" s="53"/>
    </row>
    <row r="129" spans="3:53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6"/>
        <v>0</v>
      </c>
      <c r="M129" s="26">
        <f t="shared" si="13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67" t="e">
        <f>SUMIFS([2]Up!$J:$J,[2]Up!$D:$D,D129)</f>
        <v>#VALUE!</v>
      </c>
      <c r="AQ129" s="82"/>
      <c r="AR129" s="82" t="str">
        <f t="shared" si="17"/>
        <v>PL10</v>
      </c>
      <c r="AS129" s="53" t="str">
        <f t="shared" si="18"/>
        <v/>
      </c>
      <c r="AT129" s="53" t="s">
        <v>154</v>
      </c>
      <c r="AU129" s="53" t="s">
        <v>1005</v>
      </c>
      <c r="AV129" s="53" t="s">
        <v>1006</v>
      </c>
      <c r="AW129" s="53"/>
      <c r="AX129" s="53"/>
      <c r="AY129" s="83"/>
      <c r="AZ129" s="53"/>
      <c r="BA129" s="53"/>
    </row>
    <row r="130" spans="3:53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6"/>
        <v>0</v>
      </c>
      <c r="M130" s="26">
        <f t="shared" si="13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67" t="e">
        <f>SUMIFS([2]Up!$J:$J,[2]Up!$D:$D,D130)</f>
        <v>#VALUE!</v>
      </c>
      <c r="AQ130" s="82"/>
      <c r="AR130" s="82" t="str">
        <f t="shared" si="17"/>
        <v>PL20</v>
      </c>
      <c r="AS130" s="53" t="str">
        <f t="shared" si="18"/>
        <v/>
      </c>
      <c r="AT130" s="53" t="s">
        <v>148</v>
      </c>
      <c r="AU130" s="53" t="s">
        <v>1100</v>
      </c>
      <c r="AV130" s="53" t="s">
        <v>1101</v>
      </c>
      <c r="AW130" s="53" t="s">
        <v>2102</v>
      </c>
      <c r="AX130" s="53">
        <v>2</v>
      </c>
      <c r="AY130" s="83">
        <v>46303</v>
      </c>
      <c r="AZ130" s="53"/>
      <c r="BA130" s="53"/>
    </row>
    <row r="131" spans="3:53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6"/>
        <v>0</v>
      </c>
      <c r="M131" s="26">
        <f t="shared" si="13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67" t="e">
        <f>SUMIFS([2]Up!$J:$J,[2]Up!$D:$D,D131)</f>
        <v>#VALUE!</v>
      </c>
      <c r="AQ131" s="82"/>
      <c r="AR131" s="82" t="str">
        <f t="shared" si="17"/>
        <v/>
      </c>
      <c r="AS131" s="53" t="str">
        <f t="shared" si="18"/>
        <v/>
      </c>
      <c r="AT131" s="53" t="s">
        <v>148</v>
      </c>
      <c r="AU131" s="53" t="s">
        <v>1100</v>
      </c>
      <c r="AV131" s="53" t="s">
        <v>1101</v>
      </c>
      <c r="AW131" s="53"/>
      <c r="AX131" s="53"/>
      <c r="AY131" s="83"/>
      <c r="AZ131" s="53"/>
      <c r="BA131" s="53"/>
    </row>
    <row r="132" spans="3:53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6"/>
        <v>0</v>
      </c>
      <c r="M132" s="26">
        <f t="shared" si="13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67" t="e">
        <f>SUMIFS([2]Up!$J:$J,[2]Up!$D:$D,D132)</f>
        <v>#VALUE!</v>
      </c>
      <c r="AQ132" s="82"/>
      <c r="AR132" s="82" t="str">
        <f t="shared" si="17"/>
        <v>PL30</v>
      </c>
      <c r="AS132" s="53" t="str">
        <f t="shared" si="18"/>
        <v/>
      </c>
      <c r="AT132" s="53" t="s">
        <v>148</v>
      </c>
      <c r="AU132" s="53" t="s">
        <v>1059</v>
      </c>
      <c r="AV132" s="53" t="s">
        <v>1060</v>
      </c>
      <c r="AW132" s="53" t="s">
        <v>2120</v>
      </c>
      <c r="AX132" s="53">
        <v>1</v>
      </c>
      <c r="AY132" s="83">
        <v>46120</v>
      </c>
      <c r="AZ132" s="53"/>
      <c r="BA132" s="53"/>
    </row>
    <row r="133" spans="3:53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6"/>
        <v>0</v>
      </c>
      <c r="M133" s="26">
        <f t="shared" si="13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67" t="e">
        <f>SUMIFS([2]Up!$J:$J,[2]Up!$D:$D,D133)</f>
        <v>#VALUE!</v>
      </c>
      <c r="AQ133" s="82"/>
      <c r="AR133" s="82" t="str">
        <f t="shared" si="17"/>
        <v>PL15</v>
      </c>
      <c r="AS133" s="53" t="str">
        <f t="shared" si="18"/>
        <v/>
      </c>
      <c r="AT133" s="53" t="s">
        <v>148</v>
      </c>
      <c r="AU133" s="53" t="s">
        <v>1094</v>
      </c>
      <c r="AV133" s="53" t="s">
        <v>1095</v>
      </c>
      <c r="AW133" s="53" t="s">
        <v>2101</v>
      </c>
      <c r="AX133" s="53">
        <v>2</v>
      </c>
      <c r="AY133" s="83">
        <v>46120</v>
      </c>
      <c r="AZ133" s="53"/>
      <c r="BA133" s="53"/>
    </row>
    <row r="134" spans="3:53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6"/>
        <v>0</v>
      </c>
      <c r="M134" s="26">
        <f t="shared" si="13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67" t="e">
        <f>SUMIFS([2]Up!$J:$J,[2]Up!$D:$D,D134)</f>
        <v>#VALUE!</v>
      </c>
      <c r="AQ134" s="82"/>
      <c r="AR134" s="82" t="str">
        <f t="shared" si="17"/>
        <v>PL10</v>
      </c>
      <c r="AS134" s="53" t="str">
        <f t="shared" si="18"/>
        <v/>
      </c>
      <c r="AT134" s="53" t="s">
        <v>148</v>
      </c>
      <c r="AU134" s="53" t="s">
        <v>1005</v>
      </c>
      <c r="AV134" s="53" t="s">
        <v>1006</v>
      </c>
      <c r="AW134" s="53"/>
      <c r="AX134" s="53"/>
      <c r="AY134" s="83"/>
      <c r="AZ134" s="53"/>
      <c r="BA134" s="53"/>
    </row>
    <row r="135" spans="3:53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6"/>
        <v>0</v>
      </c>
      <c r="M135" s="26">
        <f t="shared" si="13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67" t="e">
        <f>SUMIFS([2]Up!$J:$J,[2]Up!$D:$D,D135)</f>
        <v>#VALUE!</v>
      </c>
      <c r="AQ135" s="82"/>
      <c r="AR135" s="82" t="str">
        <f t="shared" si="17"/>
        <v>PL16</v>
      </c>
      <c r="AS135" s="53" t="str">
        <f t="shared" si="18"/>
        <v/>
      </c>
      <c r="AT135" s="53" t="s">
        <v>148</v>
      </c>
      <c r="AU135" s="53" t="s">
        <v>988</v>
      </c>
      <c r="AV135" s="53" t="s">
        <v>989</v>
      </c>
      <c r="AW135" s="53" t="s">
        <v>2104</v>
      </c>
      <c r="AX135" s="53">
        <v>4</v>
      </c>
      <c r="AY135" s="83">
        <v>46120</v>
      </c>
      <c r="AZ135" s="53"/>
      <c r="BA135" s="53"/>
    </row>
    <row r="136" spans="3:53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6"/>
        <v>0</v>
      </c>
      <c r="M136" s="26">
        <f t="shared" si="13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67" t="e">
        <f>SUMIFS([2]Up!$J:$J,[2]Up!$D:$D,D136)</f>
        <v>#VALUE!</v>
      </c>
      <c r="AQ136" s="82"/>
      <c r="AR136" s="82" t="str">
        <f t="shared" si="17"/>
        <v>PL15</v>
      </c>
      <c r="AS136" s="53" t="str">
        <f t="shared" si="18"/>
        <v/>
      </c>
      <c r="AT136" s="53" t="s">
        <v>148</v>
      </c>
      <c r="AU136" s="53" t="s">
        <v>1094</v>
      </c>
      <c r="AV136" s="53" t="s">
        <v>1095</v>
      </c>
      <c r="AW136" s="53" t="s">
        <v>2101</v>
      </c>
      <c r="AX136" s="53">
        <v>2</v>
      </c>
      <c r="AY136" s="83">
        <v>46120</v>
      </c>
      <c r="AZ136" s="53"/>
      <c r="BA136" s="53"/>
    </row>
    <row r="137" spans="3:53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6"/>
        <v>0</v>
      </c>
      <c r="M137" s="26">
        <f t="shared" si="13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67" t="e">
        <f>SUMIFS([2]Up!$J:$J,[2]Up!$D:$D,D137)</f>
        <v>#VALUE!</v>
      </c>
      <c r="AQ137" s="82"/>
      <c r="AR137" s="82" t="str">
        <f t="shared" si="17"/>
        <v>PL16</v>
      </c>
      <c r="AS137" s="53" t="str">
        <f t="shared" si="18"/>
        <v/>
      </c>
      <c r="AT137" s="53" t="s">
        <v>148</v>
      </c>
      <c r="AU137" s="53" t="s">
        <v>988</v>
      </c>
      <c r="AV137" s="53" t="s">
        <v>989</v>
      </c>
      <c r="AW137" s="53" t="s">
        <v>2104</v>
      </c>
      <c r="AX137" s="53">
        <v>2</v>
      </c>
      <c r="AY137" s="83">
        <v>46120</v>
      </c>
      <c r="AZ137" s="53"/>
      <c r="BA137" s="53"/>
    </row>
    <row r="138" spans="3:53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6"/>
        <v>0</v>
      </c>
      <c r="M138" s="26">
        <f t="shared" si="13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67" t="e">
        <f>SUMIFS([2]Up!$J:$J,[2]Up!$D:$D,D138)</f>
        <v>#VALUE!</v>
      </c>
      <c r="AQ138" s="82"/>
      <c r="AR138" s="82" t="str">
        <f t="shared" si="17"/>
        <v>PL20</v>
      </c>
      <c r="AS138" s="53" t="str">
        <f t="shared" si="18"/>
        <v/>
      </c>
      <c r="AT138" s="53" t="s">
        <v>148</v>
      </c>
      <c r="AU138" s="53" t="s">
        <v>1100</v>
      </c>
      <c r="AV138" s="53" t="s">
        <v>1101</v>
      </c>
      <c r="AW138" s="53" t="s">
        <v>2102</v>
      </c>
      <c r="AX138" s="53">
        <v>2</v>
      </c>
      <c r="AY138" s="83">
        <v>46303</v>
      </c>
      <c r="AZ138" s="53"/>
      <c r="BA138" s="53"/>
    </row>
    <row r="139" spans="3:53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6"/>
        <v>0</v>
      </c>
      <c r="M139" s="26">
        <f t="shared" si="13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67" t="e">
        <f>SUMIFS([2]Up!$J:$J,[2]Up!$D:$D,D139)</f>
        <v>#VALUE!</v>
      </c>
      <c r="AQ139" s="82"/>
      <c r="AR139" s="82" t="str">
        <f t="shared" si="17"/>
        <v>PL15</v>
      </c>
      <c r="AS139" s="53" t="str">
        <f t="shared" si="18"/>
        <v/>
      </c>
      <c r="AT139" s="53" t="s">
        <v>148</v>
      </c>
      <c r="AU139" s="53" t="s">
        <v>1094</v>
      </c>
      <c r="AV139" s="53" t="s">
        <v>1095</v>
      </c>
      <c r="AW139" s="53" t="s">
        <v>2101</v>
      </c>
      <c r="AX139" s="53">
        <v>2</v>
      </c>
      <c r="AY139" s="83">
        <v>46120</v>
      </c>
      <c r="AZ139" s="53"/>
      <c r="BA139" s="53"/>
    </row>
    <row r="140" spans="3:53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6"/>
        <v>0</v>
      </c>
      <c r="M140" s="26">
        <f t="shared" si="13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67" t="e">
        <f>SUMIFS([2]Up!$J:$J,[2]Up!$D:$D,D140)</f>
        <v>#VALUE!</v>
      </c>
      <c r="AQ140" s="82"/>
      <c r="AR140" s="82" t="str">
        <f t="shared" si="17"/>
        <v>PL10</v>
      </c>
      <c r="AS140" s="53" t="str">
        <f t="shared" si="18"/>
        <v/>
      </c>
      <c r="AT140" s="53" t="s">
        <v>154</v>
      </c>
      <c r="AU140" s="53" t="s">
        <v>1005</v>
      </c>
      <c r="AV140" s="53" t="s">
        <v>1006</v>
      </c>
      <c r="AW140" s="53"/>
      <c r="AX140" s="53"/>
      <c r="AY140" s="83"/>
      <c r="AZ140" s="53"/>
      <c r="BA140" s="53"/>
    </row>
    <row r="141" spans="3:53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6"/>
        <v>0</v>
      </c>
      <c r="M141" s="26">
        <f t="shared" si="13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67" t="e">
        <f>SUMIFS([2]Up!$J:$J,[2]Up!$D:$D,D141)</f>
        <v>#VALUE!</v>
      </c>
      <c r="AQ141" s="82"/>
      <c r="AR141" s="82" t="str">
        <f t="shared" si="17"/>
        <v>PL10</v>
      </c>
      <c r="AS141" s="53" t="str">
        <f t="shared" si="18"/>
        <v/>
      </c>
      <c r="AT141" s="53" t="s">
        <v>148</v>
      </c>
      <c r="AU141" s="53" t="s">
        <v>1005</v>
      </c>
      <c r="AV141" s="53" t="s">
        <v>1006</v>
      </c>
      <c r="AW141" s="53"/>
      <c r="AX141" s="53"/>
      <c r="AY141" s="83"/>
      <c r="AZ141" s="53"/>
      <c r="BA141" s="53"/>
    </row>
    <row r="142" spans="3:53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6"/>
        <v>0</v>
      </c>
      <c r="M142" s="26">
        <f t="shared" si="13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67" t="e">
        <f>SUMIFS([2]Up!$J:$J,[2]Up!$D:$D,D142)</f>
        <v>#VALUE!</v>
      </c>
      <c r="AQ142" s="82"/>
      <c r="AR142" s="82" t="str">
        <f t="shared" si="17"/>
        <v>PL10</v>
      </c>
      <c r="AS142" s="53" t="str">
        <f t="shared" si="18"/>
        <v/>
      </c>
      <c r="AT142" s="53" t="s">
        <v>148</v>
      </c>
      <c r="AU142" s="53" t="s">
        <v>1005</v>
      </c>
      <c r="AV142" s="53" t="s">
        <v>1006</v>
      </c>
      <c r="AW142" s="53"/>
      <c r="AX142" s="53"/>
      <c r="AY142" s="83"/>
      <c r="AZ142" s="53"/>
      <c r="BA142" s="53"/>
    </row>
    <row r="143" spans="3:53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6"/>
        <v>0</v>
      </c>
      <c r="M143" s="26">
        <f t="shared" si="13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67" t="e">
        <f>SUMIFS([2]Up!$J:$J,[2]Up!$D:$D,D143)</f>
        <v>#VALUE!</v>
      </c>
      <c r="AQ143" s="82"/>
      <c r="AR143" s="82" t="str">
        <f t="shared" si="17"/>
        <v>PL10</v>
      </c>
      <c r="AS143" s="53" t="str">
        <f t="shared" si="18"/>
        <v/>
      </c>
      <c r="AT143" s="53" t="s">
        <v>148</v>
      </c>
      <c r="AU143" s="53" t="s">
        <v>1005</v>
      </c>
      <c r="AV143" s="53" t="s">
        <v>1006</v>
      </c>
      <c r="AW143" s="53"/>
      <c r="AX143" s="53"/>
      <c r="AY143" s="83"/>
      <c r="AZ143" s="53"/>
      <c r="BA143" s="53"/>
    </row>
    <row r="144" spans="3:53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6"/>
        <v>0</v>
      </c>
      <c r="M144" s="26">
        <f t="shared" si="13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67" t="e">
        <f>SUMIFS([2]Up!$J:$J,[2]Up!$D:$D,D144)</f>
        <v>#VALUE!</v>
      </c>
      <c r="AQ144" s="82"/>
      <c r="AR144" s="82" t="str">
        <f t="shared" si="17"/>
        <v>PL15</v>
      </c>
      <c r="AS144" s="53" t="str">
        <f t="shared" si="18"/>
        <v/>
      </c>
      <c r="AT144" s="53" t="s">
        <v>148</v>
      </c>
      <c r="AU144" s="53" t="s">
        <v>1094</v>
      </c>
      <c r="AV144" s="53" t="s">
        <v>1095</v>
      </c>
      <c r="AW144" s="53" t="s">
        <v>2101</v>
      </c>
      <c r="AX144" s="53">
        <v>1</v>
      </c>
      <c r="AY144" s="83">
        <v>46120</v>
      </c>
      <c r="AZ144" s="53"/>
      <c r="BA144" s="53"/>
    </row>
    <row r="145" spans="3:53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6"/>
        <v>0</v>
      </c>
      <c r="M145" s="26">
        <f t="shared" si="13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67" t="e">
        <f>SUMIFS([2]Up!$J:$J,[2]Up!$D:$D,D145)</f>
        <v>#VALUE!</v>
      </c>
      <c r="AQ145" s="82"/>
      <c r="AR145" s="82" t="str">
        <f t="shared" si="17"/>
        <v>PL10</v>
      </c>
      <c r="AS145" s="53" t="str">
        <f t="shared" si="18"/>
        <v/>
      </c>
      <c r="AT145" s="53" t="s">
        <v>148</v>
      </c>
      <c r="AU145" s="53" t="s">
        <v>1005</v>
      </c>
      <c r="AV145" s="53" t="s">
        <v>1006</v>
      </c>
      <c r="AW145" s="53"/>
      <c r="AX145" s="53"/>
      <c r="AY145" s="83"/>
      <c r="AZ145" s="53"/>
      <c r="BA145" s="53"/>
    </row>
    <row r="146" spans="3:53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6"/>
        <v>0</v>
      </c>
      <c r="M146" s="26">
        <f t="shared" si="13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67" t="e">
        <f>SUMIFS([2]Up!$J:$J,[2]Up!$D:$D,D146)</f>
        <v>#VALUE!</v>
      </c>
      <c r="AQ146" s="82"/>
      <c r="AR146" s="82" t="str">
        <f t="shared" si="17"/>
        <v>PL20</v>
      </c>
      <c r="AS146" s="53" t="str">
        <f t="shared" si="18"/>
        <v/>
      </c>
      <c r="AT146" s="53" t="s">
        <v>148</v>
      </c>
      <c r="AU146" s="53" t="s">
        <v>1100</v>
      </c>
      <c r="AV146" s="53" t="s">
        <v>1101</v>
      </c>
      <c r="AW146" s="53" t="s">
        <v>57</v>
      </c>
      <c r="AX146" s="53">
        <v>2</v>
      </c>
      <c r="AY146" s="83"/>
      <c r="AZ146" s="53"/>
      <c r="BA146" s="53"/>
    </row>
    <row r="147" spans="3:53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6"/>
        <v>0</v>
      </c>
      <c r="M147" s="26">
        <f t="shared" si="13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67" t="e">
        <f>SUMIFS([2]Up!$J:$J,[2]Up!$D:$D,D147)</f>
        <v>#VALUE!</v>
      </c>
      <c r="AQ147" s="82"/>
      <c r="AR147" s="82" t="str">
        <f t="shared" si="17"/>
        <v>PL10</v>
      </c>
      <c r="AS147" s="53" t="str">
        <f t="shared" si="18"/>
        <v/>
      </c>
      <c r="AT147" s="53" t="s">
        <v>154</v>
      </c>
      <c r="AU147" s="53" t="s">
        <v>1005</v>
      </c>
      <c r="AV147" s="53" t="s">
        <v>1006</v>
      </c>
      <c r="AW147" s="53"/>
      <c r="AX147" s="53"/>
      <c r="AY147" s="83"/>
      <c r="AZ147" s="53"/>
      <c r="BA147" s="53"/>
    </row>
    <row r="148" spans="3:53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6"/>
        <v>0</v>
      </c>
      <c r="M148" s="26">
        <f t="shared" si="13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67" t="e">
        <f>SUMIFS([2]Up!$J:$J,[2]Up!$D:$D,D148)</f>
        <v>#VALUE!</v>
      </c>
      <c r="AQ148" s="82"/>
      <c r="AR148" s="82" t="str">
        <f t="shared" si="17"/>
        <v/>
      </c>
      <c r="AS148" s="53" t="str">
        <f t="shared" si="18"/>
        <v/>
      </c>
      <c r="AT148" s="53" t="s">
        <v>148</v>
      </c>
      <c r="AU148" s="53" t="s">
        <v>1079</v>
      </c>
      <c r="AV148" s="53" t="s">
        <v>1076</v>
      </c>
      <c r="AW148" s="53" t="s">
        <v>2105</v>
      </c>
      <c r="AX148" s="53">
        <v>6</v>
      </c>
      <c r="AY148" s="83">
        <v>46120</v>
      </c>
      <c r="AZ148" s="53"/>
      <c r="BA148" s="53"/>
    </row>
    <row r="149" spans="3:53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6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67" t="e">
        <f>SUMIFS([2]Up!$J:$J,[2]Up!$D:$D,D149)</f>
        <v>#VALUE!</v>
      </c>
      <c r="AQ149" s="82"/>
      <c r="AR149" s="82" t="str">
        <f t="shared" si="17"/>
        <v>PL10</v>
      </c>
      <c r="AS149" s="53" t="str">
        <f t="shared" si="18"/>
        <v/>
      </c>
      <c r="AT149" s="53" t="s">
        <v>154</v>
      </c>
      <c r="AU149" s="53" t="s">
        <v>1005</v>
      </c>
      <c r="AV149" s="53" t="s">
        <v>1006</v>
      </c>
      <c r="AW149" s="53"/>
      <c r="AX149" s="53"/>
      <c r="AY149" s="83"/>
      <c r="AZ149" s="53"/>
      <c r="BA149" s="53"/>
    </row>
    <row r="150" spans="3:53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6"/>
        <v>0</v>
      </c>
      <c r="M150" s="26">
        <f t="shared" si="13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67" t="e">
        <f>SUMIFS([2]Up!$J:$J,[2]Up!$D:$D,D150)</f>
        <v>#VALUE!</v>
      </c>
      <c r="AQ150" s="82"/>
      <c r="AR150" s="82" t="str">
        <f t="shared" si="17"/>
        <v>PL20</v>
      </c>
      <c r="AS150" s="53" t="str">
        <f t="shared" si="18"/>
        <v/>
      </c>
      <c r="AT150" s="53" t="s">
        <v>148</v>
      </c>
      <c r="AU150" s="53" t="s">
        <v>1100</v>
      </c>
      <c r="AV150" s="53" t="s">
        <v>1101</v>
      </c>
      <c r="AW150" s="53" t="s">
        <v>2102</v>
      </c>
      <c r="AX150" s="53">
        <v>2</v>
      </c>
      <c r="AY150" s="83">
        <v>46303</v>
      </c>
      <c r="AZ150" s="53"/>
      <c r="BA150" s="53"/>
    </row>
    <row r="151" spans="3:53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6"/>
        <v>0</v>
      </c>
      <c r="M151" s="26">
        <f t="shared" si="13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67" t="e">
        <f>SUMIFS([2]Up!$J:$J,[2]Up!$D:$D,D151)</f>
        <v>#VALUE!</v>
      </c>
      <c r="AQ151" s="82"/>
      <c r="AR151" s="82" t="str">
        <f t="shared" si="17"/>
        <v>PL15</v>
      </c>
      <c r="AS151" s="53" t="str">
        <f t="shared" si="18"/>
        <v/>
      </c>
      <c r="AT151" s="53" t="s">
        <v>148</v>
      </c>
      <c r="AU151" s="53" t="s">
        <v>1094</v>
      </c>
      <c r="AV151" s="53" t="s">
        <v>1095</v>
      </c>
      <c r="AW151" s="53" t="s">
        <v>2101</v>
      </c>
      <c r="AX151" s="53">
        <v>2</v>
      </c>
      <c r="AY151" s="83">
        <v>46120</v>
      </c>
      <c r="AZ151" s="53"/>
      <c r="BA151" s="53"/>
    </row>
    <row r="152" spans="3:53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6"/>
        <v>0</v>
      </c>
      <c r="M152" s="26">
        <f t="shared" si="13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67" t="e">
        <f>SUMIFS([2]Up!$J:$J,[2]Up!$D:$D,D152)</f>
        <v>#VALUE!</v>
      </c>
      <c r="AQ152" s="82"/>
      <c r="AR152" s="82" t="str">
        <f t="shared" si="17"/>
        <v>PL15</v>
      </c>
      <c r="AS152" s="53" t="str">
        <f t="shared" si="18"/>
        <v/>
      </c>
      <c r="AT152" s="53" t="s">
        <v>148</v>
      </c>
      <c r="AU152" s="53" t="s">
        <v>1094</v>
      </c>
      <c r="AV152" s="53" t="s">
        <v>1095</v>
      </c>
      <c r="AW152" s="53" t="s">
        <v>2101</v>
      </c>
      <c r="AX152" s="53">
        <v>2</v>
      </c>
      <c r="AY152" s="83">
        <v>46120</v>
      </c>
      <c r="AZ152" s="53"/>
      <c r="BA152" s="53"/>
    </row>
    <row r="153" spans="3:53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6"/>
        <v>0</v>
      </c>
      <c r="M153" s="26">
        <f t="shared" si="13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67" t="e">
        <f>SUMIFS([2]Up!$J:$J,[2]Up!$D:$D,D153)</f>
        <v>#VALUE!</v>
      </c>
      <c r="AQ153" s="82"/>
      <c r="AR153" s="82" t="str">
        <f t="shared" si="17"/>
        <v>PL10</v>
      </c>
      <c r="AS153" s="53" t="str">
        <f t="shared" si="18"/>
        <v/>
      </c>
      <c r="AT153" s="53" t="s">
        <v>148</v>
      </c>
      <c r="AU153" s="53" t="s">
        <v>1005</v>
      </c>
      <c r="AV153" s="53" t="s">
        <v>1006</v>
      </c>
      <c r="AW153" s="53"/>
      <c r="AX153" s="53"/>
      <c r="AY153" s="83"/>
      <c r="AZ153" s="53"/>
      <c r="BA153" s="53"/>
    </row>
    <row r="154" spans="3:53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6"/>
        <v>0</v>
      </c>
      <c r="M154" s="26">
        <f t="shared" si="13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67" t="e">
        <f>SUMIFS([2]Up!$J:$J,[2]Up!$D:$D,D154)</f>
        <v>#VALUE!</v>
      </c>
      <c r="AQ154" s="82"/>
      <c r="AR154" s="82" t="str">
        <f t="shared" si="17"/>
        <v>PL10</v>
      </c>
      <c r="AS154" s="53" t="str">
        <f t="shared" si="18"/>
        <v/>
      </c>
      <c r="AT154" s="53" t="s">
        <v>148</v>
      </c>
      <c r="AU154" s="53" t="s">
        <v>1005</v>
      </c>
      <c r="AV154" s="53" t="s">
        <v>1006</v>
      </c>
      <c r="AW154" s="53"/>
      <c r="AX154" s="53"/>
      <c r="AY154" s="83"/>
      <c r="AZ154" s="53"/>
      <c r="BA154" s="53"/>
    </row>
    <row r="155" spans="3:53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6"/>
        <v>0</v>
      </c>
      <c r="M155" s="26">
        <f t="shared" si="13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67" t="e">
        <f>SUMIFS([2]Up!$J:$J,[2]Up!$D:$D,D155)</f>
        <v>#VALUE!</v>
      </c>
      <c r="AQ155" s="82"/>
      <c r="AR155" s="82" t="str">
        <f t="shared" si="17"/>
        <v>PL15</v>
      </c>
      <c r="AS155" s="53" t="str">
        <f t="shared" si="18"/>
        <v/>
      </c>
      <c r="AT155" s="53" t="s">
        <v>148</v>
      </c>
      <c r="AU155" s="53" t="s">
        <v>1094</v>
      </c>
      <c r="AV155" s="53" t="s">
        <v>1095</v>
      </c>
      <c r="AW155" s="53" t="s">
        <v>2101</v>
      </c>
      <c r="AX155" s="53">
        <v>3</v>
      </c>
      <c r="AY155" s="83">
        <v>46120</v>
      </c>
      <c r="AZ155" s="53"/>
      <c r="BA155" s="53"/>
    </row>
    <row r="156" spans="3:53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6"/>
        <v>0</v>
      </c>
      <c r="M156" s="26">
        <f t="shared" si="13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67" t="e">
        <f>SUMIFS([2]Up!$J:$J,[2]Up!$D:$D,D156)</f>
        <v>#VALUE!</v>
      </c>
      <c r="AQ156" s="82"/>
      <c r="AR156" s="82" t="str">
        <f t="shared" si="17"/>
        <v>PL10</v>
      </c>
      <c r="AS156" s="53" t="str">
        <f t="shared" si="18"/>
        <v/>
      </c>
      <c r="AT156" s="53" t="s">
        <v>148</v>
      </c>
      <c r="AU156" s="53" t="s">
        <v>1094</v>
      </c>
      <c r="AV156" s="53" t="s">
        <v>1095</v>
      </c>
      <c r="AW156" s="53"/>
      <c r="AX156" s="53"/>
      <c r="AY156" s="83"/>
      <c r="AZ156" s="53"/>
      <c r="BA156" s="53"/>
    </row>
    <row r="157" spans="3:53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6"/>
        <v>0</v>
      </c>
      <c r="M157" s="26">
        <f t="shared" si="13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67" t="e">
        <f>SUMIFS([2]Up!$J:$J,[2]Up!$D:$D,D157)</f>
        <v>#VALUE!</v>
      </c>
      <c r="AQ157" s="82"/>
      <c r="AR157" s="82" t="str">
        <f t="shared" si="17"/>
        <v>PL10</v>
      </c>
      <c r="AS157" s="53" t="str">
        <f t="shared" si="18"/>
        <v/>
      </c>
      <c r="AT157" s="53" t="s">
        <v>148</v>
      </c>
      <c r="AU157" s="53" t="s">
        <v>1005</v>
      </c>
      <c r="AV157" s="53" t="s">
        <v>1006</v>
      </c>
      <c r="AW157" s="53"/>
      <c r="AX157" s="53"/>
      <c r="AY157" s="83"/>
      <c r="AZ157" s="53"/>
      <c r="BA157" s="53"/>
    </row>
    <row r="158" spans="3:53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19">MIN(SUM(N158:AO158),I158)</f>
        <v>0</v>
      </c>
      <c r="M158" s="26">
        <f t="shared" si="13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67" t="e">
        <f>SUMIFS([2]Up!$J:$J,[2]Up!$D:$D,D158)</f>
        <v>#VALUE!</v>
      </c>
      <c r="AQ158" s="82"/>
      <c r="AR158" s="82" t="str">
        <f t="shared" ref="AR158:AR221" si="20">IFERROR(IF(C158="Plate",LEFT(E158,FIND("*",E158,1)-1),""),IF(C158="Plate",LEFT(E158,FIND("x",E158,1)-1),""))</f>
        <v>PL16</v>
      </c>
      <c r="AS158" s="53" t="str">
        <f t="shared" ref="AS158:AS221" si="21">IF(ROUND(SUM(N158:AO158)-I158,0)&gt;0,"Thừa "&amp;SUM(N158:AO158)-I158,"")</f>
        <v/>
      </c>
      <c r="AT158" s="53" t="s">
        <v>148</v>
      </c>
      <c r="AU158" s="53" t="s">
        <v>988</v>
      </c>
      <c r="AV158" s="53" t="s">
        <v>989</v>
      </c>
      <c r="AW158" s="53" t="s">
        <v>2104</v>
      </c>
      <c r="AX158" s="53">
        <v>2</v>
      </c>
      <c r="AY158" s="83">
        <v>46120</v>
      </c>
      <c r="AZ158" s="53"/>
      <c r="BA158" s="53"/>
    </row>
    <row r="159" spans="3:53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19"/>
        <v>0</v>
      </c>
      <c r="M159" s="26">
        <f t="shared" si="13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67" t="e">
        <f>SUMIFS([2]Up!$J:$J,[2]Up!$D:$D,D159)</f>
        <v>#VALUE!</v>
      </c>
      <c r="AQ159" s="82"/>
      <c r="AR159" s="82" t="str">
        <f t="shared" si="20"/>
        <v>PL16</v>
      </c>
      <c r="AS159" s="53" t="str">
        <f t="shared" si="21"/>
        <v/>
      </c>
      <c r="AT159" s="53" t="s">
        <v>148</v>
      </c>
      <c r="AU159" s="53" t="s">
        <v>988</v>
      </c>
      <c r="AV159" s="53" t="s">
        <v>989</v>
      </c>
      <c r="AW159" s="53" t="s">
        <v>2104</v>
      </c>
      <c r="AX159" s="53">
        <v>10</v>
      </c>
      <c r="AY159" s="83">
        <v>46120</v>
      </c>
      <c r="AZ159" s="53"/>
      <c r="BA159" s="53"/>
    </row>
    <row r="160" spans="3:53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19"/>
        <v>0</v>
      </c>
      <c r="M160" s="26">
        <f t="shared" si="13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67" t="e">
        <f>SUMIFS([2]Up!$J:$J,[2]Up!$D:$D,D160)</f>
        <v>#VALUE!</v>
      </c>
      <c r="AQ160" s="82"/>
      <c r="AR160" s="82" t="str">
        <f t="shared" si="20"/>
        <v/>
      </c>
      <c r="AS160" s="53" t="str">
        <f t="shared" si="21"/>
        <v/>
      </c>
      <c r="AT160" s="53" t="s">
        <v>148</v>
      </c>
      <c r="AU160" s="53" t="s">
        <v>1079</v>
      </c>
      <c r="AV160" s="53" t="s">
        <v>1076</v>
      </c>
      <c r="AW160" s="53" t="s">
        <v>2105</v>
      </c>
      <c r="AX160" s="53">
        <v>3</v>
      </c>
      <c r="AY160" s="83">
        <v>46120</v>
      </c>
      <c r="AZ160" s="53"/>
      <c r="BA160" s="53"/>
    </row>
    <row r="161" spans="3:53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19"/>
        <v>0</v>
      </c>
      <c r="M161" s="26">
        <f t="shared" si="13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67" t="e">
        <f>SUMIFS([2]Up!$J:$J,[2]Up!$D:$D,D161)</f>
        <v>#VALUE!</v>
      </c>
      <c r="AQ161" s="82"/>
      <c r="AR161" s="82" t="str">
        <f t="shared" si="20"/>
        <v>PL8</v>
      </c>
      <c r="AS161" s="53" t="str">
        <f t="shared" si="21"/>
        <v/>
      </c>
      <c r="AT161" s="53" t="s">
        <v>154</v>
      </c>
      <c r="AU161" s="53" t="s">
        <v>1012</v>
      </c>
      <c r="AV161" s="53" t="s">
        <v>1013</v>
      </c>
      <c r="AW161" s="53" t="s">
        <v>57</v>
      </c>
      <c r="AX161" s="53">
        <v>1</v>
      </c>
      <c r="AY161" s="83"/>
      <c r="AZ161" s="53"/>
      <c r="BA161" s="53"/>
    </row>
    <row r="162" spans="3:53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19"/>
        <v>0</v>
      </c>
      <c r="M162" s="26">
        <f t="shared" si="13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67" t="e">
        <f>SUMIFS([2]Up!$J:$J,[2]Up!$D:$D,D162)</f>
        <v>#VALUE!</v>
      </c>
      <c r="AQ162" s="82"/>
      <c r="AR162" s="82" t="str">
        <f t="shared" si="20"/>
        <v>PL15</v>
      </c>
      <c r="AS162" s="53" t="str">
        <f t="shared" si="21"/>
        <v/>
      </c>
      <c r="AT162" s="53" t="s">
        <v>148</v>
      </c>
      <c r="AU162" s="53" t="s">
        <v>1094</v>
      </c>
      <c r="AV162" s="53" t="s">
        <v>1095</v>
      </c>
      <c r="AW162" s="53" t="s">
        <v>2101</v>
      </c>
      <c r="AX162" s="53">
        <v>2</v>
      </c>
      <c r="AY162" s="83">
        <v>46120</v>
      </c>
      <c r="AZ162" s="53"/>
      <c r="BA162" s="53"/>
    </row>
    <row r="163" spans="3:53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19"/>
        <v>0</v>
      </c>
      <c r="M163" s="26">
        <f t="shared" si="13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67" t="e">
        <f>SUMIFS([2]Up!$J:$J,[2]Up!$D:$D,D163)</f>
        <v>#VALUE!</v>
      </c>
      <c r="AQ163" s="82"/>
      <c r="AR163" s="82" t="str">
        <f t="shared" si="20"/>
        <v>PL10</v>
      </c>
      <c r="AS163" s="53" t="str">
        <f t="shared" si="21"/>
        <v/>
      </c>
      <c r="AT163" s="53" t="s">
        <v>154</v>
      </c>
      <c r="AU163" s="53" t="s">
        <v>1005</v>
      </c>
      <c r="AV163" s="53" t="s">
        <v>1006</v>
      </c>
      <c r="AW163" s="53"/>
      <c r="AX163" s="53"/>
      <c r="AY163" s="83"/>
      <c r="AZ163" s="53"/>
      <c r="BA163" s="53"/>
    </row>
    <row r="164" spans="3:53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19"/>
        <v>0</v>
      </c>
      <c r="M164" s="26">
        <f t="shared" si="13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67" t="e">
        <f>SUMIFS([2]Up!$J:$J,[2]Up!$D:$D,D164)</f>
        <v>#VALUE!</v>
      </c>
      <c r="AQ164" s="82"/>
      <c r="AR164" s="82" t="str">
        <f t="shared" si="20"/>
        <v>PL8</v>
      </c>
      <c r="AS164" s="53" t="str">
        <f t="shared" si="21"/>
        <v/>
      </c>
      <c r="AT164" s="53" t="s">
        <v>148</v>
      </c>
      <c r="AU164" s="53" t="s">
        <v>1012</v>
      </c>
      <c r="AV164" s="53" t="s">
        <v>1013</v>
      </c>
      <c r="AW164" s="53" t="s">
        <v>57</v>
      </c>
      <c r="AX164" s="53">
        <v>2</v>
      </c>
      <c r="AY164" s="83"/>
      <c r="AZ164" s="53"/>
      <c r="BA164" s="53"/>
    </row>
    <row r="165" spans="3:53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19"/>
        <v>0</v>
      </c>
      <c r="M165" s="26">
        <f t="shared" si="13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67" t="e">
        <f>SUMIFS([2]Up!$J:$J,[2]Up!$D:$D,D165)</f>
        <v>#VALUE!</v>
      </c>
      <c r="AQ165" s="82"/>
      <c r="AR165" s="82" t="str">
        <f t="shared" si="20"/>
        <v>PL8</v>
      </c>
      <c r="AS165" s="53" t="str">
        <f t="shared" si="21"/>
        <v/>
      </c>
      <c r="AT165" s="53" t="s">
        <v>148</v>
      </c>
      <c r="AU165" s="53" t="s">
        <v>1012</v>
      </c>
      <c r="AV165" s="53" t="s">
        <v>1013</v>
      </c>
      <c r="AW165" s="53" t="s">
        <v>57</v>
      </c>
      <c r="AX165" s="53">
        <v>1</v>
      </c>
      <c r="AY165" s="83"/>
      <c r="AZ165" s="53"/>
      <c r="BA165" s="53"/>
    </row>
    <row r="166" spans="3:53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19"/>
        <v>0</v>
      </c>
      <c r="M166" s="26">
        <f t="shared" si="13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67" t="e">
        <f>SUMIFS([2]Up!$J:$J,[2]Up!$D:$D,D166)</f>
        <v>#VALUE!</v>
      </c>
      <c r="AQ166" s="82"/>
      <c r="AR166" s="82" t="str">
        <f t="shared" si="20"/>
        <v>PL15</v>
      </c>
      <c r="AS166" s="53" t="str">
        <f t="shared" si="21"/>
        <v/>
      </c>
      <c r="AT166" s="53" t="s">
        <v>148</v>
      </c>
      <c r="AU166" s="53" t="s">
        <v>1094</v>
      </c>
      <c r="AV166" s="53" t="s">
        <v>1095</v>
      </c>
      <c r="AW166" s="53" t="s">
        <v>2101</v>
      </c>
      <c r="AX166" s="53">
        <v>2</v>
      </c>
      <c r="AY166" s="83">
        <v>46120</v>
      </c>
      <c r="AZ166" s="53"/>
      <c r="BA166" s="53"/>
    </row>
    <row r="167" spans="3:53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19"/>
        <v>0</v>
      </c>
      <c r="M167" s="26">
        <f t="shared" si="13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67" t="e">
        <f>SUMIFS([2]Up!$J:$J,[2]Up!$D:$D,D167)</f>
        <v>#VALUE!</v>
      </c>
      <c r="AQ167" s="82"/>
      <c r="AR167" s="82" t="str">
        <f t="shared" si="20"/>
        <v>PL15</v>
      </c>
      <c r="AS167" s="53" t="str">
        <f t="shared" si="21"/>
        <v/>
      </c>
      <c r="AT167" s="53" t="s">
        <v>148</v>
      </c>
      <c r="AU167" s="53" t="s">
        <v>1094</v>
      </c>
      <c r="AV167" s="53" t="s">
        <v>1095</v>
      </c>
      <c r="AW167" s="53" t="s">
        <v>2101</v>
      </c>
      <c r="AX167" s="53">
        <v>2</v>
      </c>
      <c r="AY167" s="83">
        <v>46120</v>
      </c>
      <c r="AZ167" s="53"/>
      <c r="BA167" s="53"/>
    </row>
    <row r="168" spans="3:53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19"/>
        <v>0</v>
      </c>
      <c r="M168" s="26">
        <f t="shared" si="13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67" t="e">
        <f>SUMIFS([2]Up!$J:$J,[2]Up!$D:$D,D168)</f>
        <v>#VALUE!</v>
      </c>
      <c r="AQ168" s="82"/>
      <c r="AR168" s="82" t="str">
        <f t="shared" si="20"/>
        <v>PL16</v>
      </c>
      <c r="AS168" s="53" t="str">
        <f t="shared" si="21"/>
        <v/>
      </c>
      <c r="AT168" s="53" t="s">
        <v>148</v>
      </c>
      <c r="AU168" s="53" t="s">
        <v>988</v>
      </c>
      <c r="AV168" s="53" t="s">
        <v>989</v>
      </c>
      <c r="AW168" s="53" t="s">
        <v>2104</v>
      </c>
      <c r="AX168" s="53">
        <v>4</v>
      </c>
      <c r="AY168" s="83">
        <v>46120</v>
      </c>
      <c r="AZ168" s="53"/>
      <c r="BA168" s="53"/>
    </row>
    <row r="169" spans="3:53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19"/>
        <v>0</v>
      </c>
      <c r="M169" s="26">
        <f t="shared" si="13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67" t="e">
        <f>SUMIFS([2]Up!$J:$J,[2]Up!$D:$D,D169)</f>
        <v>#VALUE!</v>
      </c>
      <c r="AQ169" s="82"/>
      <c r="AR169" s="82" t="str">
        <f t="shared" si="20"/>
        <v>PL16</v>
      </c>
      <c r="AS169" s="53" t="str">
        <f t="shared" si="21"/>
        <v/>
      </c>
      <c r="AT169" s="53" t="s">
        <v>148</v>
      </c>
      <c r="AU169" s="53" t="s">
        <v>988</v>
      </c>
      <c r="AV169" s="53" t="s">
        <v>989</v>
      </c>
      <c r="AW169" s="53" t="s">
        <v>2104</v>
      </c>
      <c r="AX169" s="53">
        <v>2</v>
      </c>
      <c r="AY169" s="83">
        <v>46120</v>
      </c>
      <c r="AZ169" s="53"/>
      <c r="BA169" s="53"/>
    </row>
    <row r="170" spans="3:53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19"/>
        <v>0</v>
      </c>
      <c r="M170" s="26">
        <f t="shared" si="13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67" t="e">
        <f>SUMIFS([2]Up!$J:$J,[2]Up!$D:$D,D170)</f>
        <v>#VALUE!</v>
      </c>
      <c r="AQ170" s="82"/>
      <c r="AR170" s="82" t="str">
        <f t="shared" si="20"/>
        <v>PL20</v>
      </c>
      <c r="AS170" s="53" t="str">
        <f t="shared" si="21"/>
        <v/>
      </c>
      <c r="AT170" s="53" t="s">
        <v>148</v>
      </c>
      <c r="AU170" s="53" t="s">
        <v>1100</v>
      </c>
      <c r="AV170" s="53" t="s">
        <v>1101</v>
      </c>
      <c r="AW170" s="53" t="s">
        <v>2102</v>
      </c>
      <c r="AX170" s="53">
        <v>2</v>
      </c>
      <c r="AY170" s="83">
        <v>46303</v>
      </c>
      <c r="AZ170" s="53"/>
      <c r="BA170" s="53"/>
    </row>
    <row r="171" spans="3:53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19"/>
        <v>0</v>
      </c>
      <c r="M171" s="26">
        <f t="shared" si="13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67" t="e">
        <f>SUMIFS([2]Up!$J:$J,[2]Up!$D:$D,D171)</f>
        <v>#VALUE!</v>
      </c>
      <c r="AQ171" s="82"/>
      <c r="AR171" s="82" t="str">
        <f t="shared" si="20"/>
        <v/>
      </c>
      <c r="AS171" s="53" t="str">
        <f t="shared" si="21"/>
        <v/>
      </c>
      <c r="AT171" s="53" t="s">
        <v>148</v>
      </c>
      <c r="AU171" s="53" t="s">
        <v>1079</v>
      </c>
      <c r="AV171" s="53" t="s">
        <v>1076</v>
      </c>
      <c r="AW171" s="53" t="s">
        <v>2105</v>
      </c>
      <c r="AX171" s="53">
        <v>5</v>
      </c>
      <c r="AY171" s="83">
        <v>46120</v>
      </c>
      <c r="AZ171" s="53"/>
      <c r="BA171" s="53"/>
    </row>
    <row r="172" spans="3:53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19"/>
        <v>0</v>
      </c>
      <c r="M172" s="26">
        <f t="shared" si="13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67" t="e">
        <f>SUMIFS([2]Up!$J:$J,[2]Up!$D:$D,D172)</f>
        <v>#VALUE!</v>
      </c>
      <c r="AQ172" s="82"/>
      <c r="AR172" s="82" t="str">
        <f t="shared" si="20"/>
        <v>PL8</v>
      </c>
      <c r="AS172" s="53" t="str">
        <f t="shared" si="21"/>
        <v/>
      </c>
      <c r="AT172" s="53" t="s">
        <v>154</v>
      </c>
      <c r="AU172" s="53" t="s">
        <v>1012</v>
      </c>
      <c r="AV172" s="53" t="s">
        <v>1013</v>
      </c>
      <c r="AW172" s="53" t="s">
        <v>57</v>
      </c>
      <c r="AX172" s="53">
        <v>1</v>
      </c>
      <c r="AY172" s="83"/>
      <c r="AZ172" s="53"/>
      <c r="BA172" s="53"/>
    </row>
    <row r="173" spans="3:53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19"/>
        <v>0</v>
      </c>
      <c r="M173" s="26">
        <f t="shared" si="13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67" t="e">
        <f>SUMIFS([2]Up!$J:$J,[2]Up!$D:$D,D173)</f>
        <v>#VALUE!</v>
      </c>
      <c r="AQ173" s="82"/>
      <c r="AR173" s="82" t="str">
        <f t="shared" si="20"/>
        <v>PL8</v>
      </c>
      <c r="AS173" s="53" t="str">
        <f t="shared" si="21"/>
        <v/>
      </c>
      <c r="AT173" s="53" t="s">
        <v>148</v>
      </c>
      <c r="AU173" s="53" t="s">
        <v>1012</v>
      </c>
      <c r="AV173" s="53" t="s">
        <v>1013</v>
      </c>
      <c r="AW173" s="53" t="s">
        <v>57</v>
      </c>
      <c r="AX173" s="53">
        <v>2</v>
      </c>
      <c r="AY173" s="83"/>
      <c r="AZ173" s="53"/>
      <c r="BA173" s="53"/>
    </row>
    <row r="174" spans="3:53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19"/>
        <v>0</v>
      </c>
      <c r="M174" s="26">
        <f t="shared" si="13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67" t="e">
        <f>SUMIFS([2]Up!$J:$J,[2]Up!$D:$D,D174)</f>
        <v>#VALUE!</v>
      </c>
      <c r="AQ174" s="82"/>
      <c r="AR174" s="82" t="str">
        <f t="shared" si="20"/>
        <v>PL8</v>
      </c>
      <c r="AS174" s="53" t="str">
        <f t="shared" si="21"/>
        <v/>
      </c>
      <c r="AT174" s="53" t="s">
        <v>148</v>
      </c>
      <c r="AU174" s="53" t="s">
        <v>1012</v>
      </c>
      <c r="AV174" s="53" t="s">
        <v>1013</v>
      </c>
      <c r="AW174" s="53" t="s">
        <v>2124</v>
      </c>
      <c r="AX174" s="53">
        <v>2</v>
      </c>
      <c r="AY174" s="83">
        <v>46334</v>
      </c>
      <c r="AZ174" s="53"/>
      <c r="BA174" s="53"/>
    </row>
    <row r="175" spans="3:53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19"/>
        <v>0</v>
      </c>
      <c r="M175" s="26">
        <f t="shared" si="13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67" t="e">
        <f>SUMIFS([2]Up!$J:$J,[2]Up!$D:$D,D175)</f>
        <v>#VALUE!</v>
      </c>
      <c r="AQ175" s="82"/>
      <c r="AR175" s="82" t="str">
        <f t="shared" si="20"/>
        <v>PL15</v>
      </c>
      <c r="AS175" s="53" t="str">
        <f t="shared" si="21"/>
        <v/>
      </c>
      <c r="AT175" s="53" t="s">
        <v>148</v>
      </c>
      <c r="AU175" s="53" t="s">
        <v>1094</v>
      </c>
      <c r="AV175" s="53" t="s">
        <v>1095</v>
      </c>
      <c r="AW175" s="53" t="s">
        <v>2101</v>
      </c>
      <c r="AX175" s="53">
        <v>2</v>
      </c>
      <c r="AY175" s="83">
        <v>46120</v>
      </c>
      <c r="AZ175" s="53"/>
      <c r="BA175" s="53"/>
    </row>
    <row r="176" spans="3:53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19"/>
        <v>0</v>
      </c>
      <c r="M176" s="26">
        <f t="shared" si="13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67" t="e">
        <f>SUMIFS([2]Up!$J:$J,[2]Up!$D:$D,D176)</f>
        <v>#VALUE!</v>
      </c>
      <c r="AQ176" s="82"/>
      <c r="AR176" s="82" t="str">
        <f t="shared" si="20"/>
        <v>PL15</v>
      </c>
      <c r="AS176" s="53" t="str">
        <f t="shared" si="21"/>
        <v/>
      </c>
      <c r="AT176" s="53" t="s">
        <v>148</v>
      </c>
      <c r="AU176" s="53" t="s">
        <v>1094</v>
      </c>
      <c r="AV176" s="53" t="s">
        <v>1095</v>
      </c>
      <c r="AW176" s="53" t="s">
        <v>2101</v>
      </c>
      <c r="AX176" s="53">
        <v>2</v>
      </c>
      <c r="AY176" s="83">
        <v>46120</v>
      </c>
      <c r="AZ176" s="53"/>
      <c r="BA176" s="53"/>
    </row>
    <row r="177" spans="3:53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19"/>
        <v>0</v>
      </c>
      <c r="M177" s="26">
        <f t="shared" si="13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67" t="e">
        <f>SUMIFS([2]Up!$J:$J,[2]Up!$D:$D,D177)</f>
        <v>#VALUE!</v>
      </c>
      <c r="AQ177" s="82"/>
      <c r="AR177" s="82" t="str">
        <f t="shared" si="20"/>
        <v>PL20</v>
      </c>
      <c r="AS177" s="53" t="str">
        <f t="shared" si="21"/>
        <v/>
      </c>
      <c r="AT177" s="53" t="s">
        <v>148</v>
      </c>
      <c r="AU177" s="53" t="s">
        <v>1100</v>
      </c>
      <c r="AV177" s="53" t="s">
        <v>1101</v>
      </c>
      <c r="AW177" s="53" t="s">
        <v>2102</v>
      </c>
      <c r="AX177" s="53">
        <v>2</v>
      </c>
      <c r="AY177" s="83">
        <v>46303</v>
      </c>
      <c r="AZ177" s="53"/>
      <c r="BA177" s="53"/>
    </row>
    <row r="178" spans="3:53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19"/>
        <v>0</v>
      </c>
      <c r="M178" s="26">
        <f t="shared" si="13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67" t="e">
        <f>SUMIFS([2]Up!$J:$J,[2]Up!$D:$D,D178)</f>
        <v>#VALUE!</v>
      </c>
      <c r="AQ178" s="82"/>
      <c r="AR178" s="82" t="str">
        <f t="shared" si="20"/>
        <v>PL15</v>
      </c>
      <c r="AS178" s="53" t="str">
        <f t="shared" si="21"/>
        <v/>
      </c>
      <c r="AT178" s="53" t="s">
        <v>148</v>
      </c>
      <c r="AU178" s="53" t="s">
        <v>1094</v>
      </c>
      <c r="AV178" s="53" t="s">
        <v>1095</v>
      </c>
      <c r="AW178" s="53" t="s">
        <v>2101</v>
      </c>
      <c r="AX178" s="53">
        <v>2</v>
      </c>
      <c r="AY178" s="83">
        <v>46120</v>
      </c>
      <c r="AZ178" s="53"/>
      <c r="BA178" s="53"/>
    </row>
    <row r="179" spans="3:53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19"/>
        <v>0</v>
      </c>
      <c r="M179" s="26">
        <f t="shared" si="13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67" t="e">
        <f>SUMIFS([2]Up!$J:$J,[2]Up!$D:$D,D179)</f>
        <v>#VALUE!</v>
      </c>
      <c r="AQ179" s="82"/>
      <c r="AR179" s="82" t="str">
        <f t="shared" si="20"/>
        <v>PL5</v>
      </c>
      <c r="AS179" s="53" t="str">
        <f t="shared" si="21"/>
        <v/>
      </c>
      <c r="AT179" s="53" t="s">
        <v>148</v>
      </c>
      <c r="AU179" s="53" t="s">
        <v>1108</v>
      </c>
      <c r="AV179" s="53" t="s">
        <v>957</v>
      </c>
      <c r="AW179" s="53" t="s">
        <v>2103</v>
      </c>
      <c r="AX179" s="53">
        <v>2</v>
      </c>
      <c r="AY179" s="83">
        <v>46120</v>
      </c>
      <c r="AZ179" s="53"/>
      <c r="BA179" s="53"/>
    </row>
    <row r="180" spans="3:53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19"/>
        <v>0</v>
      </c>
      <c r="M180" s="26">
        <f t="shared" si="13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67" t="e">
        <f>SUMIFS([2]Up!$J:$J,[2]Up!$D:$D,D180)</f>
        <v>#VALUE!</v>
      </c>
      <c r="AQ180" s="82"/>
      <c r="AR180" s="82" t="str">
        <f t="shared" si="20"/>
        <v>PL8</v>
      </c>
      <c r="AS180" s="53" t="str">
        <f t="shared" si="21"/>
        <v/>
      </c>
      <c r="AT180" s="53" t="s">
        <v>148</v>
      </c>
      <c r="AU180" s="53" t="s">
        <v>1012</v>
      </c>
      <c r="AV180" s="53" t="s">
        <v>1013</v>
      </c>
      <c r="AW180" s="53" t="s">
        <v>57</v>
      </c>
      <c r="AX180" s="53">
        <v>3</v>
      </c>
      <c r="AY180" s="83"/>
      <c r="AZ180" s="53"/>
      <c r="BA180" s="53"/>
    </row>
    <row r="181" spans="3:53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19"/>
        <v>0</v>
      </c>
      <c r="M181" s="26">
        <f t="shared" si="13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67" t="e">
        <f>SUMIFS([2]Up!$J:$J,[2]Up!$D:$D,D181)</f>
        <v>#VALUE!</v>
      </c>
      <c r="AQ181" s="82"/>
      <c r="AR181" s="82" t="str">
        <f t="shared" si="20"/>
        <v>PL20</v>
      </c>
      <c r="AS181" s="53" t="str">
        <f t="shared" si="21"/>
        <v/>
      </c>
      <c r="AT181" s="53" t="s">
        <v>148</v>
      </c>
      <c r="AU181" s="53" t="s">
        <v>1100</v>
      </c>
      <c r="AV181" s="53" t="s">
        <v>1101</v>
      </c>
      <c r="AW181" s="53" t="s">
        <v>2102</v>
      </c>
      <c r="AX181" s="53">
        <v>1</v>
      </c>
      <c r="AY181" s="83">
        <v>46303</v>
      </c>
      <c r="AZ181" s="53"/>
      <c r="BA181" s="53"/>
    </row>
    <row r="182" spans="3:53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19"/>
        <v>0</v>
      </c>
      <c r="M182" s="26">
        <f t="shared" si="13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67" t="e">
        <f>SUMIFS([2]Up!$J:$J,[2]Up!$D:$D,D182)</f>
        <v>#VALUE!</v>
      </c>
      <c r="AQ182" s="82"/>
      <c r="AR182" s="82" t="str">
        <f t="shared" si="20"/>
        <v>PL20</v>
      </c>
      <c r="AS182" s="53" t="str">
        <f t="shared" si="21"/>
        <v/>
      </c>
      <c r="AT182" s="53" t="s">
        <v>148</v>
      </c>
      <c r="AU182" s="53" t="s">
        <v>1100</v>
      </c>
      <c r="AV182" s="53" t="s">
        <v>1101</v>
      </c>
      <c r="AW182" s="53" t="s">
        <v>2102</v>
      </c>
      <c r="AX182" s="53">
        <v>1</v>
      </c>
      <c r="AY182" s="83">
        <v>46303</v>
      </c>
      <c r="AZ182" s="53"/>
      <c r="BA182" s="53"/>
    </row>
    <row r="183" spans="3:53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19"/>
        <v>0</v>
      </c>
      <c r="M183" s="26">
        <f t="shared" si="13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67" t="e">
        <f>SUMIFS([2]Up!$J:$J,[2]Up!$D:$D,D183)</f>
        <v>#VALUE!</v>
      </c>
      <c r="AQ183" s="82"/>
      <c r="AR183" s="82" t="str">
        <f t="shared" si="20"/>
        <v>PL16</v>
      </c>
      <c r="AS183" s="53" t="str">
        <f t="shared" si="21"/>
        <v/>
      </c>
      <c r="AT183" s="53" t="s">
        <v>148</v>
      </c>
      <c r="AU183" s="53" t="s">
        <v>988</v>
      </c>
      <c r="AV183" s="53" t="s">
        <v>989</v>
      </c>
      <c r="AW183" s="53" t="s">
        <v>2104</v>
      </c>
      <c r="AX183" s="53">
        <v>3</v>
      </c>
      <c r="AY183" s="83">
        <v>46120</v>
      </c>
      <c r="AZ183" s="53"/>
      <c r="BA183" s="53"/>
    </row>
    <row r="184" spans="3:53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19"/>
        <v>0</v>
      </c>
      <c r="M184" s="26">
        <f t="shared" si="13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67" t="e">
        <f>SUMIFS([2]Up!$J:$J,[2]Up!$D:$D,D184)</f>
        <v>#VALUE!</v>
      </c>
      <c r="AQ184" s="82"/>
      <c r="AR184" s="82" t="str">
        <f t="shared" si="20"/>
        <v>PL16</v>
      </c>
      <c r="AS184" s="53" t="str">
        <f t="shared" si="21"/>
        <v/>
      </c>
      <c r="AT184" s="53" t="s">
        <v>148</v>
      </c>
      <c r="AU184" s="53" t="s">
        <v>988</v>
      </c>
      <c r="AV184" s="53" t="s">
        <v>989</v>
      </c>
      <c r="AW184" s="53" t="s">
        <v>2104</v>
      </c>
      <c r="AX184" s="53">
        <v>1</v>
      </c>
      <c r="AY184" s="83">
        <v>46120</v>
      </c>
      <c r="AZ184" s="53"/>
      <c r="BA184" s="53"/>
    </row>
    <row r="185" spans="3:53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19"/>
        <v>0</v>
      </c>
      <c r="M185" s="26">
        <f t="shared" si="13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67" t="e">
        <f>SUMIFS([2]Up!$J:$J,[2]Up!$D:$D,D185)</f>
        <v>#VALUE!</v>
      </c>
      <c r="AQ185" s="82"/>
      <c r="AR185" s="82" t="str">
        <f t="shared" si="20"/>
        <v>PL15</v>
      </c>
      <c r="AS185" s="53" t="str">
        <f t="shared" si="21"/>
        <v/>
      </c>
      <c r="AT185" s="53" t="s">
        <v>148</v>
      </c>
      <c r="AU185" s="53" t="s">
        <v>1094</v>
      </c>
      <c r="AV185" s="53" t="s">
        <v>1095</v>
      </c>
      <c r="AW185" s="53" t="s">
        <v>2101</v>
      </c>
      <c r="AX185" s="53">
        <v>2</v>
      </c>
      <c r="AY185" s="83">
        <v>46120</v>
      </c>
      <c r="AZ185" s="53"/>
      <c r="BA185" s="53"/>
    </row>
    <row r="186" spans="3:53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19"/>
        <v>0</v>
      </c>
      <c r="M186" s="26">
        <f t="shared" si="13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67" t="e">
        <f>SUMIFS([2]Up!$J:$J,[2]Up!$D:$D,D186)</f>
        <v>#VALUE!</v>
      </c>
      <c r="AQ186" s="82"/>
      <c r="AR186" s="82" t="str">
        <f t="shared" si="20"/>
        <v>PL16</v>
      </c>
      <c r="AS186" s="53" t="str">
        <f t="shared" si="21"/>
        <v/>
      </c>
      <c r="AT186" s="53" t="s">
        <v>148</v>
      </c>
      <c r="AU186" s="53" t="s">
        <v>988</v>
      </c>
      <c r="AV186" s="53" t="s">
        <v>989</v>
      </c>
      <c r="AW186" s="53" t="s">
        <v>2104</v>
      </c>
      <c r="AX186" s="53">
        <v>2</v>
      </c>
      <c r="AY186" s="83">
        <v>46120</v>
      </c>
      <c r="AZ186" s="53"/>
      <c r="BA186" s="53"/>
    </row>
    <row r="187" spans="3:53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19"/>
        <v>0</v>
      </c>
      <c r="M187" s="26">
        <f t="shared" si="13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67" t="e">
        <f>SUMIFS([2]Up!$J:$J,[2]Up!$D:$D,D187)</f>
        <v>#VALUE!</v>
      </c>
      <c r="AQ187" s="82"/>
      <c r="AR187" s="82" t="str">
        <f t="shared" si="20"/>
        <v>PL16</v>
      </c>
      <c r="AS187" s="53" t="str">
        <f t="shared" si="21"/>
        <v/>
      </c>
      <c r="AT187" s="53" t="s">
        <v>148</v>
      </c>
      <c r="AU187" s="53" t="s">
        <v>988</v>
      </c>
      <c r="AV187" s="53" t="s">
        <v>989</v>
      </c>
      <c r="AW187" s="53" t="s">
        <v>2104</v>
      </c>
      <c r="AX187" s="53">
        <v>10</v>
      </c>
      <c r="AY187" s="83">
        <v>46120</v>
      </c>
      <c r="AZ187" s="53"/>
      <c r="BA187" s="53"/>
    </row>
    <row r="188" spans="3:53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19"/>
        <v>4</v>
      </c>
      <c r="M188" s="26">
        <f t="shared" si="13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67" t="e">
        <f>SUMIFS([2]Up!$J:$J,[2]Up!$D:$D,D188)</f>
        <v>#VALUE!</v>
      </c>
      <c r="AQ188" s="82"/>
      <c r="AR188" s="82" t="str">
        <f t="shared" si="20"/>
        <v/>
      </c>
      <c r="AS188" s="53" t="str">
        <f t="shared" si="21"/>
        <v/>
      </c>
      <c r="AT188" s="53" t="s">
        <v>148</v>
      </c>
      <c r="AU188" s="53" t="s">
        <v>1079</v>
      </c>
      <c r="AV188" s="53" t="s">
        <v>1076</v>
      </c>
      <c r="AW188" s="53" t="s">
        <v>1290</v>
      </c>
      <c r="AX188" s="53">
        <v>4</v>
      </c>
      <c r="AY188" s="83">
        <v>46362</v>
      </c>
      <c r="AZ188" s="53"/>
      <c r="BA188" s="53"/>
    </row>
    <row r="189" spans="3:53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19"/>
        <v>2</v>
      </c>
      <c r="M189" s="26">
        <f t="shared" si="13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67" t="e">
        <f>SUMIFS([2]Up!$J:$J,[2]Up!$D:$D,D189)</f>
        <v>#VALUE!</v>
      </c>
      <c r="AQ189" s="82"/>
      <c r="AR189" s="82" t="str">
        <f t="shared" si="20"/>
        <v/>
      </c>
      <c r="AS189" s="53" t="str">
        <f t="shared" si="21"/>
        <v/>
      </c>
      <c r="AT189" s="53" t="s">
        <v>154</v>
      </c>
      <c r="AU189" s="53" t="s">
        <v>1082</v>
      </c>
      <c r="AV189" s="53" t="s">
        <v>1081</v>
      </c>
      <c r="AW189" s="53" t="s">
        <v>1292</v>
      </c>
      <c r="AX189" s="53">
        <v>2</v>
      </c>
      <c r="AY189" s="83">
        <v>46362</v>
      </c>
      <c r="AZ189" s="53"/>
      <c r="BA189" s="53"/>
    </row>
    <row r="190" spans="3:53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19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67" t="e">
        <f>SUMIFS([2]Up!$J:$J,[2]Up!$D:$D,D190)</f>
        <v>#VALUE!</v>
      </c>
      <c r="AQ190" s="82" t="s">
        <v>2232</v>
      </c>
      <c r="AR190" s="82" t="str">
        <f t="shared" si="20"/>
        <v>PL12</v>
      </c>
      <c r="AS190" s="53" t="str">
        <f t="shared" si="21"/>
        <v>Thừa 5</v>
      </c>
      <c r="AT190" s="53" t="s">
        <v>154</v>
      </c>
      <c r="AU190" s="53" t="s">
        <v>1021</v>
      </c>
      <c r="AV190" s="53" t="s">
        <v>1022</v>
      </c>
      <c r="AW190" s="53" t="s">
        <v>57</v>
      </c>
      <c r="AX190" s="53">
        <v>1</v>
      </c>
      <c r="AY190" s="83"/>
      <c r="AZ190" s="53"/>
      <c r="BA190" s="53"/>
    </row>
    <row r="191" spans="3:53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19"/>
        <v>2</v>
      </c>
      <c r="M191" s="26">
        <f t="shared" si="13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67" t="e">
        <f>SUMIFS([2]Up!$J:$J,[2]Up!$D:$D,D191)</f>
        <v>#VALUE!</v>
      </c>
      <c r="AQ191" s="82"/>
      <c r="AR191" s="82" t="str">
        <f t="shared" si="20"/>
        <v>PL10</v>
      </c>
      <c r="AS191" s="53" t="str">
        <f t="shared" si="21"/>
        <v/>
      </c>
      <c r="AT191" s="53" t="s">
        <v>148</v>
      </c>
      <c r="AU191" s="53" t="s">
        <v>1005</v>
      </c>
      <c r="AV191" s="53" t="s">
        <v>1006</v>
      </c>
      <c r="AW191" s="53" t="s">
        <v>1064</v>
      </c>
      <c r="AX191" s="53">
        <v>2</v>
      </c>
      <c r="AY191" s="83">
        <v>46088</v>
      </c>
      <c r="AZ191" s="53"/>
      <c r="BA191" s="53"/>
    </row>
    <row r="192" spans="3:53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19"/>
        <v>4</v>
      </c>
      <c r="M192" s="26">
        <f t="shared" si="13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67" t="e">
        <f>SUMIFS([2]Up!$J:$J,[2]Up!$D:$D,D192)</f>
        <v>#VALUE!</v>
      </c>
      <c r="AQ192" s="82"/>
      <c r="AR192" s="82" t="str">
        <f t="shared" si="20"/>
        <v>PL12</v>
      </c>
      <c r="AS192" s="53" t="str">
        <f t="shared" si="21"/>
        <v/>
      </c>
      <c r="AT192" s="53" t="s">
        <v>148</v>
      </c>
      <c r="AU192" s="53" t="s">
        <v>1021</v>
      </c>
      <c r="AV192" s="53" t="s">
        <v>1022</v>
      </c>
      <c r="AW192" s="53" t="s">
        <v>1023</v>
      </c>
      <c r="AX192" s="53">
        <v>4</v>
      </c>
      <c r="AY192" s="83">
        <v>46088</v>
      </c>
      <c r="AZ192" s="53"/>
      <c r="BA192" s="53"/>
    </row>
    <row r="193" spans="3:53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19"/>
        <v>4</v>
      </c>
      <c r="M193" s="26">
        <f t="shared" si="13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67" t="e">
        <f>SUMIFS([2]Up!$J:$J,[2]Up!$D:$D,D193)</f>
        <v>#VALUE!</v>
      </c>
      <c r="AQ193" s="82"/>
      <c r="AR193" s="82" t="str">
        <f t="shared" si="20"/>
        <v>PL12</v>
      </c>
      <c r="AS193" s="53" t="str">
        <f t="shared" si="21"/>
        <v/>
      </c>
      <c r="AT193" s="53" t="s">
        <v>148</v>
      </c>
      <c r="AU193" s="53" t="s">
        <v>1021</v>
      </c>
      <c r="AV193" s="53" t="s">
        <v>1022</v>
      </c>
      <c r="AW193" s="53" t="s">
        <v>1023</v>
      </c>
      <c r="AX193" s="53">
        <v>4</v>
      </c>
      <c r="AY193" s="83">
        <v>46088</v>
      </c>
      <c r="AZ193" s="53"/>
      <c r="BA193" s="53"/>
    </row>
    <row r="194" spans="3:53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19"/>
        <v>8</v>
      </c>
      <c r="M194" s="26">
        <f t="shared" si="1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67" t="e">
        <f>SUMIFS([2]Up!$J:$J,[2]Up!$D:$D,D194)</f>
        <v>#VALUE!</v>
      </c>
      <c r="AQ194" s="82"/>
      <c r="AR194" s="82" t="str">
        <f t="shared" si="20"/>
        <v>PL16</v>
      </c>
      <c r="AS194" s="53" t="str">
        <f t="shared" si="21"/>
        <v/>
      </c>
      <c r="AT194" s="53" t="s">
        <v>148</v>
      </c>
      <c r="AU194" s="53" t="s">
        <v>988</v>
      </c>
      <c r="AV194" s="53" t="s">
        <v>989</v>
      </c>
      <c r="AW194" s="53" t="s">
        <v>990</v>
      </c>
      <c r="AX194" s="53">
        <v>8</v>
      </c>
      <c r="AY194" s="83" t="s">
        <v>2223</v>
      </c>
      <c r="AZ194" s="53"/>
      <c r="BA194" s="53"/>
    </row>
    <row r="195" spans="3:53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19"/>
        <v>2</v>
      </c>
      <c r="M195" s="26">
        <f t="shared" si="13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67" t="e">
        <f>SUMIFS([2]Up!$J:$J,[2]Up!$D:$D,D195)</f>
        <v>#VALUE!</v>
      </c>
      <c r="AQ195" s="82"/>
      <c r="AR195" s="82" t="str">
        <f t="shared" si="20"/>
        <v>PL15</v>
      </c>
      <c r="AS195" s="53" t="str">
        <f t="shared" si="21"/>
        <v/>
      </c>
      <c r="AT195" s="53" t="s">
        <v>148</v>
      </c>
      <c r="AU195" s="53" t="s">
        <v>1094</v>
      </c>
      <c r="AV195" s="53" t="s">
        <v>1095</v>
      </c>
      <c r="AW195" s="53" t="s">
        <v>1304</v>
      </c>
      <c r="AX195" s="53">
        <v>2</v>
      </c>
      <c r="AY195" s="83">
        <v>46088</v>
      </c>
      <c r="AZ195" s="53"/>
      <c r="BA195" s="53"/>
    </row>
    <row r="196" spans="3:53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19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67" t="e">
        <f>SUMIFS([2]Up!$J:$J,[2]Up!$D:$D,D196)</f>
        <v>#VALUE!</v>
      </c>
      <c r="AQ196" s="82"/>
      <c r="AR196" s="82" t="str">
        <f t="shared" si="20"/>
        <v>PL10</v>
      </c>
      <c r="AS196" s="53" t="str">
        <f t="shared" si="21"/>
        <v/>
      </c>
      <c r="AT196" s="53" t="s">
        <v>154</v>
      </c>
      <c r="AU196" s="53" t="s">
        <v>1005</v>
      </c>
      <c r="AV196" s="53" t="s">
        <v>1006</v>
      </c>
      <c r="AW196" s="53" t="s">
        <v>1064</v>
      </c>
      <c r="AX196" s="53">
        <v>1</v>
      </c>
      <c r="AY196" s="83">
        <v>46088</v>
      </c>
      <c r="AZ196" s="53"/>
      <c r="BA196" s="53"/>
    </row>
    <row r="197" spans="3:53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19"/>
        <v>1</v>
      </c>
      <c r="M197" s="26">
        <f t="shared" si="13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67" t="e">
        <f>SUMIFS([2]Up!$J:$J,[2]Up!$D:$D,D197)</f>
        <v>#VALUE!</v>
      </c>
      <c r="AQ197" s="82"/>
      <c r="AR197" s="82" t="str">
        <f t="shared" si="20"/>
        <v>PL20</v>
      </c>
      <c r="AS197" s="53" t="str">
        <f t="shared" si="21"/>
        <v/>
      </c>
      <c r="AT197" s="53" t="s">
        <v>148</v>
      </c>
      <c r="AU197" s="53" t="s">
        <v>1100</v>
      </c>
      <c r="AV197" s="53" t="s">
        <v>1101</v>
      </c>
      <c r="AW197" s="53" t="s">
        <v>1308</v>
      </c>
      <c r="AX197" s="53">
        <v>1</v>
      </c>
      <c r="AY197" s="83">
        <v>46242</v>
      </c>
      <c r="AZ197" s="53"/>
      <c r="BA197" s="53"/>
    </row>
    <row r="198" spans="3:53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19"/>
        <v>1</v>
      </c>
      <c r="M198" s="26">
        <f t="shared" si="13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67" t="e">
        <f>SUMIFS([2]Up!$J:$J,[2]Up!$D:$D,D198)</f>
        <v>#VALUE!</v>
      </c>
      <c r="AQ198" s="82"/>
      <c r="AR198" s="82" t="str">
        <f t="shared" si="20"/>
        <v>PL20</v>
      </c>
      <c r="AS198" s="53" t="str">
        <f t="shared" si="21"/>
        <v/>
      </c>
      <c r="AT198" s="53" t="s">
        <v>148</v>
      </c>
      <c r="AU198" s="53" t="s">
        <v>1100</v>
      </c>
      <c r="AV198" s="53" t="s">
        <v>1101</v>
      </c>
      <c r="AW198" s="53" t="s">
        <v>1308</v>
      </c>
      <c r="AX198" s="53">
        <v>1</v>
      </c>
      <c r="AY198" s="83">
        <v>46242</v>
      </c>
      <c r="AZ198" s="53"/>
      <c r="BA198" s="53"/>
    </row>
    <row r="199" spans="3:53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19"/>
        <v>1</v>
      </c>
      <c r="M199" s="26">
        <f t="shared" si="13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67" t="e">
        <f>SUMIFS([2]Up!$J:$J,[2]Up!$D:$D,D199)</f>
        <v>#VALUE!</v>
      </c>
      <c r="AQ199" s="82"/>
      <c r="AR199" s="82" t="str">
        <f t="shared" si="20"/>
        <v>PL10</v>
      </c>
      <c r="AS199" s="53" t="str">
        <f t="shared" si="21"/>
        <v/>
      </c>
      <c r="AT199" s="53" t="s">
        <v>148</v>
      </c>
      <c r="AU199" s="53" t="s">
        <v>1005</v>
      </c>
      <c r="AV199" s="53" t="s">
        <v>1006</v>
      </c>
      <c r="AW199" s="53" t="s">
        <v>1064</v>
      </c>
      <c r="AX199" s="53">
        <v>1</v>
      </c>
      <c r="AY199" s="83">
        <v>46088</v>
      </c>
      <c r="AZ199" s="53"/>
      <c r="BA199" s="53"/>
    </row>
    <row r="200" spans="3:53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19"/>
        <v>2</v>
      </c>
      <c r="M200" s="26">
        <f t="shared" si="1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67" t="e">
        <f>SUMIFS([2]Up!$J:$J,[2]Up!$D:$D,D200)</f>
        <v>#VALUE!</v>
      </c>
      <c r="AQ200" s="82"/>
      <c r="AR200" s="82" t="str">
        <f t="shared" si="20"/>
        <v>PL5</v>
      </c>
      <c r="AS200" s="53" t="str">
        <f t="shared" si="21"/>
        <v/>
      </c>
      <c r="AT200" s="53" t="s">
        <v>148</v>
      </c>
      <c r="AU200" s="53" t="s">
        <v>1108</v>
      </c>
      <c r="AV200" s="53" t="s">
        <v>957</v>
      </c>
      <c r="AW200" s="53" t="s">
        <v>1313</v>
      </c>
      <c r="AX200" s="53">
        <v>2</v>
      </c>
      <c r="AY200" s="83" t="s">
        <v>2223</v>
      </c>
      <c r="AZ200" s="53"/>
      <c r="BA200" s="53"/>
    </row>
    <row r="201" spans="3:53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19"/>
        <v>4</v>
      </c>
      <c r="M201" s="26">
        <f t="shared" si="13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67" t="e">
        <f>SUMIFS([2]Up!$J:$J,[2]Up!$D:$D,D201)</f>
        <v>#VALUE!</v>
      </c>
      <c r="AQ201" s="82"/>
      <c r="AR201" s="82" t="str">
        <f t="shared" si="20"/>
        <v>PL12</v>
      </c>
      <c r="AS201" s="53" t="str">
        <f t="shared" si="21"/>
        <v/>
      </c>
      <c r="AT201" s="53" t="s">
        <v>148</v>
      </c>
      <c r="AU201" s="53" t="s">
        <v>1021</v>
      </c>
      <c r="AV201" s="53" t="s">
        <v>1022</v>
      </c>
      <c r="AW201" s="53" t="s">
        <v>1023</v>
      </c>
      <c r="AX201" s="53">
        <v>4</v>
      </c>
      <c r="AY201" s="83">
        <v>46088</v>
      </c>
      <c r="AZ201" s="53"/>
      <c r="BA201" s="53"/>
    </row>
    <row r="202" spans="3:53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19"/>
        <v>2</v>
      </c>
      <c r="M202" s="26">
        <f t="shared" si="13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67" t="e">
        <f>SUMIFS([2]Up!$J:$J,[2]Up!$D:$D,D202)</f>
        <v>#VALUE!</v>
      </c>
      <c r="AQ202" s="82"/>
      <c r="AR202" s="82" t="str">
        <f t="shared" si="20"/>
        <v>PL12</v>
      </c>
      <c r="AS202" s="53" t="str">
        <f t="shared" si="21"/>
        <v/>
      </c>
      <c r="AT202" s="53" t="s">
        <v>148</v>
      </c>
      <c r="AU202" s="53" t="s">
        <v>1021</v>
      </c>
      <c r="AV202" s="53" t="s">
        <v>1022</v>
      </c>
      <c r="AW202" s="53" t="s">
        <v>1023</v>
      </c>
      <c r="AX202" s="53">
        <v>2</v>
      </c>
      <c r="AY202" s="83">
        <v>46088</v>
      </c>
      <c r="AZ202" s="53"/>
      <c r="BA202" s="53"/>
    </row>
    <row r="203" spans="3:53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19"/>
        <v>1</v>
      </c>
      <c r="M203" s="26">
        <f t="shared" si="13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67" t="e">
        <f>SUMIFS([2]Up!$J:$J,[2]Up!$D:$D,D203)</f>
        <v>#VALUE!</v>
      </c>
      <c r="AQ203" s="82"/>
      <c r="AR203" s="82" t="str">
        <f t="shared" si="20"/>
        <v>PL20</v>
      </c>
      <c r="AS203" s="53" t="str">
        <f t="shared" si="21"/>
        <v/>
      </c>
      <c r="AT203" s="53" t="s">
        <v>148</v>
      </c>
      <c r="AU203" s="53" t="s">
        <v>1100</v>
      </c>
      <c r="AV203" s="53" t="s">
        <v>1101</v>
      </c>
      <c r="AW203" s="53" t="s">
        <v>1318</v>
      </c>
      <c r="AX203" s="53">
        <v>1</v>
      </c>
      <c r="AY203" s="83">
        <v>46242</v>
      </c>
      <c r="AZ203" s="53"/>
      <c r="BA203" s="53"/>
    </row>
    <row r="204" spans="3:53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19"/>
        <v>2</v>
      </c>
      <c r="M204" s="26">
        <f t="shared" si="13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67" t="e">
        <f>SUMIFS([2]Up!$J:$J,[2]Up!$D:$D,D204)</f>
        <v>#VALUE!</v>
      </c>
      <c r="AQ204" s="82"/>
      <c r="AR204" s="82" t="str">
        <f t="shared" si="20"/>
        <v>PL12</v>
      </c>
      <c r="AS204" s="53" t="str">
        <f t="shared" si="21"/>
        <v/>
      </c>
      <c r="AT204" s="53" t="s">
        <v>148</v>
      </c>
      <c r="AU204" s="53" t="s">
        <v>1021</v>
      </c>
      <c r="AV204" s="53" t="s">
        <v>1022</v>
      </c>
      <c r="AW204" s="53" t="s">
        <v>1023</v>
      </c>
      <c r="AX204" s="53">
        <v>2</v>
      </c>
      <c r="AY204" s="83">
        <v>46088</v>
      </c>
      <c r="AZ204" s="53"/>
      <c r="BA204" s="53"/>
    </row>
    <row r="205" spans="3:53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19"/>
        <v>0</v>
      </c>
      <c r="M205" s="26">
        <f t="shared" si="13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67" t="e">
        <f>SUMIFS([2]Up!$J:$J,[2]Up!$D:$D,D205)</f>
        <v>#VALUE!</v>
      </c>
      <c r="AQ205" s="82"/>
      <c r="AR205" s="82" t="str">
        <f t="shared" si="20"/>
        <v>PL10</v>
      </c>
      <c r="AS205" s="53" t="str">
        <f t="shared" si="21"/>
        <v/>
      </c>
      <c r="AT205" s="53" t="s">
        <v>154</v>
      </c>
      <c r="AU205" s="53" t="s">
        <v>1005</v>
      </c>
      <c r="AV205" s="53" t="s">
        <v>1006</v>
      </c>
      <c r="AW205" s="53" t="s">
        <v>1064</v>
      </c>
      <c r="AX205" s="53">
        <v>2</v>
      </c>
      <c r="AY205" s="83">
        <v>46088</v>
      </c>
      <c r="AZ205" s="53"/>
      <c r="BA205" s="53"/>
    </row>
    <row r="206" spans="3:53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19"/>
        <v>1</v>
      </c>
      <c r="M206" s="26">
        <f t="shared" si="13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67" t="e">
        <f>SUMIFS([2]Up!$J:$J,[2]Up!$D:$D,D206)</f>
        <v>#VALUE!</v>
      </c>
      <c r="AQ206" s="82" t="s">
        <v>2071</v>
      </c>
      <c r="AR206" s="82" t="str">
        <f t="shared" si="20"/>
        <v>PL12</v>
      </c>
      <c r="AS206" s="53" t="str">
        <f t="shared" si="21"/>
        <v>Thừa 4</v>
      </c>
      <c r="AT206" s="53" t="s">
        <v>154</v>
      </c>
      <c r="AU206" s="53" t="s">
        <v>1021</v>
      </c>
      <c r="AV206" s="53" t="s">
        <v>1022</v>
      </c>
      <c r="AW206" s="53" t="s">
        <v>57</v>
      </c>
      <c r="AX206" s="53">
        <v>1</v>
      </c>
      <c r="AY206" s="83"/>
      <c r="AZ206" s="53"/>
      <c r="BA206" s="53"/>
    </row>
    <row r="207" spans="3:53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19"/>
        <v>2</v>
      </c>
      <c r="M207" s="26">
        <f t="shared" si="13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67" t="e">
        <f>SUMIFS([2]Up!$J:$J,[2]Up!$D:$D,D207)</f>
        <v>#VALUE!</v>
      </c>
      <c r="AQ207" s="82"/>
      <c r="AR207" s="82" t="str">
        <f t="shared" si="20"/>
        <v>PL12</v>
      </c>
      <c r="AS207" s="53" t="str">
        <f t="shared" si="21"/>
        <v/>
      </c>
      <c r="AT207" s="53" t="s">
        <v>148</v>
      </c>
      <c r="AU207" s="53" t="s">
        <v>1021</v>
      </c>
      <c r="AV207" s="53" t="s">
        <v>1022</v>
      </c>
      <c r="AW207" s="53" t="s">
        <v>1023</v>
      </c>
      <c r="AX207" s="53">
        <v>2</v>
      </c>
      <c r="AY207" s="83">
        <v>46088</v>
      </c>
      <c r="AZ207" s="53"/>
      <c r="BA207" s="53"/>
    </row>
    <row r="208" spans="3:53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19"/>
        <v>2</v>
      </c>
      <c r="M208" s="26">
        <f t="shared" si="13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67" t="e">
        <f>SUMIFS([2]Up!$J:$J,[2]Up!$D:$D,D208)</f>
        <v>#VALUE!</v>
      </c>
      <c r="AQ208" s="82"/>
      <c r="AR208" s="82" t="str">
        <f t="shared" si="20"/>
        <v>PL12</v>
      </c>
      <c r="AS208" s="53" t="str">
        <f t="shared" si="21"/>
        <v/>
      </c>
      <c r="AT208" s="53" t="s">
        <v>148</v>
      </c>
      <c r="AU208" s="53" t="s">
        <v>1021</v>
      </c>
      <c r="AV208" s="53" t="s">
        <v>1022</v>
      </c>
      <c r="AW208" s="53" t="s">
        <v>1023</v>
      </c>
      <c r="AX208" s="53">
        <v>2</v>
      </c>
      <c r="AY208" s="83">
        <v>46088</v>
      </c>
      <c r="AZ208" s="53"/>
      <c r="BA208" s="53"/>
    </row>
    <row r="209" spans="3:53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19"/>
        <v>2</v>
      </c>
      <c r="M209" s="26">
        <f t="shared" si="13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67" t="e">
        <f>SUMIFS([2]Up!$J:$J,[2]Up!$D:$D,D209)</f>
        <v>#VALUE!</v>
      </c>
      <c r="AQ209" s="82"/>
      <c r="AR209" s="82" t="str">
        <f t="shared" si="20"/>
        <v>PL15</v>
      </c>
      <c r="AS209" s="53" t="str">
        <f t="shared" si="21"/>
        <v/>
      </c>
      <c r="AT209" s="53" t="s">
        <v>148</v>
      </c>
      <c r="AU209" s="53" t="s">
        <v>1094</v>
      </c>
      <c r="AV209" s="53" t="s">
        <v>1095</v>
      </c>
      <c r="AW209" s="53" t="s">
        <v>1304</v>
      </c>
      <c r="AX209" s="53">
        <v>2</v>
      </c>
      <c r="AY209" s="83">
        <v>46088</v>
      </c>
      <c r="AZ209" s="53"/>
      <c r="BA209" s="53"/>
    </row>
    <row r="210" spans="3:53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19"/>
        <v>1</v>
      </c>
      <c r="M210" s="26">
        <f t="shared" si="13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67" t="e">
        <f>SUMIFS([2]Up!$J:$J,[2]Up!$D:$D,D210)</f>
        <v>#VALUE!</v>
      </c>
      <c r="AQ210" s="82"/>
      <c r="AR210" s="82" t="str">
        <f t="shared" si="20"/>
        <v>PL15</v>
      </c>
      <c r="AS210" s="53" t="str">
        <f t="shared" si="21"/>
        <v/>
      </c>
      <c r="AT210" s="53" t="s">
        <v>148</v>
      </c>
      <c r="AU210" s="53" t="s">
        <v>1094</v>
      </c>
      <c r="AV210" s="53" t="s">
        <v>1095</v>
      </c>
      <c r="AW210" s="53" t="s">
        <v>1304</v>
      </c>
      <c r="AX210" s="53">
        <v>1</v>
      </c>
      <c r="AY210" s="83">
        <v>46088</v>
      </c>
      <c r="AZ210" s="53"/>
      <c r="BA210" s="53"/>
    </row>
    <row r="211" spans="3:53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19"/>
        <v>4</v>
      </c>
      <c r="M211" s="26">
        <f t="shared" si="13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67" t="e">
        <f>SUMIFS([2]Up!$J:$J,[2]Up!$D:$D,D211)</f>
        <v>#VALUE!</v>
      </c>
      <c r="AQ211" s="82"/>
      <c r="AR211" s="82" t="str">
        <f t="shared" si="20"/>
        <v>PL12</v>
      </c>
      <c r="AS211" s="53" t="str">
        <f t="shared" si="21"/>
        <v/>
      </c>
      <c r="AT211" s="53" t="s">
        <v>148</v>
      </c>
      <c r="AU211" s="53" t="s">
        <v>1021</v>
      </c>
      <c r="AV211" s="53" t="s">
        <v>1022</v>
      </c>
      <c r="AW211" s="53" t="s">
        <v>1023</v>
      </c>
      <c r="AX211" s="53">
        <v>4</v>
      </c>
      <c r="AY211" s="83">
        <v>46088</v>
      </c>
      <c r="AZ211" s="53"/>
      <c r="BA211" s="53"/>
    </row>
    <row r="212" spans="3:53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19"/>
        <v>1</v>
      </c>
      <c r="M212" s="26">
        <f t="shared" si="13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67" t="e">
        <f>SUMIFS([2]Up!$J:$J,[2]Up!$D:$D,D212)</f>
        <v>#VALUE!</v>
      </c>
      <c r="AQ212" s="82" t="s">
        <v>2071</v>
      </c>
      <c r="AR212" s="82" t="str">
        <f t="shared" si="20"/>
        <v>PL12</v>
      </c>
      <c r="AS212" s="53" t="str">
        <f t="shared" si="21"/>
        <v>Thừa 4</v>
      </c>
      <c r="AT212" s="53" t="s">
        <v>154</v>
      </c>
      <c r="AU212" s="53" t="s">
        <v>1021</v>
      </c>
      <c r="AV212" s="53" t="s">
        <v>1022</v>
      </c>
      <c r="AW212" s="53" t="s">
        <v>57</v>
      </c>
      <c r="AX212" s="53">
        <v>1</v>
      </c>
      <c r="AY212" s="83"/>
      <c r="AZ212" s="53"/>
      <c r="BA212" s="53"/>
    </row>
    <row r="213" spans="3:53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19"/>
        <v>2</v>
      </c>
      <c r="M213" s="26">
        <f t="shared" si="13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67" t="e">
        <f>SUMIFS([2]Up!$J:$J,[2]Up!$D:$D,D213)</f>
        <v>#VALUE!</v>
      </c>
      <c r="AQ213" s="82"/>
      <c r="AR213" s="82" t="str">
        <f t="shared" si="20"/>
        <v>PL15</v>
      </c>
      <c r="AS213" s="53" t="str">
        <f t="shared" si="21"/>
        <v/>
      </c>
      <c r="AT213" s="53" t="s">
        <v>148</v>
      </c>
      <c r="AU213" s="53" t="s">
        <v>1094</v>
      </c>
      <c r="AV213" s="53" t="s">
        <v>1095</v>
      </c>
      <c r="AW213" s="53" t="s">
        <v>1304</v>
      </c>
      <c r="AX213" s="53">
        <v>2</v>
      </c>
      <c r="AY213" s="83">
        <v>46088</v>
      </c>
      <c r="AZ213" s="53"/>
      <c r="BA213" s="53"/>
    </row>
    <row r="214" spans="3:53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19"/>
        <v>2</v>
      </c>
      <c r="M214" s="26">
        <f t="shared" si="13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67" t="e">
        <f>SUMIFS([2]Up!$J:$J,[2]Up!$D:$D,D214)</f>
        <v>#VALUE!</v>
      </c>
      <c r="AQ214" s="82"/>
      <c r="AR214" s="82" t="str">
        <f t="shared" si="20"/>
        <v>PL20</v>
      </c>
      <c r="AS214" s="53" t="str">
        <f t="shared" si="21"/>
        <v/>
      </c>
      <c r="AT214" s="53" t="s">
        <v>148</v>
      </c>
      <c r="AU214" s="53" t="s">
        <v>1100</v>
      </c>
      <c r="AV214" s="53" t="s">
        <v>1101</v>
      </c>
      <c r="AW214" s="53" t="s">
        <v>1308</v>
      </c>
      <c r="AX214" s="53">
        <v>2</v>
      </c>
      <c r="AY214" s="83">
        <v>46242</v>
      </c>
      <c r="AZ214" s="53"/>
      <c r="BA214" s="53"/>
    </row>
    <row r="215" spans="3:53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19"/>
        <v>1</v>
      </c>
      <c r="M215" s="26">
        <f t="shared" si="13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67" t="e">
        <f>SUMIFS([2]Up!$J:$J,[2]Up!$D:$D,D215)</f>
        <v>#VALUE!</v>
      </c>
      <c r="AQ215" s="82"/>
      <c r="AR215" s="82" t="str">
        <f t="shared" si="20"/>
        <v>PL20</v>
      </c>
      <c r="AS215" s="53" t="str">
        <f t="shared" si="21"/>
        <v/>
      </c>
      <c r="AT215" s="53" t="s">
        <v>148</v>
      </c>
      <c r="AU215" s="53" t="s">
        <v>1100</v>
      </c>
      <c r="AV215" s="53" t="s">
        <v>1101</v>
      </c>
      <c r="AW215" s="53" t="s">
        <v>1318</v>
      </c>
      <c r="AX215" s="53">
        <v>1</v>
      </c>
      <c r="AY215" s="83">
        <v>46242</v>
      </c>
      <c r="AZ215" s="53"/>
      <c r="BA215" s="53"/>
    </row>
    <row r="216" spans="3:53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19"/>
        <v>5</v>
      </c>
      <c r="M216" s="26">
        <f t="shared" si="13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67" t="e">
        <f>SUMIFS([2]Up!$J:$J,[2]Up!$D:$D,D216)</f>
        <v>#VALUE!</v>
      </c>
      <c r="AQ216" s="82"/>
      <c r="AR216" s="82" t="str">
        <f t="shared" si="20"/>
        <v/>
      </c>
      <c r="AS216" s="53" t="str">
        <f t="shared" si="21"/>
        <v/>
      </c>
      <c r="AT216" s="53" t="s">
        <v>154</v>
      </c>
      <c r="AU216" s="53" t="s">
        <v>1082</v>
      </c>
      <c r="AV216" s="53" t="s">
        <v>1081</v>
      </c>
      <c r="AW216" s="53" t="s">
        <v>1292</v>
      </c>
      <c r="AX216" s="53">
        <v>5</v>
      </c>
      <c r="AY216" s="83">
        <v>46362</v>
      </c>
      <c r="AZ216" s="53"/>
      <c r="BA216" s="53"/>
    </row>
    <row r="217" spans="3:53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19"/>
        <v>1</v>
      </c>
      <c r="M217" s="26">
        <f t="shared" si="13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67" t="e">
        <f>SUMIFS([2]Up!$J:$J,[2]Up!$D:$D,D217)</f>
        <v>#VALUE!</v>
      </c>
      <c r="AQ217" s="82"/>
      <c r="AR217" s="82" t="str">
        <f t="shared" si="20"/>
        <v/>
      </c>
      <c r="AS217" s="53" t="str">
        <f t="shared" si="21"/>
        <v/>
      </c>
      <c r="AT217" s="53" t="s">
        <v>154</v>
      </c>
      <c r="AU217" s="53"/>
      <c r="AV217" s="53" t="s">
        <v>1129</v>
      </c>
      <c r="AW217" s="53" t="s">
        <v>1339</v>
      </c>
      <c r="AX217" s="53">
        <v>1</v>
      </c>
      <c r="AY217" s="83" t="s">
        <v>2224</v>
      </c>
      <c r="AZ217" s="53"/>
      <c r="BA217" s="53"/>
    </row>
    <row r="218" spans="3:53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19"/>
        <v>1</v>
      </c>
      <c r="M218" s="26">
        <f t="shared" si="13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67" t="e">
        <f>SUMIFS([2]Up!$J:$J,[2]Up!$D:$D,D218)</f>
        <v>#VALUE!</v>
      </c>
      <c r="AQ218" s="82" t="s">
        <v>2085</v>
      </c>
      <c r="AR218" s="82" t="str">
        <f t="shared" si="20"/>
        <v>PL12</v>
      </c>
      <c r="AS218" s="53" t="str">
        <f t="shared" si="21"/>
        <v>Thừa 4</v>
      </c>
      <c r="AT218" s="53" t="s">
        <v>154</v>
      </c>
      <c r="AU218" s="53" t="s">
        <v>1021</v>
      </c>
      <c r="AV218" s="53" t="s">
        <v>1022</v>
      </c>
      <c r="AW218" s="53" t="s">
        <v>57</v>
      </c>
      <c r="AX218" s="53">
        <v>1</v>
      </c>
      <c r="AY218" s="83"/>
      <c r="AZ218" s="53"/>
      <c r="BA218" s="53"/>
    </row>
    <row r="219" spans="3:53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19"/>
        <v>1</v>
      </c>
      <c r="M219" s="26">
        <f t="shared" si="13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67" t="e">
        <f>SUMIFS([2]Up!$J:$J,[2]Up!$D:$D,D219)</f>
        <v>#VALUE!</v>
      </c>
      <c r="AQ219" s="82"/>
      <c r="AR219" s="82" t="str">
        <f t="shared" si="20"/>
        <v>PL20</v>
      </c>
      <c r="AS219" s="53" t="str">
        <f t="shared" si="21"/>
        <v/>
      </c>
      <c r="AT219" s="53" t="s">
        <v>148</v>
      </c>
      <c r="AU219" s="53" t="s">
        <v>1100</v>
      </c>
      <c r="AV219" s="53" t="s">
        <v>1101</v>
      </c>
      <c r="AW219" s="53" t="s">
        <v>1318</v>
      </c>
      <c r="AX219" s="53">
        <v>1</v>
      </c>
      <c r="AY219" s="83">
        <v>46242</v>
      </c>
      <c r="AZ219" s="53"/>
      <c r="BA219" s="53"/>
    </row>
    <row r="220" spans="3:53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19"/>
        <v>4</v>
      </c>
      <c r="M220" s="26">
        <f t="shared" si="13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67" t="e">
        <f>SUMIFS([2]Up!$J:$J,[2]Up!$D:$D,D220)</f>
        <v>#VALUE!</v>
      </c>
      <c r="AQ220" s="82"/>
      <c r="AR220" s="82" t="str">
        <f t="shared" si="20"/>
        <v>PL12</v>
      </c>
      <c r="AS220" s="53" t="str">
        <f t="shared" si="21"/>
        <v/>
      </c>
      <c r="AT220" s="53" t="s">
        <v>148</v>
      </c>
      <c r="AU220" s="53" t="s">
        <v>1021</v>
      </c>
      <c r="AV220" s="53" t="s">
        <v>1022</v>
      </c>
      <c r="AW220" s="53" t="s">
        <v>1023</v>
      </c>
      <c r="AX220" s="53">
        <v>4</v>
      </c>
      <c r="AY220" s="83">
        <v>46088</v>
      </c>
      <c r="AZ220" s="53"/>
      <c r="BA220" s="53"/>
    </row>
    <row r="221" spans="3:53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19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67" t="e">
        <f>SUMIFS([2]Up!$J:$J,[2]Up!$D:$D,D221)</f>
        <v>#VALUE!</v>
      </c>
      <c r="AQ221" s="82"/>
      <c r="AR221" s="82" t="str">
        <f t="shared" si="20"/>
        <v>PL10</v>
      </c>
      <c r="AS221" s="53" t="str">
        <f t="shared" si="21"/>
        <v/>
      </c>
      <c r="AT221" s="53" t="s">
        <v>154</v>
      </c>
      <c r="AU221" s="53" t="s">
        <v>1005</v>
      </c>
      <c r="AV221" s="53" t="s">
        <v>1006</v>
      </c>
      <c r="AW221" s="53" t="s">
        <v>1345</v>
      </c>
      <c r="AX221" s="53">
        <v>1</v>
      </c>
      <c r="AY221" s="83" t="s">
        <v>2224</v>
      </c>
      <c r="AZ221" s="53"/>
      <c r="BA221" s="53"/>
    </row>
    <row r="222" spans="3:53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2">MIN(SUM(N222:AO222),I222)</f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67" t="e">
        <f>SUMIFS([2]Up!$J:$J,[2]Up!$D:$D,D222)</f>
        <v>#VALUE!</v>
      </c>
      <c r="AQ222" s="82"/>
      <c r="AR222" s="82" t="str">
        <f t="shared" ref="AR222:AR285" si="23">IFERROR(IF(C222="Plate",LEFT(E222,FIND("*",E222,1)-1),""),IF(C222="Plate",LEFT(E222,FIND("x",E222,1)-1),""))</f>
        <v>PL10</v>
      </c>
      <c r="AS222" s="53" t="str">
        <f t="shared" ref="AS222:AS285" si="24">IF(ROUND(SUM(N222:AO222)-I222,0)&gt;0,"Thừa "&amp;SUM(N222:AO222)-I222,"")</f>
        <v/>
      </c>
      <c r="AT222" s="53" t="s">
        <v>154</v>
      </c>
      <c r="AU222" s="53" t="s">
        <v>1005</v>
      </c>
      <c r="AV222" s="53" t="s">
        <v>1006</v>
      </c>
      <c r="AW222" s="53" t="s">
        <v>1345</v>
      </c>
      <c r="AX222" s="53">
        <v>1</v>
      </c>
      <c r="AY222" s="83" t="s">
        <v>2224</v>
      </c>
      <c r="AZ222" s="53"/>
      <c r="BA222" s="53"/>
    </row>
    <row r="223" spans="3:53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67" t="e">
        <f>SUMIFS([2]Up!$J:$J,[2]Up!$D:$D,D223)</f>
        <v>#VALUE!</v>
      </c>
      <c r="AQ223" s="82"/>
      <c r="AR223" s="82" t="str">
        <f t="shared" si="23"/>
        <v>PL10</v>
      </c>
      <c r="AS223" s="53" t="str">
        <f t="shared" si="24"/>
        <v/>
      </c>
      <c r="AT223" s="53" t="s">
        <v>154</v>
      </c>
      <c r="AU223" s="53" t="s">
        <v>1005</v>
      </c>
      <c r="AV223" s="53" t="s">
        <v>1006</v>
      </c>
      <c r="AW223" s="53" t="s">
        <v>1064</v>
      </c>
      <c r="AX223" s="53">
        <v>1</v>
      </c>
      <c r="AY223" s="83">
        <v>46088</v>
      </c>
      <c r="AZ223" s="53"/>
      <c r="BA223" s="53"/>
    </row>
    <row r="224" spans="3:53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2"/>
        <v>2</v>
      </c>
      <c r="M224" s="26">
        <f t="shared" si="13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67" t="e">
        <f>SUMIFS([2]Up!$J:$J,[2]Up!$D:$D,D224)</f>
        <v>#VALUE!</v>
      </c>
      <c r="AQ224" s="82"/>
      <c r="AR224" s="82" t="str">
        <f t="shared" si="23"/>
        <v>PL10</v>
      </c>
      <c r="AS224" s="53" t="str">
        <f t="shared" si="24"/>
        <v/>
      </c>
      <c r="AT224" s="53" t="s">
        <v>148</v>
      </c>
      <c r="AU224" s="53" t="s">
        <v>1005</v>
      </c>
      <c r="AV224" s="53" t="s">
        <v>1006</v>
      </c>
      <c r="AW224" s="53" t="s">
        <v>1064</v>
      </c>
      <c r="AX224" s="53">
        <v>2</v>
      </c>
      <c r="AY224" s="83">
        <v>46088</v>
      </c>
      <c r="AZ224" s="53"/>
      <c r="BA224" s="53"/>
    </row>
    <row r="225" spans="3:54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2"/>
        <v>1</v>
      </c>
      <c r="M225" s="26">
        <f t="shared" si="13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67" t="e">
        <f>SUMIFS([2]Up!$J:$J,[2]Up!$D:$D,D225)</f>
        <v>#VALUE!</v>
      </c>
      <c r="AQ225" s="82"/>
      <c r="AR225" s="82" t="str">
        <f t="shared" si="23"/>
        <v>PL10</v>
      </c>
      <c r="AS225" s="53" t="str">
        <f t="shared" si="24"/>
        <v/>
      </c>
      <c r="AT225" s="53" t="s">
        <v>148</v>
      </c>
      <c r="AU225" s="53" t="s">
        <v>1005</v>
      </c>
      <c r="AV225" s="53" t="s">
        <v>1006</v>
      </c>
      <c r="AW225" s="53" t="s">
        <v>1064</v>
      </c>
      <c r="AX225" s="53">
        <v>1</v>
      </c>
      <c r="AY225" s="83">
        <v>46088</v>
      </c>
      <c r="AZ225" s="53"/>
      <c r="BA225" s="53"/>
    </row>
    <row r="226" spans="3:54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2"/>
        <v>1</v>
      </c>
      <c r="M226" s="26">
        <f t="shared" si="13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67" t="e">
        <f>SUMIFS([2]Up!$J:$J,[2]Up!$D:$D,D226)</f>
        <v>#VALUE!</v>
      </c>
      <c r="AQ226" s="82"/>
      <c r="AR226" s="82" t="str">
        <f t="shared" si="23"/>
        <v>PL15</v>
      </c>
      <c r="AS226" s="53" t="str">
        <f t="shared" si="24"/>
        <v/>
      </c>
      <c r="AT226" s="53" t="s">
        <v>148</v>
      </c>
      <c r="AU226" s="53" t="s">
        <v>1094</v>
      </c>
      <c r="AV226" s="53" t="s">
        <v>1095</v>
      </c>
      <c r="AW226" s="53" t="s">
        <v>1304</v>
      </c>
      <c r="AX226" s="53">
        <v>1</v>
      </c>
      <c r="AY226" s="83">
        <v>46088</v>
      </c>
      <c r="AZ226" s="53"/>
      <c r="BA226" s="53"/>
    </row>
    <row r="227" spans="3:54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2"/>
        <v>1</v>
      </c>
      <c r="M227" s="26">
        <f t="shared" si="13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67" t="e">
        <f>SUMIFS([2]Up!$J:$J,[2]Up!$D:$D,D227)</f>
        <v>#VALUE!</v>
      </c>
      <c r="AQ227" s="82"/>
      <c r="AR227" s="82" t="str">
        <f t="shared" si="23"/>
        <v>PL15</v>
      </c>
      <c r="AS227" s="53" t="str">
        <f t="shared" si="24"/>
        <v/>
      </c>
      <c r="AT227" s="53" t="s">
        <v>148</v>
      </c>
      <c r="AU227" s="53" t="s">
        <v>1094</v>
      </c>
      <c r="AV227" s="53" t="s">
        <v>1095</v>
      </c>
      <c r="AW227" s="53" t="s">
        <v>1304</v>
      </c>
      <c r="AX227" s="53">
        <v>1</v>
      </c>
      <c r="AY227" s="83">
        <v>46088</v>
      </c>
      <c r="AZ227" s="53"/>
      <c r="BA227" s="53"/>
    </row>
    <row r="228" spans="3:54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2"/>
        <v>1</v>
      </c>
      <c r="M228" s="26">
        <f t="shared" si="13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67" t="e">
        <f>SUMIFS([2]Up!$J:$J,[2]Up!$D:$D,D228)</f>
        <v>#VALUE!</v>
      </c>
      <c r="AQ228" s="82"/>
      <c r="AR228" s="82" t="str">
        <f t="shared" si="23"/>
        <v>PL10</v>
      </c>
      <c r="AS228" s="53" t="str">
        <f t="shared" si="24"/>
        <v/>
      </c>
      <c r="AT228" s="53" t="s">
        <v>154</v>
      </c>
      <c r="AU228" s="53" t="s">
        <v>1005</v>
      </c>
      <c r="AV228" s="53" t="s">
        <v>1006</v>
      </c>
      <c r="AW228" s="53" t="s">
        <v>1064</v>
      </c>
      <c r="AX228" s="53">
        <v>1</v>
      </c>
      <c r="AY228" s="83">
        <v>46088</v>
      </c>
      <c r="AZ228" s="53"/>
      <c r="BA228" s="53"/>
    </row>
    <row r="229" spans="3:54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2"/>
        <v>0</v>
      </c>
      <c r="M229" s="26">
        <f t="shared" si="13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67" t="e">
        <f>SUMIFS([2]Up!$J:$J,[2]Up!$D:$D,D229)</f>
        <v>#VALUE!</v>
      </c>
      <c r="AQ229" s="82"/>
      <c r="AR229" s="82" t="str">
        <f t="shared" si="23"/>
        <v/>
      </c>
      <c r="AS229" s="53" t="str">
        <f t="shared" si="24"/>
        <v/>
      </c>
      <c r="AT229" s="53" t="s">
        <v>148</v>
      </c>
      <c r="AU229" s="53" t="s">
        <v>1079</v>
      </c>
      <c r="AV229" s="53" t="s">
        <v>1076</v>
      </c>
      <c r="AW229" s="84" t="s">
        <v>2162</v>
      </c>
      <c r="AX229" s="53">
        <v>16</v>
      </c>
      <c r="AY229" s="83" t="s">
        <v>2225</v>
      </c>
      <c r="AZ229" s="53"/>
      <c r="BA229" s="53"/>
      <c r="BB229" s="238"/>
    </row>
    <row r="230" spans="3:54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2"/>
        <v>0</v>
      </c>
      <c r="M230" s="26">
        <f t="shared" si="13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67" t="e">
        <f>SUMIFS([2]Up!$J:$J,[2]Up!$D:$D,D230)</f>
        <v>#VALUE!</v>
      </c>
      <c r="AQ230" s="82"/>
      <c r="AR230" s="82" t="str">
        <f t="shared" si="23"/>
        <v/>
      </c>
      <c r="AS230" s="53" t="str">
        <f t="shared" si="24"/>
        <v/>
      </c>
      <c r="AT230" s="53" t="s">
        <v>154</v>
      </c>
      <c r="AU230" s="53" t="s">
        <v>1082</v>
      </c>
      <c r="AV230" s="53" t="s">
        <v>1081</v>
      </c>
      <c r="AW230" s="84" t="s">
        <v>2163</v>
      </c>
      <c r="AX230" s="53">
        <v>8</v>
      </c>
      <c r="AY230" s="83" t="s">
        <v>2225</v>
      </c>
      <c r="AZ230" s="53"/>
      <c r="BA230" s="53"/>
      <c r="BB230" s="238"/>
    </row>
    <row r="231" spans="3:54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2"/>
        <v>0</v>
      </c>
      <c r="M231" s="26">
        <f t="shared" si="13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67" t="e">
        <f>SUMIFS([2]Up!$J:$J,[2]Up!$D:$D,D231)</f>
        <v>#VALUE!</v>
      </c>
      <c r="AQ231" s="82"/>
      <c r="AR231" s="82" t="str">
        <f t="shared" si="23"/>
        <v>PL12</v>
      </c>
      <c r="AS231" s="53" t="str">
        <f t="shared" si="24"/>
        <v/>
      </c>
      <c r="AT231" s="53" t="s">
        <v>154</v>
      </c>
      <c r="AU231" s="53" t="s">
        <v>1021</v>
      </c>
      <c r="AV231" s="53" t="s">
        <v>1022</v>
      </c>
      <c r="AW231" s="53" t="s">
        <v>57</v>
      </c>
      <c r="AX231" s="53">
        <v>4</v>
      </c>
      <c r="AY231" s="83"/>
      <c r="AZ231" s="53"/>
      <c r="BA231" s="53"/>
    </row>
    <row r="232" spans="3:54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2"/>
        <v>0</v>
      </c>
      <c r="M232" s="26">
        <f t="shared" si="13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67" t="e">
        <f>SUMIFS([2]Up!$J:$J,[2]Up!$D:$D,D232)</f>
        <v>#VALUE!</v>
      </c>
      <c r="AQ232" s="82"/>
      <c r="AR232" s="82" t="str">
        <f t="shared" si="23"/>
        <v>PL10</v>
      </c>
      <c r="AS232" s="53" t="str">
        <f t="shared" si="24"/>
        <v/>
      </c>
      <c r="AT232" s="53" t="s">
        <v>148</v>
      </c>
      <c r="AU232" s="53" t="s">
        <v>1005</v>
      </c>
      <c r="AV232" s="53" t="s">
        <v>1006</v>
      </c>
      <c r="AW232" s="84" t="s">
        <v>2157</v>
      </c>
      <c r="AX232" s="53">
        <v>8</v>
      </c>
      <c r="AY232" s="83">
        <v>46302</v>
      </c>
      <c r="AZ232" s="53"/>
      <c r="BA232" s="53"/>
      <c r="BB232" s="238"/>
    </row>
    <row r="233" spans="3:54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2"/>
        <v>0</v>
      </c>
      <c r="M233" s="26">
        <f t="shared" si="13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67" t="e">
        <f>SUMIFS([2]Up!$J:$J,[2]Up!$D:$D,D233)</f>
        <v>#VALUE!</v>
      </c>
      <c r="AQ233" s="82"/>
      <c r="AR233" s="82" t="str">
        <f t="shared" si="23"/>
        <v>PL12</v>
      </c>
      <c r="AS233" s="53" t="str">
        <f t="shared" si="24"/>
        <v/>
      </c>
      <c r="AT233" s="53" t="s">
        <v>148</v>
      </c>
      <c r="AU233" s="53" t="s">
        <v>1021</v>
      </c>
      <c r="AV233" s="53" t="s">
        <v>1022</v>
      </c>
      <c r="AW233" s="84" t="s">
        <v>2160</v>
      </c>
      <c r="AX233" s="53">
        <v>16</v>
      </c>
      <c r="AY233" s="83">
        <v>46302</v>
      </c>
      <c r="AZ233" s="53"/>
      <c r="BA233" s="53"/>
      <c r="BB233" s="238"/>
    </row>
    <row r="234" spans="3:54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2"/>
        <v>0</v>
      </c>
      <c r="M234" s="26">
        <f t="shared" si="13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67" t="e">
        <f>SUMIFS([2]Up!$J:$J,[2]Up!$D:$D,D234)</f>
        <v>#VALUE!</v>
      </c>
      <c r="AQ234" s="82"/>
      <c r="AR234" s="82" t="str">
        <f t="shared" si="23"/>
        <v>PL12</v>
      </c>
      <c r="AS234" s="53" t="str">
        <f t="shared" si="24"/>
        <v/>
      </c>
      <c r="AT234" s="53" t="s">
        <v>148</v>
      </c>
      <c r="AU234" s="53" t="s">
        <v>1021</v>
      </c>
      <c r="AV234" s="53" t="s">
        <v>1022</v>
      </c>
      <c r="AW234" s="84" t="s">
        <v>2160</v>
      </c>
      <c r="AX234" s="53">
        <v>16</v>
      </c>
      <c r="AY234" s="83">
        <v>46302</v>
      </c>
      <c r="AZ234" s="53"/>
      <c r="BA234" s="53"/>
      <c r="BB234" s="238"/>
    </row>
    <row r="235" spans="3:54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2"/>
        <v>0</v>
      </c>
      <c r="M235" s="26">
        <f t="shared" si="13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67" t="e">
        <f>SUMIFS([2]Up!$J:$J,[2]Up!$D:$D,D235)</f>
        <v>#VALUE!</v>
      </c>
      <c r="AQ235" s="82"/>
      <c r="AR235" s="82" t="str">
        <f t="shared" si="23"/>
        <v>PL16</v>
      </c>
      <c r="AS235" s="53" t="str">
        <f t="shared" si="24"/>
        <v/>
      </c>
      <c r="AT235" s="53" t="s">
        <v>148</v>
      </c>
      <c r="AU235" s="53" t="s">
        <v>988</v>
      </c>
      <c r="AV235" s="53" t="s">
        <v>989</v>
      </c>
      <c r="AW235" s="84" t="s">
        <v>2161</v>
      </c>
      <c r="AX235" s="53">
        <v>32</v>
      </c>
      <c r="AY235" s="83" t="s">
        <v>2226</v>
      </c>
      <c r="AZ235" s="53"/>
      <c r="BA235" s="53"/>
      <c r="BB235" s="238"/>
    </row>
    <row r="236" spans="3:54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67" t="e">
        <f>SUMIFS([2]Up!$J:$J,[2]Up!$D:$D,D236)</f>
        <v>#VALUE!</v>
      </c>
      <c r="AQ236" s="82"/>
      <c r="AR236" s="82" t="str">
        <f t="shared" si="23"/>
        <v>PL15</v>
      </c>
      <c r="AS236" s="53" t="str">
        <f t="shared" si="24"/>
        <v/>
      </c>
      <c r="AT236" s="53" t="s">
        <v>148</v>
      </c>
      <c r="AU236" s="53" t="s">
        <v>1094</v>
      </c>
      <c r="AV236" s="53" t="s">
        <v>1095</v>
      </c>
      <c r="AW236" s="84" t="s">
        <v>2156</v>
      </c>
      <c r="AX236" s="53">
        <v>8</v>
      </c>
      <c r="AY236" s="83" t="s">
        <v>2225</v>
      </c>
      <c r="AZ236" s="53"/>
      <c r="BA236" s="53"/>
      <c r="BB236" s="238"/>
    </row>
    <row r="237" spans="3:54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67" t="e">
        <f>SUMIFS([2]Up!$J:$J,[2]Up!$D:$D,D237)</f>
        <v>#VALUE!</v>
      </c>
      <c r="AQ237" s="82"/>
      <c r="AR237" s="82" t="str">
        <f t="shared" si="23"/>
        <v>PL10</v>
      </c>
      <c r="AS237" s="53" t="str">
        <f t="shared" si="24"/>
        <v/>
      </c>
      <c r="AT237" s="53" t="s">
        <v>154</v>
      </c>
      <c r="AU237" s="53" t="s">
        <v>1005</v>
      </c>
      <c r="AV237" s="53" t="s">
        <v>1006</v>
      </c>
      <c r="AW237" s="84" t="s">
        <v>2157</v>
      </c>
      <c r="AX237" s="53">
        <v>4</v>
      </c>
      <c r="AY237" s="83">
        <v>46302</v>
      </c>
      <c r="AZ237" s="53"/>
      <c r="BA237" s="53"/>
      <c r="BB237" s="238"/>
    </row>
    <row r="238" spans="3:54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67" t="e">
        <f>SUMIFS([2]Up!$J:$J,[2]Up!$D:$D,D238)</f>
        <v>#VALUE!</v>
      </c>
      <c r="AQ238" s="82"/>
      <c r="AR238" s="82" t="str">
        <f t="shared" si="23"/>
        <v>PL20</v>
      </c>
      <c r="AS238" s="53" t="str">
        <f t="shared" si="24"/>
        <v/>
      </c>
      <c r="AT238" s="53" t="s">
        <v>148</v>
      </c>
      <c r="AU238" s="53" t="s">
        <v>1100</v>
      </c>
      <c r="AV238" s="53" t="s">
        <v>1101</v>
      </c>
      <c r="AW238" s="84" t="s">
        <v>2158</v>
      </c>
      <c r="AX238" s="53">
        <v>4</v>
      </c>
      <c r="AY238" s="83">
        <v>46242</v>
      </c>
      <c r="AZ238" s="53"/>
      <c r="BA238" s="53"/>
      <c r="BB238" s="238"/>
    </row>
    <row r="239" spans="3:54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67" t="e">
        <f>SUMIFS([2]Up!$J:$J,[2]Up!$D:$D,D239)</f>
        <v>#VALUE!</v>
      </c>
      <c r="AQ239" s="82"/>
      <c r="AR239" s="82" t="str">
        <f t="shared" si="23"/>
        <v>PL20</v>
      </c>
      <c r="AS239" s="53" t="str">
        <f t="shared" si="24"/>
        <v/>
      </c>
      <c r="AT239" s="53" t="s">
        <v>148</v>
      </c>
      <c r="AU239" s="53" t="s">
        <v>1100</v>
      </c>
      <c r="AV239" s="53" t="s">
        <v>1101</v>
      </c>
      <c r="AW239" s="84" t="s">
        <v>2158</v>
      </c>
      <c r="AX239" s="53">
        <v>4</v>
      </c>
      <c r="AY239" s="83">
        <v>46242</v>
      </c>
      <c r="AZ239" s="53"/>
      <c r="BA239" s="53"/>
      <c r="BB239" s="238"/>
    </row>
    <row r="240" spans="3:54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67" t="e">
        <f>SUMIFS([2]Up!$J:$J,[2]Up!$D:$D,D240)</f>
        <v>#VALUE!</v>
      </c>
      <c r="AQ240" s="82"/>
      <c r="AR240" s="82" t="str">
        <f t="shared" si="23"/>
        <v>PL10</v>
      </c>
      <c r="AS240" s="53" t="str">
        <f t="shared" si="24"/>
        <v/>
      </c>
      <c r="AT240" s="53" t="s">
        <v>148</v>
      </c>
      <c r="AU240" s="53" t="s">
        <v>1005</v>
      </c>
      <c r="AV240" s="53" t="s">
        <v>1006</v>
      </c>
      <c r="AW240" s="84" t="s">
        <v>2157</v>
      </c>
      <c r="AX240" s="53">
        <v>4</v>
      </c>
      <c r="AY240" s="83">
        <v>46302</v>
      </c>
      <c r="AZ240" s="53"/>
      <c r="BA240" s="53"/>
      <c r="BB240" s="238"/>
    </row>
    <row r="241" spans="3:54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2"/>
        <v>0</v>
      </c>
      <c r="M241" s="26">
        <f t="shared" si="13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67" t="e">
        <f>SUMIFS([2]Up!$J:$J,[2]Up!$D:$D,D241)</f>
        <v>#VALUE!</v>
      </c>
      <c r="AQ241" s="82"/>
      <c r="AR241" s="82" t="str">
        <f t="shared" si="23"/>
        <v>PL5</v>
      </c>
      <c r="AS241" s="53" t="str">
        <f t="shared" si="24"/>
        <v/>
      </c>
      <c r="AT241" s="53" t="s">
        <v>148</v>
      </c>
      <c r="AU241" s="53" t="s">
        <v>1108</v>
      </c>
      <c r="AV241" s="53" t="s">
        <v>957</v>
      </c>
      <c r="AW241" s="84" t="s">
        <v>2159</v>
      </c>
      <c r="AX241" s="53">
        <v>8</v>
      </c>
      <c r="AY241" s="83">
        <v>46302</v>
      </c>
      <c r="AZ241" s="53"/>
      <c r="BA241" s="53"/>
      <c r="BB241" s="238"/>
    </row>
    <row r="242" spans="3:54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2"/>
        <v>0</v>
      </c>
      <c r="M242" s="26">
        <f t="shared" si="13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67" t="e">
        <f>SUMIFS([2]Up!$J:$J,[2]Up!$D:$D,D242)</f>
        <v>#VALUE!</v>
      </c>
      <c r="AQ242" s="82"/>
      <c r="AR242" s="82" t="str">
        <f t="shared" si="23"/>
        <v>PL12</v>
      </c>
      <c r="AS242" s="53" t="str">
        <f t="shared" si="24"/>
        <v/>
      </c>
      <c r="AT242" s="53" t="s">
        <v>148</v>
      </c>
      <c r="AU242" s="53" t="s">
        <v>1021</v>
      </c>
      <c r="AV242" s="53" t="s">
        <v>1022</v>
      </c>
      <c r="AW242" s="84" t="s">
        <v>2160</v>
      </c>
      <c r="AX242" s="53">
        <v>16</v>
      </c>
      <c r="AY242" s="83">
        <v>46302</v>
      </c>
      <c r="AZ242" s="53"/>
      <c r="BA242" s="53"/>
      <c r="BB242" s="238"/>
    </row>
    <row r="243" spans="3:54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2"/>
        <v>0</v>
      </c>
      <c r="M243" s="26">
        <f t="shared" si="13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67" t="e">
        <f>SUMIFS([2]Up!$J:$J,[2]Up!$D:$D,D243)</f>
        <v>#VALUE!</v>
      </c>
      <c r="AQ243" s="82"/>
      <c r="AR243" s="82" t="str">
        <f t="shared" si="23"/>
        <v>PL12</v>
      </c>
      <c r="AS243" s="53" t="str">
        <f t="shared" si="24"/>
        <v/>
      </c>
      <c r="AT243" s="53" t="s">
        <v>148</v>
      </c>
      <c r="AU243" s="53" t="s">
        <v>1021</v>
      </c>
      <c r="AV243" s="53" t="s">
        <v>1022</v>
      </c>
      <c r="AW243" s="84" t="s">
        <v>2160</v>
      </c>
      <c r="AX243" s="53">
        <v>8</v>
      </c>
      <c r="AY243" s="83">
        <v>46302</v>
      </c>
      <c r="AZ243" s="53"/>
      <c r="BA243" s="53"/>
      <c r="BB243" s="238"/>
    </row>
    <row r="244" spans="3:54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2"/>
        <v>10</v>
      </c>
      <c r="M244" s="26">
        <f t="shared" si="13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67" t="e">
        <f>SUMIFS([2]Up!$J:$J,[2]Up!$D:$D,D244)</f>
        <v>#VALUE!</v>
      </c>
      <c r="AQ244" s="82"/>
      <c r="AR244" s="82" t="str">
        <f t="shared" si="23"/>
        <v>PL20</v>
      </c>
      <c r="AS244" s="53" t="str">
        <f t="shared" si="24"/>
        <v/>
      </c>
      <c r="AT244" s="53" t="s">
        <v>148</v>
      </c>
      <c r="AU244" s="53" t="s">
        <v>1100</v>
      </c>
      <c r="AV244" s="53" t="s">
        <v>1101</v>
      </c>
      <c r="AW244" s="53" t="s">
        <v>2167</v>
      </c>
      <c r="AX244" s="53">
        <v>4</v>
      </c>
      <c r="AY244" s="83" t="s">
        <v>2227</v>
      </c>
      <c r="AZ244" s="53"/>
      <c r="BA244" s="53"/>
    </row>
    <row r="245" spans="3:54" ht="14.25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2"/>
        <v>2</v>
      </c>
      <c r="M245" s="26">
        <f t="shared" si="1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67" t="e">
        <f>SUMIFS([2]Up!$J:$J,[2]Up!$D:$D,D245)</f>
        <v>#VALUE!</v>
      </c>
      <c r="AQ245" s="82" t="s">
        <v>2247</v>
      </c>
      <c r="AR245" s="82" t="str">
        <f t="shared" si="23"/>
        <v>PL12</v>
      </c>
      <c r="AS245" s="53" t="str">
        <f t="shared" si="24"/>
        <v>Thừa 1</v>
      </c>
      <c r="AT245" s="53" t="s">
        <v>154</v>
      </c>
      <c r="AU245" s="53" t="s">
        <v>1021</v>
      </c>
      <c r="AV245" s="53" t="s">
        <v>1022</v>
      </c>
      <c r="AW245" s="53" t="s">
        <v>57</v>
      </c>
      <c r="AX245" s="53">
        <v>4</v>
      </c>
      <c r="AY245" s="83"/>
      <c r="AZ245" s="53"/>
      <c r="BA245" s="53"/>
    </row>
    <row r="246" spans="3:54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2"/>
        <v>2</v>
      </c>
      <c r="M246" s="26">
        <f t="shared" si="13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67" t="e">
        <f>SUMIFS([2]Up!$J:$J,[2]Up!$D:$D,D246)</f>
        <v>#VALUE!</v>
      </c>
      <c r="AQ246" s="82"/>
      <c r="AR246" s="82" t="str">
        <f t="shared" si="23"/>
        <v>PL15</v>
      </c>
      <c r="AS246" s="53" t="str">
        <f t="shared" si="24"/>
        <v/>
      </c>
      <c r="AT246" s="53" t="s">
        <v>148</v>
      </c>
      <c r="AU246" s="53" t="s">
        <v>1094</v>
      </c>
      <c r="AV246" s="53" t="s">
        <v>1095</v>
      </c>
      <c r="AW246" s="84" t="s">
        <v>2156</v>
      </c>
      <c r="AX246" s="53">
        <v>8</v>
      </c>
      <c r="AY246" s="83" t="s">
        <v>2225</v>
      </c>
      <c r="AZ246" s="53"/>
      <c r="BA246" s="53"/>
      <c r="BB246" s="238"/>
    </row>
    <row r="247" spans="3:54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2"/>
        <v>0</v>
      </c>
      <c r="M247" s="26">
        <f t="shared" si="13"/>
        <v>4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67" t="e">
        <f>SUMIFS([2]Up!$J:$J,[2]Up!$D:$D,D247)</f>
        <v>#VALUE!</v>
      </c>
      <c r="AQ247" s="82"/>
      <c r="AR247" s="82" t="str">
        <f t="shared" si="23"/>
        <v>PL20</v>
      </c>
      <c r="AS247" s="53" t="str">
        <f t="shared" si="24"/>
        <v/>
      </c>
      <c r="AT247" s="53" t="s">
        <v>148</v>
      </c>
      <c r="AU247" s="53" t="s">
        <v>1100</v>
      </c>
      <c r="AV247" s="53" t="s">
        <v>1101</v>
      </c>
      <c r="AW247" s="84" t="s">
        <v>2158</v>
      </c>
      <c r="AX247" s="53">
        <v>8</v>
      </c>
      <c r="AY247" s="83">
        <v>46242</v>
      </c>
      <c r="AZ247" s="53"/>
      <c r="BA247" s="53"/>
      <c r="BB247" s="238"/>
    </row>
    <row r="248" spans="3:54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2"/>
        <v>0</v>
      </c>
      <c r="M248" s="26">
        <f t="shared" si="13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67" t="e">
        <f>SUMIFS([2]Up!$J:$J,[2]Up!$D:$D,D248)</f>
        <v>#VALUE!</v>
      </c>
      <c r="AQ248" s="82"/>
      <c r="AR248" s="82" t="str">
        <f t="shared" si="23"/>
        <v/>
      </c>
      <c r="AS248" s="53" t="str">
        <f t="shared" si="24"/>
        <v/>
      </c>
      <c r="AT248" s="53" t="s">
        <v>154</v>
      </c>
      <c r="AU248" s="53" t="s">
        <v>1082</v>
      </c>
      <c r="AV248" s="53" t="s">
        <v>1081</v>
      </c>
      <c r="AW248" s="84" t="s">
        <v>2163</v>
      </c>
      <c r="AX248" s="53">
        <v>20</v>
      </c>
      <c r="AY248" s="83" t="s">
        <v>2225</v>
      </c>
      <c r="AZ248" s="53"/>
      <c r="BA248" s="53"/>
      <c r="BB248" s="238"/>
    </row>
    <row r="249" spans="3:54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2"/>
        <v>0</v>
      </c>
      <c r="M249" s="26">
        <f t="shared" si="13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67" t="e">
        <f>SUMIFS([2]Up!$J:$J,[2]Up!$D:$D,D249)</f>
        <v>#VALUE!</v>
      </c>
      <c r="AQ249" s="82"/>
      <c r="AR249" s="82" t="str">
        <f t="shared" si="23"/>
        <v/>
      </c>
      <c r="AS249" s="53" t="str">
        <f t="shared" si="24"/>
        <v/>
      </c>
      <c r="AT249" s="53" t="s">
        <v>154</v>
      </c>
      <c r="AU249" s="53"/>
      <c r="AV249" s="53" t="s">
        <v>1129</v>
      </c>
      <c r="AW249" s="84" t="s">
        <v>2169</v>
      </c>
      <c r="AX249" s="53">
        <v>4</v>
      </c>
      <c r="AY249" s="83" t="s">
        <v>2225</v>
      </c>
      <c r="AZ249" s="53"/>
      <c r="BA249" s="53"/>
      <c r="BB249" s="238"/>
    </row>
    <row r="250" spans="3:54" ht="14.25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2"/>
        <v>2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67" t="e">
        <f>SUMIFS([2]Up!$J:$J,[2]Up!$D:$D,D250)</f>
        <v>#VALUE!</v>
      </c>
      <c r="AQ250" s="82" t="s">
        <v>2250</v>
      </c>
      <c r="AR250" s="82" t="str">
        <f t="shared" si="23"/>
        <v>PL12</v>
      </c>
      <c r="AS250" s="53" t="str">
        <f t="shared" si="24"/>
        <v>Thừa 1</v>
      </c>
      <c r="AT250" s="53" t="s">
        <v>154</v>
      </c>
      <c r="AU250" s="53" t="s">
        <v>1021</v>
      </c>
      <c r="AV250" s="53" t="s">
        <v>1022</v>
      </c>
      <c r="AW250" s="53" t="s">
        <v>57</v>
      </c>
      <c r="AX250" s="53">
        <v>4</v>
      </c>
      <c r="AY250" s="83"/>
      <c r="AZ250" s="53"/>
      <c r="BA250" s="53"/>
    </row>
    <row r="251" spans="3:54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2"/>
        <v>0</v>
      </c>
      <c r="M251" s="26">
        <f t="shared" si="13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67" t="e">
        <f>SUMIFS([2]Up!$J:$J,[2]Up!$D:$D,D251)</f>
        <v>#VALUE!</v>
      </c>
      <c r="AQ251" s="82"/>
      <c r="AR251" s="82" t="str">
        <f t="shared" si="23"/>
        <v>PL20</v>
      </c>
      <c r="AS251" s="53" t="str">
        <f t="shared" si="24"/>
        <v/>
      </c>
      <c r="AT251" s="53" t="s">
        <v>148</v>
      </c>
      <c r="AU251" s="53" t="s">
        <v>1100</v>
      </c>
      <c r="AV251" s="53" t="s">
        <v>1101</v>
      </c>
      <c r="AW251" s="84" t="s">
        <v>2165</v>
      </c>
      <c r="AX251" s="53">
        <v>4</v>
      </c>
      <c r="AY251" s="83">
        <v>46242</v>
      </c>
      <c r="AZ251" s="53"/>
      <c r="BA251" s="53"/>
      <c r="BB251" s="238"/>
    </row>
    <row r="252" spans="3:54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2"/>
        <v>8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67" t="e">
        <f>SUMIFS([2]Up!$J:$J,[2]Up!$D:$D,D252)</f>
        <v>#VALUE!</v>
      </c>
      <c r="AQ252" s="82"/>
      <c r="AR252" s="82" t="str">
        <f t="shared" si="23"/>
        <v>PL20</v>
      </c>
      <c r="AS252" s="53" t="str">
        <f t="shared" si="24"/>
        <v/>
      </c>
      <c r="AT252" s="53" t="s">
        <v>148</v>
      </c>
      <c r="AU252" s="53" t="s">
        <v>1021</v>
      </c>
      <c r="AV252" s="53" t="s">
        <v>1022</v>
      </c>
      <c r="AW252" s="84" t="s">
        <v>2167</v>
      </c>
      <c r="AX252" s="53">
        <v>16</v>
      </c>
      <c r="AY252" s="83" t="s">
        <v>2227</v>
      </c>
      <c r="AZ252" s="53"/>
      <c r="BA252" s="53"/>
    </row>
    <row r="253" spans="3:54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2"/>
        <v>0</v>
      </c>
      <c r="M253" s="26">
        <f t="shared" si="13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67" t="e">
        <f>SUMIFS([2]Up!$J:$J,[2]Up!$D:$D,D253)</f>
        <v>#VALUE!</v>
      </c>
      <c r="AQ253" s="82"/>
      <c r="AR253" s="82" t="str">
        <f t="shared" si="23"/>
        <v>PL10</v>
      </c>
      <c r="AS253" s="53" t="str">
        <f t="shared" si="24"/>
        <v/>
      </c>
      <c r="AT253" s="53" t="s">
        <v>154</v>
      </c>
      <c r="AU253" s="53" t="s">
        <v>1005</v>
      </c>
      <c r="AV253" s="53" t="s">
        <v>1006</v>
      </c>
      <c r="AW253" s="84" t="s">
        <v>2168</v>
      </c>
      <c r="AX253" s="53">
        <v>4</v>
      </c>
      <c r="AY253" s="83">
        <v>46302</v>
      </c>
      <c r="AZ253" s="53"/>
      <c r="BA253" s="53"/>
      <c r="BB253" s="238"/>
    </row>
    <row r="254" spans="3:54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2"/>
        <v>0</v>
      </c>
      <c r="M254" s="26">
        <f t="shared" si="13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67" t="e">
        <f>SUMIFS([2]Up!$J:$J,[2]Up!$D:$D,D254)</f>
        <v>#VALUE!</v>
      </c>
      <c r="AQ254" s="82"/>
      <c r="AR254" s="82" t="str">
        <f t="shared" si="23"/>
        <v>PL10</v>
      </c>
      <c r="AS254" s="53" t="str">
        <f t="shared" si="24"/>
        <v/>
      </c>
      <c r="AT254" s="53" t="s">
        <v>154</v>
      </c>
      <c r="AU254" s="53" t="s">
        <v>1005</v>
      </c>
      <c r="AV254" s="53" t="s">
        <v>1006</v>
      </c>
      <c r="AW254" s="84" t="s">
        <v>2168</v>
      </c>
      <c r="AX254" s="53">
        <v>4</v>
      </c>
      <c r="AY254" s="83">
        <v>46302</v>
      </c>
      <c r="AZ254" s="53"/>
      <c r="BA254" s="53"/>
      <c r="BB254" s="238"/>
    </row>
    <row r="255" spans="3:54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2"/>
        <v>0</v>
      </c>
      <c r="M255" s="26">
        <f t="shared" si="13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67" t="e">
        <f>SUMIFS([2]Up!$J:$J,[2]Up!$D:$D,D255)</f>
        <v>#VALUE!</v>
      </c>
      <c r="AQ255" s="82"/>
      <c r="AR255" s="82" t="str">
        <f t="shared" si="23"/>
        <v>PL10</v>
      </c>
      <c r="AS255" s="53" t="str">
        <f t="shared" si="24"/>
        <v/>
      </c>
      <c r="AT255" s="53" t="s">
        <v>154</v>
      </c>
      <c r="AU255" s="53" t="s">
        <v>1005</v>
      </c>
      <c r="AV255" s="53" t="s">
        <v>1006</v>
      </c>
      <c r="AW255" s="84" t="s">
        <v>2157</v>
      </c>
      <c r="AX255" s="53">
        <v>4</v>
      </c>
      <c r="AY255" s="83">
        <v>46302</v>
      </c>
      <c r="AZ255" s="53"/>
      <c r="BA255" s="53"/>
      <c r="BB255" s="238"/>
    </row>
    <row r="256" spans="3:54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2"/>
        <v>0</v>
      </c>
      <c r="M256" s="26">
        <f t="shared" si="13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67" t="e">
        <f>SUMIFS([2]Up!$J:$J,[2]Up!$D:$D,D256)</f>
        <v>#VALUE!</v>
      </c>
      <c r="AQ256" s="82"/>
      <c r="AR256" s="82" t="str">
        <f t="shared" si="23"/>
        <v>PL10</v>
      </c>
      <c r="AS256" s="53" t="str">
        <f t="shared" si="24"/>
        <v/>
      </c>
      <c r="AT256" s="53" t="s">
        <v>148</v>
      </c>
      <c r="AU256" s="53" t="s">
        <v>1005</v>
      </c>
      <c r="AV256" s="53" t="s">
        <v>1006</v>
      </c>
      <c r="AW256" s="84" t="s">
        <v>2157</v>
      </c>
      <c r="AX256" s="53">
        <v>8</v>
      </c>
      <c r="AY256" s="83">
        <v>46302</v>
      </c>
      <c r="AZ256" s="53"/>
      <c r="BA256" s="53"/>
      <c r="BB256" s="238"/>
    </row>
    <row r="257" spans="3:54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2"/>
        <v>0</v>
      </c>
      <c r="M257" s="26">
        <f t="shared" si="13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67" t="e">
        <f>SUMIFS([2]Up!$J:$J,[2]Up!$D:$D,D257)</f>
        <v>#VALUE!</v>
      </c>
      <c r="AQ257" s="82"/>
      <c r="AR257" s="82" t="str">
        <f t="shared" si="23"/>
        <v>PL10</v>
      </c>
      <c r="AS257" s="53" t="str">
        <f t="shared" si="24"/>
        <v/>
      </c>
      <c r="AT257" s="53" t="s">
        <v>148</v>
      </c>
      <c r="AU257" s="53" t="s">
        <v>1005</v>
      </c>
      <c r="AV257" s="53" t="s">
        <v>1006</v>
      </c>
      <c r="AW257" s="84" t="s">
        <v>2157</v>
      </c>
      <c r="AX257" s="53">
        <v>4</v>
      </c>
      <c r="AY257" s="83">
        <v>46302</v>
      </c>
      <c r="AZ257" s="53"/>
      <c r="BA257" s="53"/>
      <c r="BB257" s="238"/>
    </row>
    <row r="258" spans="3:54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2"/>
        <v>0</v>
      </c>
      <c r="M258" s="26">
        <f t="shared" si="13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67" t="e">
        <f>SUMIFS([2]Up!$J:$J,[2]Up!$D:$D,D258)</f>
        <v>#VALUE!</v>
      </c>
      <c r="AQ258" s="82"/>
      <c r="AR258" s="82" t="str">
        <f t="shared" si="23"/>
        <v>PL15</v>
      </c>
      <c r="AS258" s="53" t="str">
        <f t="shared" si="24"/>
        <v/>
      </c>
      <c r="AT258" s="53" t="s">
        <v>148</v>
      </c>
      <c r="AU258" s="53" t="s">
        <v>1094</v>
      </c>
      <c r="AV258" s="53" t="s">
        <v>1095</v>
      </c>
      <c r="AW258" s="84" t="s">
        <v>2156</v>
      </c>
      <c r="AX258" s="53">
        <v>4</v>
      </c>
      <c r="AY258" s="83" t="s">
        <v>2225</v>
      </c>
      <c r="AZ258" s="53"/>
      <c r="BA258" s="53"/>
      <c r="BB258" s="238"/>
    </row>
    <row r="259" spans="3:54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2"/>
        <v>0</v>
      </c>
      <c r="M259" s="26">
        <f t="shared" si="13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67" t="e">
        <f>SUMIFS([2]Up!$J:$J,[2]Up!$D:$D,D259)</f>
        <v>#VALUE!</v>
      </c>
      <c r="AQ259" s="82"/>
      <c r="AR259" s="82" t="str">
        <f t="shared" si="23"/>
        <v>PL15</v>
      </c>
      <c r="AS259" s="53" t="str">
        <f t="shared" si="24"/>
        <v/>
      </c>
      <c r="AT259" s="53" t="s">
        <v>148</v>
      </c>
      <c r="AU259" s="53" t="s">
        <v>1094</v>
      </c>
      <c r="AV259" s="53" t="s">
        <v>1095</v>
      </c>
      <c r="AW259" s="84" t="s">
        <v>2156</v>
      </c>
      <c r="AX259" s="53">
        <v>4</v>
      </c>
      <c r="AY259" s="83" t="s">
        <v>2225</v>
      </c>
      <c r="AZ259" s="53"/>
      <c r="BA259" s="53"/>
      <c r="BB259" s="238"/>
    </row>
    <row r="260" spans="3:54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2"/>
        <v>0</v>
      </c>
      <c r="M260" s="26">
        <f t="shared" si="13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67" t="e">
        <f>SUMIFS([2]Up!$J:$J,[2]Up!$D:$D,D260)</f>
        <v>#VALUE!</v>
      </c>
      <c r="AQ260" s="82"/>
      <c r="AR260" s="82" t="str">
        <f t="shared" si="23"/>
        <v>PL10</v>
      </c>
      <c r="AS260" s="53" t="str">
        <f t="shared" si="24"/>
        <v/>
      </c>
      <c r="AT260" s="53" t="s">
        <v>154</v>
      </c>
      <c r="AU260" s="53" t="s">
        <v>1005</v>
      </c>
      <c r="AV260" s="53" t="s">
        <v>1006</v>
      </c>
      <c r="AW260" s="84" t="s">
        <v>2157</v>
      </c>
      <c r="AX260" s="53">
        <v>4</v>
      </c>
      <c r="AY260" s="83">
        <v>46302</v>
      </c>
      <c r="AZ260" s="53"/>
      <c r="BA260" s="53"/>
      <c r="BB260" s="238"/>
    </row>
    <row r="261" spans="3:54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2"/>
        <v>0</v>
      </c>
      <c r="M261" s="26">
        <f t="shared" si="13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67" t="e">
        <f>SUMIFS([2]Up!$J:$J,[2]Up!$D:$D,D261)</f>
        <v>#VALUE!</v>
      </c>
      <c r="AQ261" s="82"/>
      <c r="AR261" s="82" t="str">
        <f t="shared" si="23"/>
        <v>PL20</v>
      </c>
      <c r="AS261" s="53" t="str">
        <f t="shared" si="24"/>
        <v/>
      </c>
      <c r="AT261" s="53" t="s">
        <v>148</v>
      </c>
      <c r="AU261" s="53" t="s">
        <v>1100</v>
      </c>
      <c r="AV261" s="53" t="s">
        <v>1101</v>
      </c>
      <c r="AW261" s="84" t="s">
        <v>2165</v>
      </c>
      <c r="AX261" s="53">
        <v>4</v>
      </c>
      <c r="AY261" s="83">
        <v>46242</v>
      </c>
      <c r="AZ261" s="53"/>
      <c r="BA261" s="53"/>
      <c r="BB261" s="238"/>
    </row>
    <row r="262" spans="3:54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2"/>
        <v>8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67" t="e">
        <f>SUMIFS([2]Up!$J:$J,[2]Up!$D:$D,D262)</f>
        <v>#VALUE!</v>
      </c>
      <c r="AQ262" s="82"/>
      <c r="AR262" s="82" t="str">
        <f t="shared" si="23"/>
        <v>PL20</v>
      </c>
      <c r="AS262" s="53" t="str">
        <f t="shared" si="24"/>
        <v/>
      </c>
      <c r="AT262" s="53" t="s">
        <v>148</v>
      </c>
      <c r="AU262" s="53" t="s">
        <v>1021</v>
      </c>
      <c r="AV262" s="53" t="s">
        <v>1022</v>
      </c>
      <c r="AW262" s="84" t="s">
        <v>2167</v>
      </c>
      <c r="AX262" s="53">
        <v>16</v>
      </c>
      <c r="AY262" s="83" t="s">
        <v>2227</v>
      </c>
      <c r="AZ262" s="53"/>
      <c r="BA262" s="53"/>
    </row>
    <row r="263" spans="3:54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2"/>
        <v>0</v>
      </c>
      <c r="M263" s="26">
        <f t="shared" si="13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67" t="e">
        <f>SUMIFS([2]Up!$J:$J,[2]Up!$D:$D,D263)</f>
        <v>#VALUE!</v>
      </c>
      <c r="AQ263" s="82"/>
      <c r="AR263" s="82" t="str">
        <f t="shared" si="23"/>
        <v>PL10</v>
      </c>
      <c r="AS263" s="53" t="str">
        <f t="shared" si="24"/>
        <v/>
      </c>
      <c r="AT263" s="53" t="s">
        <v>154</v>
      </c>
      <c r="AU263" s="53" t="s">
        <v>1005</v>
      </c>
      <c r="AV263" s="53" t="s">
        <v>1006</v>
      </c>
      <c r="AW263" s="84" t="s">
        <v>2157</v>
      </c>
      <c r="AX263" s="53">
        <v>4</v>
      </c>
      <c r="AY263" s="83">
        <v>46302</v>
      </c>
      <c r="AZ263" s="53"/>
      <c r="BA263" s="53"/>
      <c r="BB263" s="238"/>
    </row>
    <row r="264" spans="3:54" ht="14.25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2"/>
        <v>2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67" t="e">
        <f>SUMIFS([2]Up!$J:$J,[2]Up!$D:$D,D264)</f>
        <v>#VALUE!</v>
      </c>
      <c r="AQ264" s="82" t="s">
        <v>2249</v>
      </c>
      <c r="AR264" s="82" t="str">
        <f t="shared" si="23"/>
        <v>PL12</v>
      </c>
      <c r="AS264" s="53" t="str">
        <f t="shared" si="24"/>
        <v>Thừa 1</v>
      </c>
      <c r="AT264" s="53" t="s">
        <v>154</v>
      </c>
      <c r="AU264" s="53" t="s">
        <v>1021</v>
      </c>
      <c r="AV264" s="53" t="s">
        <v>1022</v>
      </c>
      <c r="AW264" s="53" t="s">
        <v>57</v>
      </c>
      <c r="AX264" s="53">
        <v>4</v>
      </c>
      <c r="AY264" s="83"/>
      <c r="AZ264" s="53"/>
      <c r="BA264" s="53"/>
    </row>
    <row r="265" spans="3:54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2"/>
        <v>1</v>
      </c>
      <c r="M265" s="26">
        <f t="shared" si="13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67" t="e">
        <f>SUMIFS([2]Up!$J:$J,[2]Up!$D:$D,D265)</f>
        <v>#VALUE!</v>
      </c>
      <c r="AQ265" s="82"/>
      <c r="AR265" s="82" t="str">
        <f t="shared" si="23"/>
        <v>PL15</v>
      </c>
      <c r="AS265" s="53" t="str">
        <f t="shared" si="24"/>
        <v/>
      </c>
      <c r="AT265" s="53" t="s">
        <v>148</v>
      </c>
      <c r="AU265" s="53" t="s">
        <v>1094</v>
      </c>
      <c r="AV265" s="53" t="s">
        <v>1095</v>
      </c>
      <c r="AW265" s="84" t="s">
        <v>2156</v>
      </c>
      <c r="AX265" s="53">
        <v>4</v>
      </c>
      <c r="AY265" s="83" t="s">
        <v>2225</v>
      </c>
      <c r="AZ265" s="53"/>
      <c r="BA265" s="53"/>
      <c r="BB265" s="238"/>
    </row>
    <row r="266" spans="3:54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2"/>
        <v>6</v>
      </c>
      <c r="M266" s="26">
        <f t="shared" si="13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67" t="e">
        <f>SUMIFS([2]Up!$J:$J,[2]Up!$D:$D,D266)</f>
        <v>#VALUE!</v>
      </c>
      <c r="AQ266" s="82"/>
      <c r="AR266" s="82" t="str">
        <f t="shared" si="23"/>
        <v/>
      </c>
      <c r="AS266" s="53" t="str">
        <f t="shared" si="24"/>
        <v/>
      </c>
      <c r="AT266" s="53" t="s">
        <v>148</v>
      </c>
      <c r="AU266" s="53" t="s">
        <v>1079</v>
      </c>
      <c r="AV266" s="53" t="s">
        <v>1076</v>
      </c>
      <c r="AW266" s="53" t="s">
        <v>1290</v>
      </c>
      <c r="AX266" s="53">
        <v>6</v>
      </c>
      <c r="AY266" s="83">
        <v>46362</v>
      </c>
      <c r="AZ266" s="53"/>
      <c r="BA266" s="53"/>
    </row>
    <row r="267" spans="3:54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2"/>
        <v>2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67" t="e">
        <f>SUMIFS([2]Up!$J:$J,[2]Up!$D:$D,D267)</f>
        <v>#VALUE!</v>
      </c>
      <c r="AQ267" s="82" t="s">
        <v>2074</v>
      </c>
      <c r="AR267" s="82" t="str">
        <f t="shared" si="23"/>
        <v>PL12</v>
      </c>
      <c r="AS267" s="53" t="str">
        <f t="shared" si="24"/>
        <v/>
      </c>
      <c r="AT267" s="53" t="s">
        <v>154</v>
      </c>
      <c r="AU267" s="53" t="s">
        <v>1021</v>
      </c>
      <c r="AV267" s="53" t="s">
        <v>1022</v>
      </c>
      <c r="AW267" s="53" t="s">
        <v>57</v>
      </c>
      <c r="AX267" s="53">
        <v>2</v>
      </c>
      <c r="AY267" s="83"/>
      <c r="AZ267" s="53"/>
      <c r="BA267" s="53"/>
    </row>
    <row r="268" spans="3:54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2"/>
        <v>1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67" t="e">
        <f>SUMIFS([2]Up!$J:$J,[2]Up!$D:$D,D268)</f>
        <v>#VALUE!</v>
      </c>
      <c r="AQ268" s="82"/>
      <c r="AR268" s="82" t="str">
        <f t="shared" si="23"/>
        <v>PL12</v>
      </c>
      <c r="AS268" s="53" t="str">
        <f t="shared" si="24"/>
        <v/>
      </c>
      <c r="AT268" s="53" t="s">
        <v>154</v>
      </c>
      <c r="AU268" s="53" t="s">
        <v>1021</v>
      </c>
      <c r="AV268" s="53" t="s">
        <v>1022</v>
      </c>
      <c r="AW268" s="53" t="s">
        <v>1399</v>
      </c>
      <c r="AX268" s="53">
        <v>2</v>
      </c>
      <c r="AY268" s="83" t="s">
        <v>2223</v>
      </c>
      <c r="AZ268" s="53"/>
      <c r="BA268" s="53"/>
    </row>
    <row r="269" spans="3:54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2"/>
        <v>1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67" t="e">
        <f>SUMIFS([2]Up!$J:$J,[2]Up!$D:$D,D269)</f>
        <v>#VALUE!</v>
      </c>
      <c r="AQ269" s="82"/>
      <c r="AR269" s="82" t="str">
        <f t="shared" si="23"/>
        <v>PL12</v>
      </c>
      <c r="AS269" s="53" t="str">
        <f t="shared" si="24"/>
        <v/>
      </c>
      <c r="AT269" s="53" t="s">
        <v>154</v>
      </c>
      <c r="AU269" s="53" t="s">
        <v>1021</v>
      </c>
      <c r="AV269" s="53" t="s">
        <v>1022</v>
      </c>
      <c r="AW269" s="53"/>
      <c r="AX269" s="53"/>
      <c r="AY269" s="83"/>
      <c r="AZ269" s="53"/>
      <c r="BA269" s="53"/>
    </row>
    <row r="270" spans="3:54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2"/>
        <v>1</v>
      </c>
      <c r="M270" s="26">
        <f t="shared" si="13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67" t="e">
        <f>SUMIFS([2]Up!$J:$J,[2]Up!$D:$D,D270)</f>
        <v>#VALUE!</v>
      </c>
      <c r="AQ270" s="82" t="s">
        <v>2074</v>
      </c>
      <c r="AR270" s="82" t="str">
        <f t="shared" si="23"/>
        <v>PL12</v>
      </c>
      <c r="AS270" s="53" t="str">
        <f t="shared" si="24"/>
        <v>Thừa 1</v>
      </c>
      <c r="AT270" s="53" t="s">
        <v>154</v>
      </c>
      <c r="AU270" s="53" t="s">
        <v>1021</v>
      </c>
      <c r="AV270" s="53" t="s">
        <v>1022</v>
      </c>
      <c r="AW270" s="53" t="s">
        <v>57</v>
      </c>
      <c r="AX270" s="53">
        <v>1</v>
      </c>
      <c r="AY270" s="83"/>
      <c r="AZ270" s="53"/>
      <c r="BA270" s="53"/>
    </row>
    <row r="271" spans="3:54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2"/>
        <v>1</v>
      </c>
      <c r="M271" s="26">
        <f t="shared" si="13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67" t="e">
        <f>SUMIFS([2]Up!$J:$J,[2]Up!$D:$D,D271)</f>
        <v>#VALUE!</v>
      </c>
      <c r="AQ271" s="82" t="s">
        <v>2074</v>
      </c>
      <c r="AR271" s="82" t="str">
        <f t="shared" si="23"/>
        <v>PL12</v>
      </c>
      <c r="AS271" s="53" t="str">
        <f t="shared" si="24"/>
        <v>Thừa 1</v>
      </c>
      <c r="AT271" s="53" t="s">
        <v>154</v>
      </c>
      <c r="AU271" s="53" t="s">
        <v>1021</v>
      </c>
      <c r="AV271" s="53" t="s">
        <v>1022</v>
      </c>
      <c r="AW271" s="53" t="s">
        <v>57</v>
      </c>
      <c r="AX271" s="53">
        <v>1</v>
      </c>
      <c r="AY271" s="83"/>
      <c r="AZ271" s="53"/>
      <c r="BA271" s="53"/>
    </row>
    <row r="272" spans="3:54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2"/>
        <v>2</v>
      </c>
      <c r="M272" s="26">
        <f t="shared" si="13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67" t="e">
        <f>SUMIFS([2]Up!$J:$J,[2]Up!$D:$D,D272)</f>
        <v>#VALUE!</v>
      </c>
      <c r="AQ272" s="82"/>
      <c r="AR272" s="82" t="str">
        <f t="shared" si="23"/>
        <v>PL15</v>
      </c>
      <c r="AS272" s="53" t="str">
        <f t="shared" si="24"/>
        <v/>
      </c>
      <c r="AT272" s="53" t="s">
        <v>148</v>
      </c>
      <c r="AU272" s="53" t="s">
        <v>1094</v>
      </c>
      <c r="AV272" s="53" t="s">
        <v>1095</v>
      </c>
      <c r="AW272" s="53" t="s">
        <v>1304</v>
      </c>
      <c r="AX272" s="53">
        <v>2</v>
      </c>
      <c r="AY272" s="83">
        <v>46088</v>
      </c>
      <c r="AZ272" s="53"/>
      <c r="BA272" s="53"/>
    </row>
    <row r="273" spans="3:53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2"/>
        <v>6</v>
      </c>
      <c r="M273" s="26">
        <f t="shared" si="13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67" t="e">
        <f>SUMIFS([2]Up!$J:$J,[2]Up!$D:$D,D273)</f>
        <v>#VALUE!</v>
      </c>
      <c r="AQ273" s="82"/>
      <c r="AR273" s="82" t="str">
        <f t="shared" si="23"/>
        <v>PL16</v>
      </c>
      <c r="AS273" s="53" t="str">
        <f t="shared" si="24"/>
        <v/>
      </c>
      <c r="AT273" s="53" t="s">
        <v>148</v>
      </c>
      <c r="AU273" s="53" t="s">
        <v>988</v>
      </c>
      <c r="AV273" s="53" t="s">
        <v>989</v>
      </c>
      <c r="AW273" s="53" t="s">
        <v>990</v>
      </c>
      <c r="AX273" s="53">
        <v>6</v>
      </c>
      <c r="AY273" s="83" t="s">
        <v>2223</v>
      </c>
      <c r="AZ273" s="53"/>
      <c r="BA273" s="53"/>
    </row>
    <row r="274" spans="3:53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2"/>
        <v>6</v>
      </c>
      <c r="M274" s="26">
        <f t="shared" si="13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67" t="e">
        <f>SUMIFS([2]Up!$J:$J,[2]Up!$D:$D,D274)</f>
        <v>#VALUE!</v>
      </c>
      <c r="AQ274" s="82"/>
      <c r="AR274" s="82" t="str">
        <f t="shared" si="23"/>
        <v>PL16</v>
      </c>
      <c r="AS274" s="53" t="str">
        <f t="shared" si="24"/>
        <v/>
      </c>
      <c r="AT274" s="53" t="s">
        <v>148</v>
      </c>
      <c r="AU274" s="53" t="s">
        <v>988</v>
      </c>
      <c r="AV274" s="53" t="s">
        <v>989</v>
      </c>
      <c r="AW274" s="53" t="s">
        <v>990</v>
      </c>
      <c r="AX274" s="53">
        <v>6</v>
      </c>
      <c r="AY274" s="83" t="s">
        <v>2223</v>
      </c>
      <c r="AZ274" s="53"/>
      <c r="BA274" s="53"/>
    </row>
    <row r="275" spans="3:53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2"/>
        <v>6</v>
      </c>
      <c r="M275" s="26">
        <f t="shared" si="13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67" t="e">
        <f>SUMIFS([2]Up!$J:$J,[2]Up!$D:$D,D275)</f>
        <v>#VALUE!</v>
      </c>
      <c r="AQ275" s="82"/>
      <c r="AR275" s="82" t="str">
        <f t="shared" si="23"/>
        <v>PL12</v>
      </c>
      <c r="AS275" s="53" t="str">
        <f t="shared" si="24"/>
        <v/>
      </c>
      <c r="AT275" s="53" t="s">
        <v>148</v>
      </c>
      <c r="AU275" s="53" t="s">
        <v>1021</v>
      </c>
      <c r="AV275" s="53" t="s">
        <v>1022</v>
      </c>
      <c r="AW275" s="53" t="s">
        <v>1023</v>
      </c>
      <c r="AX275" s="53">
        <v>6</v>
      </c>
      <c r="AY275" s="83">
        <v>46088</v>
      </c>
      <c r="AZ275" s="53"/>
      <c r="BA275" s="53"/>
    </row>
    <row r="276" spans="3:53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2"/>
        <v>6</v>
      </c>
      <c r="M276" s="26">
        <f t="shared" si="13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67" t="e">
        <f>SUMIFS([2]Up!$J:$J,[2]Up!$D:$D,D276)</f>
        <v>#VALUE!</v>
      </c>
      <c r="AQ276" s="82"/>
      <c r="AR276" s="82" t="str">
        <f t="shared" si="23"/>
        <v>PL12</v>
      </c>
      <c r="AS276" s="53" t="str">
        <f t="shared" si="24"/>
        <v/>
      </c>
      <c r="AT276" s="53" t="s">
        <v>148</v>
      </c>
      <c r="AU276" s="53" t="s">
        <v>1021</v>
      </c>
      <c r="AV276" s="53" t="s">
        <v>1022</v>
      </c>
      <c r="AW276" s="53" t="s">
        <v>1023</v>
      </c>
      <c r="AX276" s="53">
        <v>6</v>
      </c>
      <c r="AY276" s="83">
        <v>46088</v>
      </c>
      <c r="AZ276" s="53"/>
      <c r="BA276" s="53"/>
    </row>
    <row r="277" spans="3:53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2"/>
        <v>1</v>
      </c>
      <c r="M277" s="26">
        <f t="shared" si="13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67" t="e">
        <f>SUMIFS([2]Up!$J:$J,[2]Up!$D:$D,D277)</f>
        <v>#VALUE!</v>
      </c>
      <c r="AQ277" s="82"/>
      <c r="AR277" s="82" t="str">
        <f t="shared" si="23"/>
        <v>PL12</v>
      </c>
      <c r="AS277" s="53" t="str">
        <f t="shared" si="24"/>
        <v/>
      </c>
      <c r="AT277" s="53" t="s">
        <v>154</v>
      </c>
      <c r="AU277" s="53" t="s">
        <v>1021</v>
      </c>
      <c r="AV277" s="53" t="s">
        <v>1022</v>
      </c>
      <c r="AW277" s="53" t="s">
        <v>1399</v>
      </c>
      <c r="AX277" s="53">
        <v>1</v>
      </c>
      <c r="AY277" s="83" t="s">
        <v>2223</v>
      </c>
      <c r="AZ277" s="53"/>
      <c r="BA277" s="53"/>
    </row>
    <row r="278" spans="3:53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2"/>
        <v>1</v>
      </c>
      <c r="M278" s="26">
        <f t="shared" si="13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67" t="e">
        <f>SUMIFS([2]Up!$J:$J,[2]Up!$D:$D,D278)</f>
        <v>#VALUE!</v>
      </c>
      <c r="AQ278" s="82" t="s">
        <v>2072</v>
      </c>
      <c r="AR278" s="82" t="str">
        <f t="shared" si="23"/>
        <v>PL12</v>
      </c>
      <c r="AS278" s="53" t="str">
        <f t="shared" si="24"/>
        <v>Thừa 2</v>
      </c>
      <c r="AT278" s="53" t="s">
        <v>154</v>
      </c>
      <c r="AU278" s="53" t="s">
        <v>1021</v>
      </c>
      <c r="AV278" s="53" t="s">
        <v>1022</v>
      </c>
      <c r="AW278" s="53" t="s">
        <v>57</v>
      </c>
      <c r="AX278" s="53">
        <v>1</v>
      </c>
      <c r="AY278" s="83"/>
      <c r="AZ278" s="53"/>
      <c r="BA278" s="53"/>
    </row>
    <row r="279" spans="3:53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2"/>
        <v>1</v>
      </c>
      <c r="M279" s="26">
        <f t="shared" si="13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67" t="e">
        <f>SUMIFS([2]Up!$J:$J,[2]Up!$D:$D,D279)</f>
        <v>#VALUE!</v>
      </c>
      <c r="AQ279" s="82"/>
      <c r="AR279" s="82" t="str">
        <f t="shared" si="23"/>
        <v>PL12</v>
      </c>
      <c r="AS279" s="53" t="str">
        <f t="shared" si="24"/>
        <v/>
      </c>
      <c r="AT279" s="53" t="s">
        <v>148</v>
      </c>
      <c r="AU279" s="53" t="s">
        <v>1021</v>
      </c>
      <c r="AV279" s="53" t="s">
        <v>1022</v>
      </c>
      <c r="AW279" s="53" t="s">
        <v>1023</v>
      </c>
      <c r="AX279" s="53">
        <v>1</v>
      </c>
      <c r="AY279" s="83">
        <v>46088</v>
      </c>
      <c r="AZ279" s="53"/>
      <c r="BA279" s="53"/>
    </row>
    <row r="280" spans="3:53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2"/>
        <v>2</v>
      </c>
      <c r="M280" s="26">
        <f t="shared" si="13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67" t="e">
        <f>SUMIFS([2]Up!$J:$J,[2]Up!$D:$D,D280)</f>
        <v>#VALUE!</v>
      </c>
      <c r="AQ280" s="82"/>
      <c r="AR280" s="82" t="str">
        <f t="shared" si="23"/>
        <v>PL12</v>
      </c>
      <c r="AS280" s="53" t="str">
        <f t="shared" si="24"/>
        <v/>
      </c>
      <c r="AT280" s="53" t="s">
        <v>148</v>
      </c>
      <c r="AU280" s="53" t="s">
        <v>1021</v>
      </c>
      <c r="AV280" s="53" t="s">
        <v>1022</v>
      </c>
      <c r="AW280" s="53" t="s">
        <v>1023</v>
      </c>
      <c r="AX280" s="53">
        <v>2</v>
      </c>
      <c r="AY280" s="83">
        <v>46088</v>
      </c>
      <c r="AZ280" s="53"/>
      <c r="BA280" s="53"/>
    </row>
    <row r="281" spans="3:53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2"/>
        <v>2</v>
      </c>
      <c r="M281" s="26">
        <f t="shared" si="13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67" t="e">
        <f>SUMIFS([2]Up!$J:$J,[2]Up!$D:$D,D281)</f>
        <v>#VALUE!</v>
      </c>
      <c r="AQ281" s="82"/>
      <c r="AR281" s="82" t="str">
        <f t="shared" si="23"/>
        <v>PL12</v>
      </c>
      <c r="AS281" s="53" t="str">
        <f t="shared" si="24"/>
        <v/>
      </c>
      <c r="AT281" s="53" t="s">
        <v>148</v>
      </c>
      <c r="AU281" s="53" t="s">
        <v>1021</v>
      </c>
      <c r="AV281" s="53" t="s">
        <v>1022</v>
      </c>
      <c r="AW281" s="53" t="s">
        <v>1023</v>
      </c>
      <c r="AX281" s="53">
        <v>2</v>
      </c>
      <c r="AY281" s="83">
        <v>46088</v>
      </c>
      <c r="AZ281" s="53"/>
      <c r="BA281" s="53"/>
    </row>
    <row r="282" spans="3:53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2"/>
        <v>2</v>
      </c>
      <c r="M282" s="26">
        <f t="shared" si="13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67" t="e">
        <f>SUMIFS([2]Up!$J:$J,[2]Up!$D:$D,D282)</f>
        <v>#VALUE!</v>
      </c>
      <c r="AQ282" s="82"/>
      <c r="AR282" s="82" t="str">
        <f t="shared" si="23"/>
        <v>PL12</v>
      </c>
      <c r="AS282" s="53" t="str">
        <f t="shared" si="24"/>
        <v/>
      </c>
      <c r="AT282" s="53" t="s">
        <v>148</v>
      </c>
      <c r="AU282" s="53" t="s">
        <v>1021</v>
      </c>
      <c r="AV282" s="53" t="s">
        <v>1022</v>
      </c>
      <c r="AW282" s="53" t="s">
        <v>1023</v>
      </c>
      <c r="AX282" s="53">
        <v>2</v>
      </c>
      <c r="AY282" s="83">
        <v>46088</v>
      </c>
      <c r="AZ282" s="53"/>
      <c r="BA282" s="53"/>
    </row>
    <row r="283" spans="3:53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2"/>
        <v>2</v>
      </c>
      <c r="M283" s="26">
        <f t="shared" si="13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67" t="e">
        <f>SUMIFS([2]Up!$J:$J,[2]Up!$D:$D,D283)</f>
        <v>#VALUE!</v>
      </c>
      <c r="AQ283" s="82"/>
      <c r="AR283" s="82" t="str">
        <f t="shared" si="23"/>
        <v>PL15</v>
      </c>
      <c r="AS283" s="53" t="str">
        <f t="shared" si="24"/>
        <v/>
      </c>
      <c r="AT283" s="53" t="s">
        <v>148</v>
      </c>
      <c r="AU283" s="53" t="s">
        <v>1094</v>
      </c>
      <c r="AV283" s="53" t="s">
        <v>1095</v>
      </c>
      <c r="AW283" s="53" t="s">
        <v>1304</v>
      </c>
      <c r="AX283" s="53">
        <v>2</v>
      </c>
      <c r="AY283" s="83">
        <v>46088</v>
      </c>
      <c r="AZ283" s="53"/>
      <c r="BA283" s="53"/>
    </row>
    <row r="284" spans="3:53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2"/>
        <v>1</v>
      </c>
      <c r="M284" s="26">
        <f t="shared" si="13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67" t="e">
        <f>SUMIFS([2]Up!$J:$J,[2]Up!$D:$D,D284)</f>
        <v>#VALUE!</v>
      </c>
      <c r="AQ284" s="82"/>
      <c r="AR284" s="82" t="str">
        <f t="shared" si="23"/>
        <v>PL12</v>
      </c>
      <c r="AS284" s="53" t="str">
        <f t="shared" si="24"/>
        <v/>
      </c>
      <c r="AT284" s="53" t="s">
        <v>148</v>
      </c>
      <c r="AU284" s="53" t="s">
        <v>1021</v>
      </c>
      <c r="AV284" s="53" t="s">
        <v>1022</v>
      </c>
      <c r="AW284" s="53" t="s">
        <v>1023</v>
      </c>
      <c r="AX284" s="53">
        <v>1</v>
      </c>
      <c r="AY284" s="83">
        <v>46088</v>
      </c>
      <c r="AZ284" s="53"/>
      <c r="BA284" s="53"/>
    </row>
    <row r="285" spans="3:53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2"/>
        <v>1</v>
      </c>
      <c r="M285" s="26">
        <f t="shared" ref="M285:M540" si="25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67" t="e">
        <f>SUMIFS([2]Up!$J:$J,[2]Up!$D:$D,D285)</f>
        <v>#VALUE!</v>
      </c>
      <c r="AQ285" s="82"/>
      <c r="AR285" s="82" t="str">
        <f t="shared" si="23"/>
        <v>PL12</v>
      </c>
      <c r="AS285" s="53" t="str">
        <f t="shared" si="24"/>
        <v/>
      </c>
      <c r="AT285" s="53" t="s">
        <v>148</v>
      </c>
      <c r="AU285" s="53" t="s">
        <v>1021</v>
      </c>
      <c r="AV285" s="53" t="s">
        <v>1022</v>
      </c>
      <c r="AW285" s="53" t="s">
        <v>1023</v>
      </c>
      <c r="AX285" s="53">
        <v>1</v>
      </c>
      <c r="AY285" s="83">
        <v>46088</v>
      </c>
      <c r="AZ285" s="53"/>
      <c r="BA285" s="53"/>
    </row>
    <row r="286" spans="3:53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6">MIN(SUM(N286:AO286),I286)</f>
        <v>1</v>
      </c>
      <c r="M286" s="26">
        <f t="shared" si="25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67" t="e">
        <f>SUMIFS([2]Up!$J:$J,[2]Up!$D:$D,D286)</f>
        <v>#VALUE!</v>
      </c>
      <c r="AQ286" s="82"/>
      <c r="AR286" s="82" t="str">
        <f t="shared" ref="AR286:AR349" si="27">IFERROR(IF(C286="Plate",LEFT(E286,FIND("*",E286,1)-1),""),IF(C286="Plate",LEFT(E286,FIND("x",E286,1)-1),""))</f>
        <v>PL15</v>
      </c>
      <c r="AS286" s="53" t="str">
        <f t="shared" ref="AS286:AS349" si="28">IF(ROUND(SUM(N286:AO286)-I286,0)&gt;0,"Thừa "&amp;SUM(N286:AO286)-I286,"")</f>
        <v/>
      </c>
      <c r="AT286" s="53" t="s">
        <v>148</v>
      </c>
      <c r="AU286" s="53" t="s">
        <v>1094</v>
      </c>
      <c r="AV286" s="53" t="s">
        <v>1095</v>
      </c>
      <c r="AW286" s="53" t="s">
        <v>1304</v>
      </c>
      <c r="AX286" s="53">
        <v>1</v>
      </c>
      <c r="AY286" s="83">
        <v>46088</v>
      </c>
      <c r="AZ286" s="53"/>
      <c r="BA286" s="53"/>
    </row>
    <row r="287" spans="3:53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6"/>
        <v>1</v>
      </c>
      <c r="M287" s="26">
        <f t="shared" si="25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67" t="e">
        <f>SUMIFS([2]Up!$J:$J,[2]Up!$D:$D,D287)</f>
        <v>#VALUE!</v>
      </c>
      <c r="AQ287" s="82" t="s">
        <v>2072</v>
      </c>
      <c r="AR287" s="82" t="str">
        <f t="shared" si="27"/>
        <v>PL12</v>
      </c>
      <c r="AS287" s="53" t="str">
        <f t="shared" si="28"/>
        <v>Thừa 2</v>
      </c>
      <c r="AT287" s="53" t="s">
        <v>154</v>
      </c>
      <c r="AU287" s="53" t="s">
        <v>1021</v>
      </c>
      <c r="AV287" s="53" t="s">
        <v>1022</v>
      </c>
      <c r="AW287" s="53" t="s">
        <v>57</v>
      </c>
      <c r="AX287" s="53">
        <v>1</v>
      </c>
      <c r="AY287" s="83"/>
      <c r="AZ287" s="53"/>
      <c r="BA287" s="53"/>
    </row>
    <row r="288" spans="3:53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6"/>
        <v>1</v>
      </c>
      <c r="M288" s="26">
        <f t="shared" si="25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67" t="e">
        <f>SUMIFS([2]Up!$J:$J,[2]Up!$D:$D,D288)</f>
        <v>#VALUE!</v>
      </c>
      <c r="AQ288" s="82" t="s">
        <v>2074</v>
      </c>
      <c r="AR288" s="82" t="str">
        <f t="shared" si="27"/>
        <v>PL12</v>
      </c>
      <c r="AS288" s="53" t="str">
        <f t="shared" si="28"/>
        <v>Thừa 1</v>
      </c>
      <c r="AT288" s="53" t="s">
        <v>154</v>
      </c>
      <c r="AU288" s="53" t="s">
        <v>1021</v>
      </c>
      <c r="AV288" s="53" t="s">
        <v>1022</v>
      </c>
      <c r="AW288" s="53" t="s">
        <v>57</v>
      </c>
      <c r="AX288" s="53">
        <v>1</v>
      </c>
      <c r="AY288" s="83"/>
      <c r="AZ288" s="53"/>
      <c r="BA288" s="53"/>
    </row>
    <row r="289" spans="3:54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6"/>
        <v>1</v>
      </c>
      <c r="M289" s="26">
        <f t="shared" si="2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67" t="e">
        <f>SUMIFS([2]Up!$J:$J,[2]Up!$D:$D,D289)</f>
        <v>#VALUE!</v>
      </c>
      <c r="AQ289" s="82"/>
      <c r="AR289" s="82" t="str">
        <f t="shared" si="27"/>
        <v>PL12</v>
      </c>
      <c r="AS289" s="53" t="str">
        <f t="shared" si="28"/>
        <v/>
      </c>
      <c r="AT289" s="53" t="s">
        <v>154</v>
      </c>
      <c r="AU289" s="53" t="s">
        <v>1021</v>
      </c>
      <c r="AV289" s="53" t="s">
        <v>1022</v>
      </c>
      <c r="AW289" s="53" t="s">
        <v>1399</v>
      </c>
      <c r="AX289" s="53">
        <v>1</v>
      </c>
      <c r="AY289" s="83" t="s">
        <v>2223</v>
      </c>
      <c r="AZ289" s="53"/>
      <c r="BA289" s="53"/>
    </row>
    <row r="290" spans="3:54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6"/>
        <v>1</v>
      </c>
      <c r="M290" s="26">
        <f t="shared" si="25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67" t="e">
        <f>SUMIFS([2]Up!$J:$J,[2]Up!$D:$D,D290)</f>
        <v>#VALUE!</v>
      </c>
      <c r="AQ290" s="82" t="s">
        <v>2073</v>
      </c>
      <c r="AR290" s="82" t="str">
        <f t="shared" si="27"/>
        <v>PL12</v>
      </c>
      <c r="AS290" s="53" t="str">
        <f t="shared" si="28"/>
        <v>Thừa 3</v>
      </c>
      <c r="AT290" s="53" t="s">
        <v>154</v>
      </c>
      <c r="AU290" s="53" t="s">
        <v>1021</v>
      </c>
      <c r="AV290" s="53" t="s">
        <v>1022</v>
      </c>
      <c r="AW290" s="53" t="s">
        <v>57</v>
      </c>
      <c r="AX290" s="53">
        <v>1</v>
      </c>
      <c r="AY290" s="83"/>
      <c r="AZ290" s="53"/>
      <c r="BA290" s="53"/>
    </row>
    <row r="291" spans="3:54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6"/>
        <v>3</v>
      </c>
      <c r="M291" s="26">
        <f t="shared" si="25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67" t="e">
        <f>SUMIFS([2]Up!$J:$J,[2]Up!$D:$D,D291)</f>
        <v>#VALUE!</v>
      </c>
      <c r="AQ291" s="82"/>
      <c r="AR291" s="82" t="str">
        <f t="shared" si="27"/>
        <v>PL12</v>
      </c>
      <c r="AS291" s="53" t="str">
        <f t="shared" si="28"/>
        <v/>
      </c>
      <c r="AT291" s="53" t="s">
        <v>148</v>
      </c>
      <c r="AU291" s="53" t="s">
        <v>1021</v>
      </c>
      <c r="AV291" s="53" t="s">
        <v>1022</v>
      </c>
      <c r="AW291" s="53" t="s">
        <v>1023</v>
      </c>
      <c r="AX291" s="53">
        <v>3</v>
      </c>
      <c r="AY291" s="83">
        <v>46088</v>
      </c>
      <c r="AZ291" s="53"/>
      <c r="BA291" s="53"/>
    </row>
    <row r="292" spans="3:54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6"/>
        <v>3</v>
      </c>
      <c r="M292" s="26">
        <f t="shared" si="25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67" t="e">
        <f>SUMIFS([2]Up!$J:$J,[2]Up!$D:$D,D292)</f>
        <v>#VALUE!</v>
      </c>
      <c r="AQ292" s="82"/>
      <c r="AR292" s="82" t="str">
        <f t="shared" si="27"/>
        <v>PL12</v>
      </c>
      <c r="AS292" s="53" t="str">
        <f t="shared" si="28"/>
        <v/>
      </c>
      <c r="AT292" s="53" t="s">
        <v>148</v>
      </c>
      <c r="AU292" s="53" t="s">
        <v>1021</v>
      </c>
      <c r="AV292" s="53" t="s">
        <v>1022</v>
      </c>
      <c r="AW292" s="53" t="s">
        <v>1023</v>
      </c>
      <c r="AX292" s="53">
        <v>3</v>
      </c>
      <c r="AY292" s="83">
        <v>46088</v>
      </c>
      <c r="AZ292" s="53"/>
      <c r="BA292" s="53"/>
    </row>
    <row r="293" spans="3:54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6"/>
        <v>2</v>
      </c>
      <c r="M293" s="26">
        <f t="shared" si="25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67" t="e">
        <f>SUMIFS([2]Up!$J:$J,[2]Up!$D:$D,D293)</f>
        <v>#VALUE!</v>
      </c>
      <c r="AQ293" s="82"/>
      <c r="AR293" s="82" t="str">
        <f t="shared" si="27"/>
        <v>PL15</v>
      </c>
      <c r="AS293" s="53" t="str">
        <f t="shared" si="28"/>
        <v/>
      </c>
      <c r="AT293" s="53" t="s">
        <v>148</v>
      </c>
      <c r="AU293" s="53" t="s">
        <v>1094</v>
      </c>
      <c r="AV293" s="53" t="s">
        <v>1095</v>
      </c>
      <c r="AW293" s="53" t="s">
        <v>1304</v>
      </c>
      <c r="AX293" s="53">
        <v>2</v>
      </c>
      <c r="AY293" s="83">
        <v>46088</v>
      </c>
      <c r="AZ293" s="53"/>
      <c r="BA293" s="53"/>
    </row>
    <row r="294" spans="3:54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6"/>
        <v>2</v>
      </c>
      <c r="M294" s="26">
        <f t="shared" si="25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67" t="e">
        <f>SUMIFS([2]Up!$J:$J,[2]Up!$D:$D,D294)</f>
        <v>#VALUE!</v>
      </c>
      <c r="AQ294" s="82"/>
      <c r="AR294" s="82" t="str">
        <f t="shared" si="27"/>
        <v>PL20</v>
      </c>
      <c r="AS294" s="53" t="str">
        <f t="shared" si="28"/>
        <v/>
      </c>
      <c r="AT294" s="53" t="s">
        <v>148</v>
      </c>
      <c r="AU294" s="53" t="s">
        <v>1100</v>
      </c>
      <c r="AV294" s="53" t="s">
        <v>1101</v>
      </c>
      <c r="AW294" s="53" t="s">
        <v>1308</v>
      </c>
      <c r="AX294" s="53">
        <v>2</v>
      </c>
      <c r="AY294" s="83">
        <v>46242</v>
      </c>
      <c r="AZ294" s="53"/>
      <c r="BA294" s="53"/>
    </row>
    <row r="295" spans="3:54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6"/>
        <v>1</v>
      </c>
      <c r="M295" s="26">
        <f t="shared" si="2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67" t="e">
        <f>SUMIFS([2]Up!$J:$J,[2]Up!$D:$D,D295)</f>
        <v>#VALUE!</v>
      </c>
      <c r="AQ295" s="82"/>
      <c r="AR295" s="82" t="str">
        <f t="shared" si="27"/>
        <v>PL12</v>
      </c>
      <c r="AS295" s="53" t="str">
        <f t="shared" si="28"/>
        <v/>
      </c>
      <c r="AT295" s="53" t="s">
        <v>154</v>
      </c>
      <c r="AU295" s="53" t="s">
        <v>1021</v>
      </c>
      <c r="AV295" s="53" t="s">
        <v>1022</v>
      </c>
      <c r="AW295" s="53" t="s">
        <v>1399</v>
      </c>
      <c r="AX295" s="53">
        <v>1</v>
      </c>
      <c r="AY295" s="83" t="s">
        <v>2223</v>
      </c>
      <c r="AZ295" s="53"/>
      <c r="BA295" s="53"/>
    </row>
    <row r="296" spans="3:54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6"/>
        <v>1</v>
      </c>
      <c r="M296" s="26">
        <f t="shared" si="25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67" t="e">
        <f>SUMIFS([2]Up!$J:$J,[2]Up!$D:$D,D296)</f>
        <v>#VALUE!</v>
      </c>
      <c r="AQ296" s="82" t="s">
        <v>2072</v>
      </c>
      <c r="AR296" s="82" t="str">
        <f t="shared" si="27"/>
        <v>PL12</v>
      </c>
      <c r="AS296" s="53" t="str">
        <f t="shared" si="28"/>
        <v>Thừa 2</v>
      </c>
      <c r="AT296" s="53" t="s">
        <v>154</v>
      </c>
      <c r="AU296" s="53" t="s">
        <v>1021</v>
      </c>
      <c r="AV296" s="53" t="s">
        <v>1022</v>
      </c>
      <c r="AW296" s="53" t="s">
        <v>57</v>
      </c>
      <c r="AX296" s="53">
        <v>1</v>
      </c>
      <c r="AY296" s="83"/>
      <c r="AZ296" s="53"/>
      <c r="BA296" s="53"/>
    </row>
    <row r="297" spans="3:54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6"/>
        <v>3</v>
      </c>
      <c r="M297" s="26">
        <f t="shared" si="25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67" t="e">
        <f>SUMIFS([2]Up!$J:$J,[2]Up!$D:$D,D297)</f>
        <v>#VALUE!</v>
      </c>
      <c r="AQ297" s="82"/>
      <c r="AR297" s="82" t="str">
        <f t="shared" si="27"/>
        <v>PL12</v>
      </c>
      <c r="AS297" s="53" t="str">
        <f t="shared" si="28"/>
        <v/>
      </c>
      <c r="AT297" s="53" t="s">
        <v>154</v>
      </c>
      <c r="AU297" s="53" t="s">
        <v>1021</v>
      </c>
      <c r="AV297" s="53" t="s">
        <v>1022</v>
      </c>
      <c r="AW297" s="53" t="s">
        <v>1023</v>
      </c>
      <c r="AX297" s="53">
        <v>3</v>
      </c>
      <c r="AY297" s="83">
        <v>46088</v>
      </c>
      <c r="AZ297" s="53"/>
      <c r="BA297" s="53"/>
    </row>
    <row r="298" spans="3:54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6"/>
        <v>3</v>
      </c>
      <c r="M298" s="26">
        <f t="shared" si="25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67" t="e">
        <f>SUMIFS([2]Up!$J:$J,[2]Up!$D:$D,D298)</f>
        <v>#VALUE!</v>
      </c>
      <c r="AQ298" s="82"/>
      <c r="AR298" s="82" t="str">
        <f t="shared" si="27"/>
        <v>PL12</v>
      </c>
      <c r="AS298" s="53" t="str">
        <f t="shared" si="28"/>
        <v/>
      </c>
      <c r="AT298" s="53" t="s">
        <v>154</v>
      </c>
      <c r="AU298" s="53" t="s">
        <v>1021</v>
      </c>
      <c r="AV298" s="53" t="s">
        <v>1022</v>
      </c>
      <c r="AW298" s="53" t="s">
        <v>1023</v>
      </c>
      <c r="AX298" s="53">
        <v>3</v>
      </c>
      <c r="AY298" s="83">
        <v>46088</v>
      </c>
      <c r="AZ298" s="53"/>
      <c r="BA298" s="53"/>
    </row>
    <row r="299" spans="3:54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6"/>
        <v>1</v>
      </c>
      <c r="M299" s="26">
        <f t="shared" si="25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67" t="e">
        <f>SUMIFS([2]Up!$J:$J,[2]Up!$D:$D,D299)</f>
        <v>#VALUE!</v>
      </c>
      <c r="AQ299" s="82" t="s">
        <v>2072</v>
      </c>
      <c r="AR299" s="82" t="str">
        <f t="shared" si="27"/>
        <v>PL12</v>
      </c>
      <c r="AS299" s="53" t="str">
        <f t="shared" si="28"/>
        <v>Thừa 2</v>
      </c>
      <c r="AT299" s="53" t="s">
        <v>154</v>
      </c>
      <c r="AU299" s="53" t="s">
        <v>1021</v>
      </c>
      <c r="AV299" s="53" t="s">
        <v>1022</v>
      </c>
      <c r="AW299" s="53" t="s">
        <v>57</v>
      </c>
      <c r="AX299" s="53">
        <v>1</v>
      </c>
      <c r="AY299" s="83"/>
      <c r="AZ299" s="53"/>
      <c r="BA299" s="53"/>
    </row>
    <row r="300" spans="3:54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6"/>
        <v>0</v>
      </c>
      <c r="M300" s="26">
        <f t="shared" si="25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67" t="e">
        <f>SUMIFS([2]Up!$J:$J,[2]Up!$D:$D,D300)</f>
        <v>#VALUE!</v>
      </c>
      <c r="AQ300" s="82"/>
      <c r="AR300" s="82" t="str">
        <f t="shared" si="27"/>
        <v/>
      </c>
      <c r="AS300" s="53" t="str">
        <f t="shared" si="28"/>
        <v/>
      </c>
      <c r="AT300" s="53" t="s">
        <v>148</v>
      </c>
      <c r="AU300" s="53" t="s">
        <v>1079</v>
      </c>
      <c r="AV300" s="53" t="s">
        <v>1076</v>
      </c>
      <c r="AW300" s="84" t="s">
        <v>2162</v>
      </c>
      <c r="AX300" s="53">
        <v>24</v>
      </c>
      <c r="AY300" s="83" t="s">
        <v>2225</v>
      </c>
      <c r="AZ300" s="53"/>
      <c r="BA300" s="53"/>
      <c r="BB300" s="238"/>
    </row>
    <row r="301" spans="3:54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6"/>
        <v>0</v>
      </c>
      <c r="M301" s="26">
        <f t="shared" si="25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67" t="e">
        <f>SUMIFS([2]Up!$J:$J,[2]Up!$D:$D,D301)</f>
        <v>#VALUE!</v>
      </c>
      <c r="AQ301" s="82"/>
      <c r="AR301" s="82" t="str">
        <f t="shared" si="27"/>
        <v>PL12</v>
      </c>
      <c r="AS301" s="53" t="str">
        <f t="shared" si="28"/>
        <v/>
      </c>
      <c r="AT301" s="53" t="s">
        <v>154</v>
      </c>
      <c r="AU301" s="53" t="s">
        <v>1021</v>
      </c>
      <c r="AV301" s="53" t="s">
        <v>1022</v>
      </c>
      <c r="AW301" s="53" t="s">
        <v>57</v>
      </c>
      <c r="AX301" s="53">
        <v>8</v>
      </c>
      <c r="AY301" s="83"/>
      <c r="AZ301" s="53"/>
      <c r="BA301" s="53"/>
    </row>
    <row r="302" spans="3:54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6"/>
        <v>0</v>
      </c>
      <c r="M302" s="26">
        <f t="shared" si="25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67" t="e">
        <f>SUMIFS([2]Up!$J:$J,[2]Up!$D:$D,D302)</f>
        <v>#VALUE!</v>
      </c>
      <c r="AQ302" s="82"/>
      <c r="AR302" s="82" t="str">
        <f t="shared" si="27"/>
        <v>PL12</v>
      </c>
      <c r="AS302" s="53" t="str">
        <f t="shared" si="28"/>
        <v/>
      </c>
      <c r="AT302" s="53" t="s">
        <v>154</v>
      </c>
      <c r="AU302" s="53" t="s">
        <v>1021</v>
      </c>
      <c r="AV302" s="53" t="s">
        <v>1022</v>
      </c>
      <c r="AW302" s="84" t="s">
        <v>1450</v>
      </c>
      <c r="AX302" s="53">
        <v>4</v>
      </c>
      <c r="AY302" s="83" t="s">
        <v>2228</v>
      </c>
      <c r="AZ302" s="53"/>
      <c r="BA302" s="53"/>
      <c r="BB302" s="238"/>
    </row>
    <row r="303" spans="3:54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6"/>
        <v>0</v>
      </c>
      <c r="M303" s="26">
        <f t="shared" si="25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67" t="e">
        <f>SUMIFS([2]Up!$J:$J,[2]Up!$D:$D,D303)</f>
        <v>#VALUE!</v>
      </c>
      <c r="AQ303" s="82"/>
      <c r="AR303" s="82" t="str">
        <f t="shared" si="27"/>
        <v>PL12</v>
      </c>
      <c r="AS303" s="53" t="str">
        <f t="shared" si="28"/>
        <v/>
      </c>
      <c r="AT303" s="53" t="s">
        <v>154</v>
      </c>
      <c r="AU303" s="53" t="s">
        <v>1021</v>
      </c>
      <c r="AV303" s="53" t="s">
        <v>1022</v>
      </c>
      <c r="AW303" s="84" t="s">
        <v>2174</v>
      </c>
      <c r="AX303" s="53">
        <v>4</v>
      </c>
      <c r="AY303" s="83" t="s">
        <v>2228</v>
      </c>
      <c r="AZ303" s="53"/>
      <c r="BA303" s="53"/>
      <c r="BB303" s="238"/>
    </row>
    <row r="304" spans="3:54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6"/>
        <v>0</v>
      </c>
      <c r="M304" s="26">
        <f t="shared" si="25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67" t="e">
        <f>SUMIFS([2]Up!$J:$J,[2]Up!$D:$D,D304)</f>
        <v>#VALUE!</v>
      </c>
      <c r="AQ304" s="82"/>
      <c r="AR304" s="82" t="str">
        <f t="shared" si="27"/>
        <v>PL12</v>
      </c>
      <c r="AS304" s="53" t="str">
        <f t="shared" si="28"/>
        <v/>
      </c>
      <c r="AT304" s="53" t="s">
        <v>154</v>
      </c>
      <c r="AU304" s="53" t="s">
        <v>1021</v>
      </c>
      <c r="AV304" s="53" t="s">
        <v>1022</v>
      </c>
      <c r="AW304" s="53" t="s">
        <v>57</v>
      </c>
      <c r="AX304" s="53">
        <v>4</v>
      </c>
      <c r="AY304" s="83"/>
      <c r="AZ304" s="53"/>
      <c r="BA304" s="53"/>
    </row>
    <row r="305" spans="3:54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6"/>
        <v>0</v>
      </c>
      <c r="M305" s="26">
        <f t="shared" si="25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67" t="e">
        <f>SUMIFS([2]Up!$J:$J,[2]Up!$D:$D,D305)</f>
        <v>#VALUE!</v>
      </c>
      <c r="AQ305" s="82"/>
      <c r="AR305" s="82" t="str">
        <f t="shared" si="27"/>
        <v>PL12</v>
      </c>
      <c r="AS305" s="53" t="str">
        <f t="shared" si="28"/>
        <v/>
      </c>
      <c r="AT305" s="53" t="s">
        <v>154</v>
      </c>
      <c r="AU305" s="53" t="s">
        <v>1021</v>
      </c>
      <c r="AV305" s="53" t="s">
        <v>1022</v>
      </c>
      <c r="AW305" s="53" t="s">
        <v>57</v>
      </c>
      <c r="AX305" s="53">
        <v>4</v>
      </c>
      <c r="AY305" s="83"/>
      <c r="AZ305" s="53"/>
      <c r="BA305" s="53"/>
    </row>
    <row r="306" spans="3:54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6"/>
        <v>2</v>
      </c>
      <c r="M306" s="26">
        <f t="shared" si="25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67" t="e">
        <f>SUMIFS([2]Up!$J:$J,[2]Up!$D:$D,D306)</f>
        <v>#VALUE!</v>
      </c>
      <c r="AQ306" s="82"/>
      <c r="AR306" s="82" t="str">
        <f t="shared" si="27"/>
        <v>PL15</v>
      </c>
      <c r="AS306" s="53" t="str">
        <f t="shared" si="28"/>
        <v/>
      </c>
      <c r="AT306" s="53" t="s">
        <v>148</v>
      </c>
      <c r="AU306" s="53" t="s">
        <v>1094</v>
      </c>
      <c r="AV306" s="53" t="s">
        <v>1095</v>
      </c>
      <c r="AW306" s="84" t="s">
        <v>2156</v>
      </c>
      <c r="AX306" s="53">
        <v>8</v>
      </c>
      <c r="AY306" s="83" t="s">
        <v>2225</v>
      </c>
      <c r="AZ306" s="53"/>
      <c r="BA306" s="53"/>
      <c r="BB306" s="238"/>
    </row>
    <row r="307" spans="3:54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6"/>
        <v>0</v>
      </c>
      <c r="M307" s="26">
        <f t="shared" si="25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67" t="e">
        <f>SUMIFS([2]Up!$J:$J,[2]Up!$D:$D,D307)</f>
        <v>#VALUE!</v>
      </c>
      <c r="AQ307" s="82"/>
      <c r="AR307" s="82" t="str">
        <f t="shared" si="27"/>
        <v>PL16</v>
      </c>
      <c r="AS307" s="53" t="str">
        <f t="shared" si="28"/>
        <v/>
      </c>
      <c r="AT307" s="53" t="s">
        <v>148</v>
      </c>
      <c r="AU307" s="53" t="s">
        <v>988</v>
      </c>
      <c r="AV307" s="53" t="s">
        <v>989</v>
      </c>
      <c r="AW307" s="84" t="s">
        <v>2161</v>
      </c>
      <c r="AX307" s="53">
        <v>24</v>
      </c>
      <c r="AY307" s="83" t="s">
        <v>2226</v>
      </c>
      <c r="AZ307" s="53"/>
      <c r="BA307" s="53"/>
      <c r="BB307" s="238"/>
    </row>
    <row r="308" spans="3:54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6"/>
        <v>0</v>
      </c>
      <c r="M308" s="26">
        <f t="shared" si="25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67" t="e">
        <f>SUMIFS([2]Up!$J:$J,[2]Up!$D:$D,D308)</f>
        <v>#VALUE!</v>
      </c>
      <c r="AQ308" s="82"/>
      <c r="AR308" s="82" t="str">
        <f t="shared" si="27"/>
        <v>PL16</v>
      </c>
      <c r="AS308" s="53" t="str">
        <f t="shared" si="28"/>
        <v/>
      </c>
      <c r="AT308" s="53" t="s">
        <v>148</v>
      </c>
      <c r="AU308" s="53" t="s">
        <v>988</v>
      </c>
      <c r="AV308" s="53" t="s">
        <v>989</v>
      </c>
      <c r="AW308" s="84" t="s">
        <v>2161</v>
      </c>
      <c r="AX308" s="53">
        <v>24</v>
      </c>
      <c r="AY308" s="83" t="s">
        <v>2226</v>
      </c>
      <c r="AZ308" s="53"/>
      <c r="BA308" s="53"/>
      <c r="BB308" s="238"/>
    </row>
    <row r="309" spans="3:54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6"/>
        <v>0</v>
      </c>
      <c r="M309" s="26">
        <f t="shared" si="25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67" t="e">
        <f>SUMIFS([2]Up!$J:$J,[2]Up!$D:$D,D309)</f>
        <v>#VALUE!</v>
      </c>
      <c r="AQ309" s="82"/>
      <c r="AR309" s="82" t="str">
        <f t="shared" si="27"/>
        <v>PL12</v>
      </c>
      <c r="AS309" s="53" t="str">
        <f t="shared" si="28"/>
        <v/>
      </c>
      <c r="AT309" s="53" t="s">
        <v>148</v>
      </c>
      <c r="AU309" s="53" t="s">
        <v>1021</v>
      </c>
      <c r="AV309" s="53" t="s">
        <v>1022</v>
      </c>
      <c r="AW309" s="84" t="s">
        <v>2160</v>
      </c>
      <c r="AX309" s="53">
        <v>24</v>
      </c>
      <c r="AY309" s="83">
        <v>46302</v>
      </c>
      <c r="AZ309" s="53"/>
      <c r="BA309" s="53"/>
      <c r="BB309" s="238"/>
    </row>
    <row r="310" spans="3:54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6"/>
        <v>0</v>
      </c>
      <c r="M310" s="26">
        <f t="shared" si="25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67" t="e">
        <f>SUMIFS([2]Up!$J:$J,[2]Up!$D:$D,D310)</f>
        <v>#VALUE!</v>
      </c>
      <c r="AQ310" s="82"/>
      <c r="AR310" s="82" t="str">
        <f t="shared" si="27"/>
        <v>PL12</v>
      </c>
      <c r="AS310" s="53" t="str">
        <f t="shared" si="28"/>
        <v/>
      </c>
      <c r="AT310" s="53" t="s">
        <v>148</v>
      </c>
      <c r="AU310" s="53" t="s">
        <v>1021</v>
      </c>
      <c r="AV310" s="53" t="s">
        <v>1022</v>
      </c>
      <c r="AW310" s="84" t="s">
        <v>2160</v>
      </c>
      <c r="AX310" s="53">
        <v>24</v>
      </c>
      <c r="AY310" s="83">
        <v>46302</v>
      </c>
      <c r="AZ310" s="53"/>
      <c r="BA310" s="53"/>
      <c r="BB310" s="238"/>
    </row>
    <row r="311" spans="3:54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6"/>
        <v>0</v>
      </c>
      <c r="M311" s="26">
        <f t="shared" si="25"/>
        <v>2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67" t="e">
        <f>SUMIFS([2]Up!$J:$J,[2]Up!$D:$D,D311)</f>
        <v>#VALUE!</v>
      </c>
      <c r="AQ311" s="82"/>
      <c r="AR311" s="82" t="str">
        <f t="shared" si="27"/>
        <v>PL12</v>
      </c>
      <c r="AS311" s="53" t="str">
        <f t="shared" si="28"/>
        <v/>
      </c>
      <c r="AT311" s="53" t="s">
        <v>154</v>
      </c>
      <c r="AU311" s="53" t="s">
        <v>1021</v>
      </c>
      <c r="AV311" s="53" t="s">
        <v>1022</v>
      </c>
      <c r="AW311" s="53" t="s">
        <v>57</v>
      </c>
      <c r="AX311" s="53">
        <v>4</v>
      </c>
      <c r="AY311" s="83"/>
      <c r="AZ311" s="53"/>
      <c r="BA311" s="53"/>
    </row>
    <row r="312" spans="3:54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6"/>
        <v>0</v>
      </c>
      <c r="M312" s="26">
        <f t="shared" si="25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67" t="e">
        <f>SUMIFS([2]Up!$J:$J,[2]Up!$D:$D,D312)</f>
        <v>#VALUE!</v>
      </c>
      <c r="AQ312" s="82"/>
      <c r="AR312" s="82" t="str">
        <f t="shared" si="27"/>
        <v>PL12</v>
      </c>
      <c r="AS312" s="53" t="str">
        <f t="shared" si="28"/>
        <v/>
      </c>
      <c r="AT312" s="53" t="s">
        <v>154</v>
      </c>
      <c r="AU312" s="53" t="s">
        <v>1021</v>
      </c>
      <c r="AV312" s="53" t="s">
        <v>1022</v>
      </c>
      <c r="AW312" s="84" t="s">
        <v>2155</v>
      </c>
      <c r="AX312" s="53">
        <v>4</v>
      </c>
      <c r="AY312" s="83" t="s">
        <v>2228</v>
      </c>
      <c r="AZ312" s="53"/>
      <c r="BA312" s="53"/>
      <c r="BB312" s="238"/>
    </row>
    <row r="313" spans="3:54" ht="14.25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6"/>
        <v>1</v>
      </c>
      <c r="M313" s="26">
        <f t="shared" si="25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67" t="e">
        <f>SUMIFS([2]Up!$J:$J,[2]Up!$D:$D,D313)</f>
        <v>#VALUE!</v>
      </c>
      <c r="AQ313" s="82" t="s">
        <v>2245</v>
      </c>
      <c r="AR313" s="82" t="str">
        <f t="shared" si="27"/>
        <v>PL12</v>
      </c>
      <c r="AS313" s="53" t="str">
        <f t="shared" si="28"/>
        <v/>
      </c>
      <c r="AT313" s="53" t="s">
        <v>154</v>
      </c>
      <c r="AU313" s="53" t="s">
        <v>1021</v>
      </c>
      <c r="AV313" s="53" t="s">
        <v>1022</v>
      </c>
      <c r="AW313" s="53" t="s">
        <v>57</v>
      </c>
      <c r="AX313" s="53">
        <v>4</v>
      </c>
      <c r="AY313" s="83"/>
      <c r="AZ313" s="53"/>
      <c r="BA313" s="53"/>
    </row>
    <row r="314" spans="3:54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6"/>
        <v>0</v>
      </c>
      <c r="M314" s="26">
        <f t="shared" si="25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67" t="e">
        <f>SUMIFS([2]Up!$J:$J,[2]Up!$D:$D,D314)</f>
        <v>#VALUE!</v>
      </c>
      <c r="AQ314" s="82"/>
      <c r="AR314" s="82" t="str">
        <f t="shared" si="27"/>
        <v>PL12</v>
      </c>
      <c r="AS314" s="53" t="str">
        <f t="shared" si="28"/>
        <v/>
      </c>
      <c r="AT314" s="53" t="s">
        <v>148</v>
      </c>
      <c r="AU314" s="53" t="s">
        <v>1021</v>
      </c>
      <c r="AV314" s="53" t="s">
        <v>1022</v>
      </c>
      <c r="AW314" s="84" t="s">
        <v>2160</v>
      </c>
      <c r="AX314" s="53">
        <v>12</v>
      </c>
      <c r="AY314" s="83">
        <v>46302</v>
      </c>
      <c r="AZ314" s="53"/>
      <c r="BA314" s="53"/>
      <c r="BB314" s="238"/>
    </row>
    <row r="315" spans="3:54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6"/>
        <v>0</v>
      </c>
      <c r="M315" s="26">
        <f t="shared" si="25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67" t="e">
        <f>SUMIFS([2]Up!$J:$J,[2]Up!$D:$D,D315)</f>
        <v>#VALUE!</v>
      </c>
      <c r="AQ315" s="82"/>
      <c r="AR315" s="82" t="str">
        <f t="shared" si="27"/>
        <v>PL12</v>
      </c>
      <c r="AS315" s="53" t="str">
        <f t="shared" si="28"/>
        <v/>
      </c>
      <c r="AT315" s="53" t="s">
        <v>148</v>
      </c>
      <c r="AU315" s="53" t="s">
        <v>1021</v>
      </c>
      <c r="AV315" s="53" t="s">
        <v>1022</v>
      </c>
      <c r="AW315" s="84" t="s">
        <v>2160</v>
      </c>
      <c r="AX315" s="53">
        <v>12</v>
      </c>
      <c r="AY315" s="83">
        <v>46302</v>
      </c>
      <c r="AZ315" s="53"/>
      <c r="BA315" s="53"/>
      <c r="BB315" s="238"/>
    </row>
    <row r="316" spans="3:54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6"/>
        <v>0</v>
      </c>
      <c r="M316" s="26">
        <f t="shared" si="25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67" t="e">
        <f>SUMIFS([2]Up!$J:$J,[2]Up!$D:$D,D316)</f>
        <v>#VALUE!</v>
      </c>
      <c r="AQ316" s="82"/>
      <c r="AR316" s="82" t="str">
        <f t="shared" si="27"/>
        <v>PL15</v>
      </c>
      <c r="AS316" s="53" t="str">
        <f t="shared" si="28"/>
        <v/>
      </c>
      <c r="AT316" s="53" t="s">
        <v>148</v>
      </c>
      <c r="AU316" s="53" t="s">
        <v>1094</v>
      </c>
      <c r="AV316" s="53" t="s">
        <v>1095</v>
      </c>
      <c r="AW316" s="84" t="s">
        <v>2156</v>
      </c>
      <c r="AX316" s="53">
        <v>8</v>
      </c>
      <c r="AY316" s="83" t="s">
        <v>2225</v>
      </c>
      <c r="AZ316" s="53"/>
      <c r="BA316" s="53"/>
      <c r="BB316" s="238"/>
    </row>
    <row r="317" spans="3:54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6"/>
        <v>0</v>
      </c>
      <c r="M317" s="26">
        <f t="shared" si="25"/>
        <v>4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67" t="e">
        <f>SUMIFS([2]Up!$J:$J,[2]Up!$D:$D,D317)</f>
        <v>#VALUE!</v>
      </c>
      <c r="AQ317" s="82"/>
      <c r="AR317" s="82" t="str">
        <f t="shared" si="27"/>
        <v>PL20</v>
      </c>
      <c r="AS317" s="53" t="str">
        <f t="shared" si="28"/>
        <v/>
      </c>
      <c r="AT317" s="53" t="s">
        <v>148</v>
      </c>
      <c r="AU317" s="53" t="s">
        <v>1100</v>
      </c>
      <c r="AV317" s="53" t="s">
        <v>1101</v>
      </c>
      <c r="AW317" s="84" t="s">
        <v>2158</v>
      </c>
      <c r="AX317" s="53">
        <v>8</v>
      </c>
      <c r="AY317" s="83">
        <v>46242</v>
      </c>
      <c r="AZ317" s="53"/>
      <c r="BA317" s="53"/>
      <c r="BB317" s="238"/>
    </row>
    <row r="318" spans="3:54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6"/>
        <v>0</v>
      </c>
      <c r="M318" s="26">
        <f t="shared" si="25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67" t="e">
        <f>SUMIFS([2]Up!$J:$J,[2]Up!$D:$D,D318)</f>
        <v>#VALUE!</v>
      </c>
      <c r="AQ318" s="82"/>
      <c r="AR318" s="82" t="str">
        <f t="shared" si="27"/>
        <v>PL12</v>
      </c>
      <c r="AS318" s="53" t="str">
        <f t="shared" si="28"/>
        <v/>
      </c>
      <c r="AT318" s="53" t="s">
        <v>154</v>
      </c>
      <c r="AU318" s="53" t="s">
        <v>1021</v>
      </c>
      <c r="AV318" s="53" t="s">
        <v>1022</v>
      </c>
      <c r="AW318" s="84" t="s">
        <v>2155</v>
      </c>
      <c r="AX318" s="53">
        <v>4</v>
      </c>
      <c r="AY318" s="83" t="s">
        <v>2228</v>
      </c>
      <c r="AZ318" s="53"/>
      <c r="BA318" s="53"/>
      <c r="BB318" s="238"/>
    </row>
    <row r="319" spans="3:54" ht="14.25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6"/>
        <v>2</v>
      </c>
      <c r="M319" s="26">
        <f t="shared" si="25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67" t="e">
        <f>SUMIFS([2]Up!$J:$J,[2]Up!$D:$D,D319)</f>
        <v>#VALUE!</v>
      </c>
      <c r="AQ319" s="82" t="s">
        <v>2229</v>
      </c>
      <c r="AR319" s="82" t="str">
        <f t="shared" si="27"/>
        <v>PL12</v>
      </c>
      <c r="AS319" s="53" t="str">
        <f t="shared" si="28"/>
        <v/>
      </c>
      <c r="AT319" s="53" t="s">
        <v>154</v>
      </c>
      <c r="AU319" s="53" t="s">
        <v>1021</v>
      </c>
      <c r="AV319" s="53" t="s">
        <v>1022</v>
      </c>
      <c r="AW319" s="53" t="s">
        <v>57</v>
      </c>
      <c r="AX319" s="53">
        <v>4</v>
      </c>
      <c r="AY319" s="83"/>
      <c r="AZ319" s="53"/>
      <c r="BA319" s="53"/>
    </row>
    <row r="320" spans="3:54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6"/>
        <v>0</v>
      </c>
      <c r="M320" s="26">
        <f t="shared" si="25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67" t="e">
        <f>SUMIFS([2]Up!$J:$J,[2]Up!$D:$D,D320)</f>
        <v>#VALUE!</v>
      </c>
      <c r="AQ320" s="82"/>
      <c r="AR320" s="82" t="str">
        <f t="shared" si="27"/>
        <v>PL12</v>
      </c>
      <c r="AS320" s="53" t="str">
        <f t="shared" si="28"/>
        <v/>
      </c>
      <c r="AT320" s="53" t="s">
        <v>148</v>
      </c>
      <c r="AU320" s="53" t="s">
        <v>1021</v>
      </c>
      <c r="AV320" s="53" t="s">
        <v>1022</v>
      </c>
      <c r="AW320" s="84" t="s">
        <v>2160</v>
      </c>
      <c r="AX320" s="53">
        <v>12</v>
      </c>
      <c r="AY320" s="83">
        <v>46302</v>
      </c>
      <c r="AZ320" s="53"/>
      <c r="BA320" s="53"/>
      <c r="BB320" s="238"/>
    </row>
    <row r="321" spans="3:54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6"/>
        <v>0</v>
      </c>
      <c r="M321" s="26">
        <f t="shared" si="25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67" t="e">
        <f>SUMIFS([2]Up!$J:$J,[2]Up!$D:$D,D321)</f>
        <v>#VALUE!</v>
      </c>
      <c r="AQ321" s="82"/>
      <c r="AR321" s="82" t="str">
        <f t="shared" si="27"/>
        <v>PL12</v>
      </c>
      <c r="AS321" s="53" t="str">
        <f t="shared" si="28"/>
        <v/>
      </c>
      <c r="AT321" s="53" t="s">
        <v>148</v>
      </c>
      <c r="AU321" s="53" t="s">
        <v>1021</v>
      </c>
      <c r="AV321" s="53" t="s">
        <v>1022</v>
      </c>
      <c r="AW321" s="84" t="s">
        <v>2160</v>
      </c>
      <c r="AX321" s="53">
        <v>12</v>
      </c>
      <c r="AY321" s="83">
        <v>46302</v>
      </c>
      <c r="AZ321" s="53"/>
      <c r="BA321" s="53"/>
      <c r="BB321" s="238"/>
    </row>
    <row r="322" spans="3:54" ht="14.25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6"/>
        <v>1</v>
      </c>
      <c r="M322" s="26">
        <f t="shared" si="25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67" t="e">
        <f>SUMIFS([2]Up!$J:$J,[2]Up!$D:$D,D322)</f>
        <v>#VALUE!</v>
      </c>
      <c r="AQ322" s="82" t="s">
        <v>2239</v>
      </c>
      <c r="AR322" s="82" t="str">
        <f t="shared" si="27"/>
        <v>PL12</v>
      </c>
      <c r="AS322" s="53" t="str">
        <f t="shared" si="28"/>
        <v/>
      </c>
      <c r="AT322" s="53" t="s">
        <v>154</v>
      </c>
      <c r="AU322" s="53" t="s">
        <v>1021</v>
      </c>
      <c r="AV322" s="53" t="s">
        <v>1022</v>
      </c>
      <c r="AW322" s="53" t="s">
        <v>57</v>
      </c>
      <c r="AX322" s="53">
        <v>4</v>
      </c>
      <c r="AY322" s="83"/>
      <c r="AZ322" s="53"/>
      <c r="BA322" s="53"/>
    </row>
    <row r="323" spans="3:54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6"/>
        <v>0</v>
      </c>
      <c r="M323" s="26">
        <f t="shared" si="25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67" t="e">
        <f>SUMIFS([2]Up!$J:$J,[2]Up!$D:$D,D323)</f>
        <v>#VALUE!</v>
      </c>
      <c r="AQ323" s="82"/>
      <c r="AR323" s="82" t="str">
        <f t="shared" si="27"/>
        <v>PL12</v>
      </c>
      <c r="AS323" s="53" t="str">
        <f t="shared" si="28"/>
        <v/>
      </c>
      <c r="AT323" s="53" t="s">
        <v>154</v>
      </c>
      <c r="AU323" s="53" t="s">
        <v>1021</v>
      </c>
      <c r="AV323" s="53" t="s">
        <v>1022</v>
      </c>
      <c r="AW323" s="84" t="s">
        <v>2155</v>
      </c>
      <c r="AX323" s="53">
        <v>4</v>
      </c>
      <c r="AY323" s="83" t="s">
        <v>2228</v>
      </c>
      <c r="AZ323" s="53"/>
      <c r="BA323" s="53"/>
      <c r="BB323" s="238"/>
    </row>
    <row r="324" spans="3:54" ht="14.25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6"/>
        <v>1</v>
      </c>
      <c r="M324" s="26">
        <f t="shared" si="25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67" t="e">
        <f>SUMIFS([2]Up!$J:$J,[2]Up!$D:$D,D324)</f>
        <v>#VALUE!</v>
      </c>
      <c r="AQ324" s="82" t="s">
        <v>2240</v>
      </c>
      <c r="AR324" s="82" t="str">
        <f t="shared" si="27"/>
        <v>PL12</v>
      </c>
      <c r="AS324" s="53" t="str">
        <f t="shared" si="28"/>
        <v/>
      </c>
      <c r="AT324" s="53" t="s">
        <v>154</v>
      </c>
      <c r="AU324" s="53" t="s">
        <v>1021</v>
      </c>
      <c r="AV324" s="53" t="s">
        <v>1022</v>
      </c>
      <c r="AW324" s="53" t="s">
        <v>57</v>
      </c>
      <c r="AX324" s="53">
        <v>4</v>
      </c>
      <c r="AY324" s="83"/>
      <c r="AZ324" s="53"/>
      <c r="BA324" s="53"/>
    </row>
    <row r="325" spans="3:54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6"/>
        <v>0</v>
      </c>
      <c r="M325" s="26">
        <f t="shared" si="25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67" t="e">
        <f>SUMIFS([2]Up!$J:$J,[2]Up!$D:$D,D325)</f>
        <v>#VALUE!</v>
      </c>
      <c r="AQ325" s="82"/>
      <c r="AR325" s="82" t="str">
        <f t="shared" si="27"/>
        <v>PL12</v>
      </c>
      <c r="AS325" s="53" t="str">
        <f t="shared" si="28"/>
        <v/>
      </c>
      <c r="AT325" s="53" t="s">
        <v>148</v>
      </c>
      <c r="AU325" s="53" t="s">
        <v>1021</v>
      </c>
      <c r="AV325" s="53" t="s">
        <v>1022</v>
      </c>
      <c r="AW325" s="84" t="s">
        <v>2160</v>
      </c>
      <c r="AX325" s="53">
        <v>12</v>
      </c>
      <c r="AY325" s="83">
        <v>46302</v>
      </c>
      <c r="AZ325" s="53"/>
      <c r="BA325" s="53"/>
      <c r="BB325" s="238"/>
    </row>
    <row r="326" spans="3:54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6"/>
        <v>0</v>
      </c>
      <c r="M326" s="26">
        <f t="shared" si="25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67" t="e">
        <f>SUMIFS([2]Up!$J:$J,[2]Up!$D:$D,D326)</f>
        <v>#VALUE!</v>
      </c>
      <c r="AQ326" s="82"/>
      <c r="AR326" s="82" t="str">
        <f t="shared" si="27"/>
        <v>PL12</v>
      </c>
      <c r="AS326" s="53" t="str">
        <f t="shared" si="28"/>
        <v/>
      </c>
      <c r="AT326" s="53" t="s">
        <v>148</v>
      </c>
      <c r="AU326" s="53" t="s">
        <v>1021</v>
      </c>
      <c r="AV326" s="53" t="s">
        <v>1022</v>
      </c>
      <c r="AW326" s="84" t="s">
        <v>2160</v>
      </c>
      <c r="AX326" s="53">
        <v>12</v>
      </c>
      <c r="AY326" s="83">
        <v>46302</v>
      </c>
      <c r="AZ326" s="53"/>
      <c r="BA326" s="53"/>
      <c r="BB326" s="238"/>
    </row>
    <row r="327" spans="3:54" ht="14.25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6"/>
        <v>1</v>
      </c>
      <c r="M327" s="26">
        <f t="shared" si="25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67" t="e">
        <f>SUMIFS([2]Up!$J:$J,[2]Up!$D:$D,D327)</f>
        <v>#VALUE!</v>
      </c>
      <c r="AQ327" s="82" t="s">
        <v>2239</v>
      </c>
      <c r="AR327" s="82" t="str">
        <f t="shared" si="27"/>
        <v>PL12</v>
      </c>
      <c r="AS327" s="53" t="str">
        <f t="shared" si="28"/>
        <v/>
      </c>
      <c r="AT327" s="53" t="s">
        <v>154</v>
      </c>
      <c r="AU327" s="53" t="s">
        <v>1021</v>
      </c>
      <c r="AV327" s="53" t="s">
        <v>1022</v>
      </c>
      <c r="AW327" s="53" t="s">
        <v>57</v>
      </c>
      <c r="AX327" s="53">
        <v>4</v>
      </c>
      <c r="AY327" s="83"/>
      <c r="AZ327" s="53"/>
      <c r="BA327" s="53"/>
    </row>
    <row r="328" spans="3:54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6"/>
        <v>3</v>
      </c>
      <c r="M328" s="26">
        <f t="shared" si="25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67" t="e">
        <f>SUMIFS([2]Up!$J:$J,[2]Up!$D:$D,D328)</f>
        <v>#VALUE!</v>
      </c>
      <c r="AQ328" s="82"/>
      <c r="AR328" s="82" t="str">
        <f t="shared" si="27"/>
        <v/>
      </c>
      <c r="AS328" s="53" t="str">
        <f t="shared" si="28"/>
        <v/>
      </c>
      <c r="AT328" s="53" t="s">
        <v>148</v>
      </c>
      <c r="AU328" s="53" t="s">
        <v>1079</v>
      </c>
      <c r="AV328" s="53" t="s">
        <v>1076</v>
      </c>
      <c r="AW328" s="53" t="s">
        <v>1290</v>
      </c>
      <c r="AX328" s="53">
        <v>3</v>
      </c>
      <c r="AY328" s="83">
        <v>46362</v>
      </c>
      <c r="AZ328" s="53"/>
      <c r="BA328" s="53"/>
    </row>
    <row r="329" spans="3:54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6"/>
        <v>1</v>
      </c>
      <c r="M329" s="26">
        <f t="shared" si="25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67" t="e">
        <f>SUMIFS([2]Up!$J:$J,[2]Up!$D:$D,D329)</f>
        <v>#VALUE!</v>
      </c>
      <c r="AQ329" s="82" t="s">
        <v>2229</v>
      </c>
      <c r="AR329" s="82" t="str">
        <f t="shared" si="27"/>
        <v>PL10</v>
      </c>
      <c r="AS329" s="53" t="str">
        <f t="shared" si="28"/>
        <v>Thừa 1</v>
      </c>
      <c r="AT329" s="53" t="s">
        <v>154</v>
      </c>
      <c r="AU329" s="53" t="s">
        <v>1005</v>
      </c>
      <c r="AV329" s="53" t="s">
        <v>1006</v>
      </c>
      <c r="AW329" s="53" t="s">
        <v>57</v>
      </c>
      <c r="AX329" s="53">
        <v>1</v>
      </c>
      <c r="AY329" s="83"/>
      <c r="AZ329" s="53"/>
      <c r="BA329" s="53"/>
    </row>
    <row r="330" spans="3:54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6"/>
        <v>1</v>
      </c>
      <c r="M330" s="26">
        <f t="shared" si="25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67" t="e">
        <f>SUMIFS([2]Up!$J:$J,[2]Up!$D:$D,D330)</f>
        <v>#VALUE!</v>
      </c>
      <c r="AQ330" s="82" t="s">
        <v>2074</v>
      </c>
      <c r="AR330" s="82" t="str">
        <f t="shared" si="27"/>
        <v>PL12</v>
      </c>
      <c r="AS330" s="53" t="str">
        <f t="shared" si="28"/>
        <v>Thừa 1</v>
      </c>
      <c r="AT330" s="53" t="s">
        <v>154</v>
      </c>
      <c r="AU330" s="53" t="s">
        <v>1021</v>
      </c>
      <c r="AV330" s="53" t="s">
        <v>1022</v>
      </c>
      <c r="AW330" s="53" t="s">
        <v>57</v>
      </c>
      <c r="AX330" s="53">
        <v>1</v>
      </c>
      <c r="AY330" s="83"/>
      <c r="AZ330" s="53"/>
      <c r="BA330" s="53"/>
    </row>
    <row r="331" spans="3:54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6"/>
        <v>1</v>
      </c>
      <c r="M331" s="26">
        <f t="shared" si="25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67" t="e">
        <f>SUMIFS([2]Up!$J:$J,[2]Up!$D:$D,D331)</f>
        <v>#VALUE!</v>
      </c>
      <c r="AQ331" s="82" t="s">
        <v>2074</v>
      </c>
      <c r="AR331" s="82" t="str">
        <f t="shared" si="27"/>
        <v>PL12</v>
      </c>
      <c r="AS331" s="53" t="str">
        <f t="shared" si="28"/>
        <v>Thừa 1</v>
      </c>
      <c r="AT331" s="53" t="s">
        <v>154</v>
      </c>
      <c r="AU331" s="53" t="s">
        <v>1021</v>
      </c>
      <c r="AV331" s="53" t="s">
        <v>1022</v>
      </c>
      <c r="AW331" s="53" t="s">
        <v>57</v>
      </c>
      <c r="AX331" s="53">
        <v>1</v>
      </c>
      <c r="AY331" s="83"/>
      <c r="AZ331" s="53"/>
      <c r="BA331" s="53"/>
    </row>
    <row r="332" spans="3:54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6"/>
        <v>3</v>
      </c>
      <c r="M332" s="26">
        <f t="shared" si="25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67" t="e">
        <f>SUMIFS([2]Up!$J:$J,[2]Up!$D:$D,D332)</f>
        <v>#VALUE!</v>
      </c>
      <c r="AQ332" s="82"/>
      <c r="AR332" s="82" t="str">
        <f t="shared" si="27"/>
        <v>PL12</v>
      </c>
      <c r="AS332" s="53" t="str">
        <f t="shared" si="28"/>
        <v/>
      </c>
      <c r="AT332" s="53" t="s">
        <v>148</v>
      </c>
      <c r="AU332" s="53" t="s">
        <v>1021</v>
      </c>
      <c r="AV332" s="53" t="s">
        <v>1022</v>
      </c>
      <c r="AW332" s="53" t="s">
        <v>1023</v>
      </c>
      <c r="AX332" s="53">
        <v>3</v>
      </c>
      <c r="AY332" s="83">
        <v>46088</v>
      </c>
      <c r="AZ332" s="53"/>
      <c r="BA332" s="53"/>
    </row>
    <row r="333" spans="3:54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6"/>
        <v>3</v>
      </c>
      <c r="M333" s="26">
        <f t="shared" si="25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67" t="e">
        <f>SUMIFS([2]Up!$J:$J,[2]Up!$D:$D,D333)</f>
        <v>#VALUE!</v>
      </c>
      <c r="AQ333" s="82"/>
      <c r="AR333" s="82" t="str">
        <f t="shared" si="27"/>
        <v>PL12</v>
      </c>
      <c r="AS333" s="53" t="str">
        <f t="shared" si="28"/>
        <v/>
      </c>
      <c r="AT333" s="53" t="s">
        <v>148</v>
      </c>
      <c r="AU333" s="53" t="s">
        <v>1021</v>
      </c>
      <c r="AV333" s="53" t="s">
        <v>1022</v>
      </c>
      <c r="AW333" s="53" t="s">
        <v>1023</v>
      </c>
      <c r="AX333" s="53">
        <v>3</v>
      </c>
      <c r="AY333" s="83">
        <v>46088</v>
      </c>
      <c r="AZ333" s="53"/>
      <c r="BA333" s="53"/>
    </row>
    <row r="334" spans="3:54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6"/>
        <v>6</v>
      </c>
      <c r="M334" s="26">
        <f t="shared" si="25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67" t="e">
        <f>SUMIFS([2]Up!$J:$J,[2]Up!$D:$D,D334)</f>
        <v>#VALUE!</v>
      </c>
      <c r="AQ334" s="82"/>
      <c r="AR334" s="82" t="str">
        <f t="shared" si="27"/>
        <v>PL16</v>
      </c>
      <c r="AS334" s="53" t="str">
        <f t="shared" si="28"/>
        <v/>
      </c>
      <c r="AT334" s="53" t="s">
        <v>148</v>
      </c>
      <c r="AU334" s="53" t="s">
        <v>988</v>
      </c>
      <c r="AV334" s="53" t="s">
        <v>989</v>
      </c>
      <c r="AW334" s="53" t="s">
        <v>990</v>
      </c>
      <c r="AX334" s="53">
        <v>6</v>
      </c>
      <c r="AY334" s="83" t="s">
        <v>2223</v>
      </c>
      <c r="AZ334" s="53"/>
      <c r="BA334" s="53"/>
    </row>
    <row r="335" spans="3:54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6"/>
        <v>0</v>
      </c>
      <c r="M335" s="26">
        <f t="shared" si="25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67" t="e">
        <f>SUMIFS([2]Up!$J:$J,[2]Up!$D:$D,D335)</f>
        <v>#VALUE!</v>
      </c>
      <c r="AQ335" s="82"/>
      <c r="AR335" s="82" t="str">
        <f t="shared" si="27"/>
        <v>PL10</v>
      </c>
      <c r="AS335" s="53" t="str">
        <f t="shared" si="28"/>
        <v/>
      </c>
      <c r="AT335" s="53" t="s">
        <v>154</v>
      </c>
      <c r="AU335" s="53" t="s">
        <v>1005</v>
      </c>
      <c r="AV335" s="53" t="s">
        <v>1006</v>
      </c>
      <c r="AW335" s="53" t="s">
        <v>1064</v>
      </c>
      <c r="AX335" s="53">
        <v>1</v>
      </c>
      <c r="AY335" s="83">
        <v>46088</v>
      </c>
      <c r="AZ335" s="53"/>
      <c r="BA335" s="53"/>
    </row>
    <row r="336" spans="3:54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6"/>
        <v>2</v>
      </c>
      <c r="M336" s="26">
        <f t="shared" si="25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67" t="e">
        <f>SUMIFS([2]Up!$J:$J,[2]Up!$D:$D,D336)</f>
        <v>#VALUE!</v>
      </c>
      <c r="AQ336" s="82"/>
      <c r="AR336" s="82" t="str">
        <f t="shared" si="27"/>
        <v>PL20</v>
      </c>
      <c r="AS336" s="53" t="str">
        <f t="shared" si="28"/>
        <v/>
      </c>
      <c r="AT336" s="53" t="s">
        <v>148</v>
      </c>
      <c r="AU336" s="53" t="s">
        <v>1100</v>
      </c>
      <c r="AV336" s="53" t="s">
        <v>1101</v>
      </c>
      <c r="AW336" s="53" t="s">
        <v>1308</v>
      </c>
      <c r="AX336" s="53">
        <v>2</v>
      </c>
      <c r="AY336" s="83">
        <v>46242</v>
      </c>
      <c r="AZ336" s="53"/>
      <c r="BA336" s="53"/>
    </row>
    <row r="337" spans="3:53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6"/>
        <v>3</v>
      </c>
      <c r="M337" s="26">
        <f t="shared" si="25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67" t="e">
        <f>SUMIFS([2]Up!$J:$J,[2]Up!$D:$D,D337)</f>
        <v>#VALUE!</v>
      </c>
      <c r="AQ337" s="82"/>
      <c r="AR337" s="82" t="str">
        <f t="shared" si="27"/>
        <v>PL20</v>
      </c>
      <c r="AS337" s="53" t="str">
        <f t="shared" si="28"/>
        <v/>
      </c>
      <c r="AT337" s="53" t="s">
        <v>148</v>
      </c>
      <c r="AU337" s="53" t="s">
        <v>1100</v>
      </c>
      <c r="AV337" s="53" t="s">
        <v>1101</v>
      </c>
      <c r="AW337" s="53" t="s">
        <v>1308</v>
      </c>
      <c r="AX337" s="53">
        <v>3</v>
      </c>
      <c r="AY337" s="83">
        <v>46242</v>
      </c>
      <c r="AZ337" s="53"/>
      <c r="BA337" s="53"/>
    </row>
    <row r="338" spans="3:53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6"/>
        <v>1</v>
      </c>
      <c r="M338" s="26">
        <f t="shared" si="25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67" t="e">
        <f>SUMIFS([2]Up!$J:$J,[2]Up!$D:$D,D338)</f>
        <v>#VALUE!</v>
      </c>
      <c r="AQ338" s="82"/>
      <c r="AR338" s="82" t="str">
        <f t="shared" si="27"/>
        <v>PL20</v>
      </c>
      <c r="AS338" s="53" t="str">
        <f t="shared" si="28"/>
        <v/>
      </c>
      <c r="AT338" s="53" t="s">
        <v>148</v>
      </c>
      <c r="AU338" s="53" t="s">
        <v>1100</v>
      </c>
      <c r="AV338" s="53" t="s">
        <v>1101</v>
      </c>
      <c r="AW338" s="53" t="s">
        <v>1308</v>
      </c>
      <c r="AX338" s="53">
        <v>1</v>
      </c>
      <c r="AY338" s="83">
        <v>46242</v>
      </c>
      <c r="AZ338" s="53"/>
      <c r="BA338" s="53"/>
    </row>
    <row r="339" spans="3:53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6"/>
        <v>1</v>
      </c>
      <c r="M339" s="26">
        <f t="shared" si="25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67" t="e">
        <f>SUMIFS([2]Up!$J:$J,[2]Up!$D:$D,D339)</f>
        <v>#VALUE!</v>
      </c>
      <c r="AQ339" s="82"/>
      <c r="AR339" s="82" t="str">
        <f t="shared" si="27"/>
        <v>PL30</v>
      </c>
      <c r="AS339" s="53" t="str">
        <f t="shared" si="28"/>
        <v/>
      </c>
      <c r="AT339" s="53" t="s">
        <v>148</v>
      </c>
      <c r="AU339" s="53" t="s">
        <v>1059</v>
      </c>
      <c r="AV339" s="53" t="s">
        <v>1060</v>
      </c>
      <c r="AW339" s="53" t="s">
        <v>1061</v>
      </c>
      <c r="AX339" s="53">
        <v>1</v>
      </c>
      <c r="AY339" s="83" t="s">
        <v>2223</v>
      </c>
      <c r="AZ339" s="53"/>
      <c r="BA339" s="53"/>
    </row>
    <row r="340" spans="3:53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6"/>
        <v>1</v>
      </c>
      <c r="M340" s="26">
        <f t="shared" si="25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67" t="e">
        <f>SUMIFS([2]Up!$J:$J,[2]Up!$D:$D,D340)</f>
        <v>#VALUE!</v>
      </c>
      <c r="AQ340" s="82"/>
      <c r="AR340" s="82" t="str">
        <f t="shared" si="27"/>
        <v>PL10</v>
      </c>
      <c r="AS340" s="53" t="str">
        <f t="shared" si="28"/>
        <v/>
      </c>
      <c r="AT340" s="53" t="s">
        <v>148</v>
      </c>
      <c r="AU340" s="53" t="s">
        <v>1005</v>
      </c>
      <c r="AV340" s="53" t="s">
        <v>1006</v>
      </c>
      <c r="AW340" s="53" t="s">
        <v>1064</v>
      </c>
      <c r="AX340" s="53">
        <v>1</v>
      </c>
      <c r="AY340" s="83">
        <v>46088</v>
      </c>
      <c r="AZ340" s="53"/>
      <c r="BA340" s="53"/>
    </row>
    <row r="341" spans="3:53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6"/>
        <v>1</v>
      </c>
      <c r="M341" s="26">
        <f t="shared" si="25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67" t="e">
        <f>SUMIFS([2]Up!$J:$J,[2]Up!$D:$D,D341)</f>
        <v>#VALUE!</v>
      </c>
      <c r="AQ341" s="82" t="s">
        <v>2072</v>
      </c>
      <c r="AR341" s="82" t="str">
        <f t="shared" si="27"/>
        <v>PL12</v>
      </c>
      <c r="AS341" s="53" t="str">
        <f t="shared" si="28"/>
        <v>Thừa 2</v>
      </c>
      <c r="AT341" s="53" t="s">
        <v>154</v>
      </c>
      <c r="AU341" s="53" t="s">
        <v>1021</v>
      </c>
      <c r="AV341" s="53" t="s">
        <v>1022</v>
      </c>
      <c r="AW341" s="53" t="s">
        <v>57</v>
      </c>
      <c r="AX341" s="53">
        <v>1</v>
      </c>
      <c r="AY341" s="83"/>
      <c r="AZ341" s="53"/>
      <c r="BA341" s="53"/>
    </row>
    <row r="342" spans="3:53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6"/>
        <v>1</v>
      </c>
      <c r="M342" s="26">
        <f t="shared" si="25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67" t="e">
        <f>SUMIFS([2]Up!$J:$J,[2]Up!$D:$D,D342)</f>
        <v>#VALUE!</v>
      </c>
      <c r="AQ342" s="82"/>
      <c r="AR342" s="82" t="str">
        <f t="shared" si="27"/>
        <v>PL10</v>
      </c>
      <c r="AS342" s="53" t="str">
        <f t="shared" si="28"/>
        <v/>
      </c>
      <c r="AT342" s="53" t="s">
        <v>148</v>
      </c>
      <c r="AU342" s="53" t="s">
        <v>1005</v>
      </c>
      <c r="AV342" s="53" t="s">
        <v>1006</v>
      </c>
      <c r="AW342" s="53" t="s">
        <v>1064</v>
      </c>
      <c r="AX342" s="53">
        <v>1</v>
      </c>
      <c r="AY342" s="83">
        <v>46088</v>
      </c>
      <c r="AZ342" s="53"/>
      <c r="BA342" s="53"/>
    </row>
    <row r="343" spans="3:53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6"/>
        <v>2</v>
      </c>
      <c r="M343" s="26">
        <f t="shared" si="25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67" t="e">
        <f>SUMIFS([2]Up!$J:$J,[2]Up!$D:$D,D343)</f>
        <v>#VALUE!</v>
      </c>
      <c r="AQ343" s="82"/>
      <c r="AR343" s="82" t="str">
        <f t="shared" si="27"/>
        <v>PL15</v>
      </c>
      <c r="AS343" s="53" t="str">
        <f t="shared" si="28"/>
        <v/>
      </c>
      <c r="AT343" s="53" t="s">
        <v>148</v>
      </c>
      <c r="AU343" s="53" t="s">
        <v>1094</v>
      </c>
      <c r="AV343" s="53" t="s">
        <v>1095</v>
      </c>
      <c r="AW343" s="53" t="s">
        <v>1304</v>
      </c>
      <c r="AX343" s="53">
        <v>2</v>
      </c>
      <c r="AY343" s="83">
        <v>46088</v>
      </c>
      <c r="AZ343" s="53"/>
      <c r="BA343" s="53"/>
    </row>
    <row r="344" spans="3:53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6"/>
        <v>1</v>
      </c>
      <c r="M344" s="26">
        <f t="shared" si="25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67" t="e">
        <f>SUMIFS([2]Up!$J:$J,[2]Up!$D:$D,D344)</f>
        <v>#VALUE!</v>
      </c>
      <c r="AQ344" s="82" t="s">
        <v>2074</v>
      </c>
      <c r="AR344" s="82" t="str">
        <f t="shared" si="27"/>
        <v>PL10</v>
      </c>
      <c r="AS344" s="53" t="str">
        <f t="shared" si="28"/>
        <v>Thừa 1</v>
      </c>
      <c r="AT344" s="53" t="s">
        <v>154</v>
      </c>
      <c r="AU344" s="53" t="s">
        <v>1005</v>
      </c>
      <c r="AV344" s="53" t="s">
        <v>1006</v>
      </c>
      <c r="AW344" s="53" t="s">
        <v>57</v>
      </c>
      <c r="AX344" s="53">
        <v>1</v>
      </c>
      <c r="AY344" s="83"/>
      <c r="AZ344" s="53"/>
      <c r="BA344" s="53"/>
    </row>
    <row r="345" spans="3:53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6"/>
        <v>1</v>
      </c>
      <c r="M345" s="26">
        <f t="shared" si="25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67" t="e">
        <f>SUMIFS([2]Up!$J:$J,[2]Up!$D:$D,D345)</f>
        <v>#VALUE!</v>
      </c>
      <c r="AQ345" s="82"/>
      <c r="AR345" s="82" t="str">
        <f t="shared" si="27"/>
        <v>PL10</v>
      </c>
      <c r="AS345" s="53" t="str">
        <f t="shared" si="28"/>
        <v/>
      </c>
      <c r="AT345" s="53" t="s">
        <v>148</v>
      </c>
      <c r="AU345" s="53" t="s">
        <v>1005</v>
      </c>
      <c r="AV345" s="53" t="s">
        <v>1006</v>
      </c>
      <c r="AW345" s="53" t="s">
        <v>1064</v>
      </c>
      <c r="AX345" s="53">
        <v>1</v>
      </c>
      <c r="AY345" s="83">
        <v>46088</v>
      </c>
      <c r="AZ345" s="53"/>
      <c r="BA345" s="53"/>
    </row>
    <row r="346" spans="3:53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6"/>
        <v>2</v>
      </c>
      <c r="M346" s="26">
        <f t="shared" si="25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67" t="e">
        <f>SUMIFS([2]Up!$J:$J,[2]Up!$D:$D,D346)</f>
        <v>#VALUE!</v>
      </c>
      <c r="AQ346" s="82"/>
      <c r="AR346" s="82" t="str">
        <f t="shared" si="27"/>
        <v>PL20</v>
      </c>
      <c r="AS346" s="53" t="str">
        <f t="shared" si="28"/>
        <v/>
      </c>
      <c r="AT346" s="53" t="s">
        <v>148</v>
      </c>
      <c r="AU346" s="53" t="s">
        <v>1100</v>
      </c>
      <c r="AV346" s="53" t="s">
        <v>1101</v>
      </c>
      <c r="AW346" s="53" t="s">
        <v>1308</v>
      </c>
      <c r="AX346" s="53">
        <v>2</v>
      </c>
      <c r="AY346" s="83">
        <v>46242</v>
      </c>
      <c r="AZ346" s="53"/>
      <c r="BA346" s="53"/>
    </row>
    <row r="347" spans="3:53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6"/>
        <v>1</v>
      </c>
      <c r="M347" s="26">
        <f t="shared" si="25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67" t="e">
        <f>SUMIFS([2]Up!$J:$J,[2]Up!$D:$D,D347)</f>
        <v>#VALUE!</v>
      </c>
      <c r="AQ347" s="82" t="s">
        <v>2074</v>
      </c>
      <c r="AR347" s="82" t="str">
        <f t="shared" si="27"/>
        <v>PL12</v>
      </c>
      <c r="AS347" s="53" t="str">
        <f t="shared" si="28"/>
        <v>Thừa 1</v>
      </c>
      <c r="AT347" s="53" t="s">
        <v>154</v>
      </c>
      <c r="AU347" s="53" t="s">
        <v>1021</v>
      </c>
      <c r="AV347" s="53" t="s">
        <v>1022</v>
      </c>
      <c r="AW347" s="53" t="s">
        <v>57</v>
      </c>
      <c r="AX347" s="53">
        <v>1</v>
      </c>
      <c r="AY347" s="83"/>
      <c r="AZ347" s="53"/>
      <c r="BA347" s="53"/>
    </row>
    <row r="348" spans="3:53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6"/>
        <v>1</v>
      </c>
      <c r="M348" s="26">
        <f t="shared" si="25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67" t="e">
        <f>SUMIFS([2]Up!$J:$J,[2]Up!$D:$D,D348)</f>
        <v>#VALUE!</v>
      </c>
      <c r="AQ348" s="82" t="s">
        <v>2072</v>
      </c>
      <c r="AR348" s="82" t="str">
        <f t="shared" si="27"/>
        <v>PL12</v>
      </c>
      <c r="AS348" s="53" t="str">
        <f t="shared" si="28"/>
        <v>Thừa 2</v>
      </c>
      <c r="AT348" s="53" t="s">
        <v>154</v>
      </c>
      <c r="AU348" s="53" t="s">
        <v>1021</v>
      </c>
      <c r="AV348" s="53" t="s">
        <v>1022</v>
      </c>
      <c r="AW348" s="53" t="s">
        <v>57</v>
      </c>
      <c r="AX348" s="53">
        <v>1</v>
      </c>
      <c r="AY348" s="83"/>
      <c r="AZ348" s="53"/>
      <c r="BA348" s="53"/>
    </row>
    <row r="349" spans="3:53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6"/>
        <v>2</v>
      </c>
      <c r="M349" s="26">
        <f t="shared" si="25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67" t="e">
        <f>SUMIFS([2]Up!$J:$J,[2]Up!$D:$D,D349)</f>
        <v>#VALUE!</v>
      </c>
      <c r="AQ349" s="82"/>
      <c r="AR349" s="82" t="str">
        <f t="shared" si="27"/>
        <v>PL12</v>
      </c>
      <c r="AS349" s="53" t="str">
        <f t="shared" si="28"/>
        <v/>
      </c>
      <c r="AT349" s="53" t="s">
        <v>148</v>
      </c>
      <c r="AU349" s="53" t="s">
        <v>1021</v>
      </c>
      <c r="AV349" s="53" t="s">
        <v>1022</v>
      </c>
      <c r="AW349" s="53" t="s">
        <v>1023</v>
      </c>
      <c r="AX349" s="53">
        <v>2</v>
      </c>
      <c r="AY349" s="83">
        <v>46088</v>
      </c>
      <c r="AZ349" s="53"/>
      <c r="BA349" s="53"/>
    </row>
    <row r="350" spans="3:53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29">MIN(SUM(N350:AO350),I350)</f>
        <v>1</v>
      </c>
      <c r="M350" s="26">
        <f t="shared" si="25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67" t="e">
        <f>SUMIFS([2]Up!$J:$J,[2]Up!$D:$D,D350)</f>
        <v>#VALUE!</v>
      </c>
      <c r="AQ350" s="82"/>
      <c r="AR350" s="82" t="str">
        <f t="shared" ref="AR350:AR413" si="30">IFERROR(IF(C350="Plate",LEFT(E350,FIND("*",E350,1)-1),""),IF(C350="Plate",LEFT(E350,FIND("x",E350,1)-1),""))</f>
        <v>PL10</v>
      </c>
      <c r="AS350" s="53" t="str">
        <f t="shared" ref="AS350:AS413" si="31">IF(ROUND(SUM(N350:AO350)-I350,0)&gt;0,"Thừa "&amp;SUM(N350:AO350)-I350,"")</f>
        <v/>
      </c>
      <c r="AT350" s="53" t="s">
        <v>148</v>
      </c>
      <c r="AU350" s="53" t="s">
        <v>1005</v>
      </c>
      <c r="AV350" s="53" t="s">
        <v>1006</v>
      </c>
      <c r="AW350" s="53" t="s">
        <v>1064</v>
      </c>
      <c r="AX350" s="53">
        <v>1</v>
      </c>
      <c r="AY350" s="83">
        <v>46088</v>
      </c>
      <c r="AZ350" s="53"/>
      <c r="BA350" s="53"/>
    </row>
    <row r="351" spans="3:53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29"/>
        <v>1</v>
      </c>
      <c r="M351" s="26">
        <f t="shared" si="25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67" t="e">
        <f>SUMIFS([2]Up!$J:$J,[2]Up!$D:$D,D351)</f>
        <v>#VALUE!</v>
      </c>
      <c r="AQ351" s="82"/>
      <c r="AR351" s="82" t="str">
        <f t="shared" si="30"/>
        <v>PL10</v>
      </c>
      <c r="AS351" s="53" t="str">
        <f t="shared" si="31"/>
        <v/>
      </c>
      <c r="AT351" s="53" t="s">
        <v>148</v>
      </c>
      <c r="AU351" s="53" t="s">
        <v>1005</v>
      </c>
      <c r="AV351" s="53" t="s">
        <v>1006</v>
      </c>
      <c r="AW351" s="53" t="s">
        <v>1064</v>
      </c>
      <c r="AX351" s="53">
        <v>1</v>
      </c>
      <c r="AY351" s="83">
        <v>46088</v>
      </c>
      <c r="AZ351" s="53"/>
      <c r="BA351" s="53"/>
    </row>
    <row r="352" spans="3:53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29"/>
        <v>1</v>
      </c>
      <c r="M352" s="26">
        <f t="shared" si="25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67" t="e">
        <f>SUMIFS([2]Up!$J:$J,[2]Up!$D:$D,D352)</f>
        <v>#VALUE!</v>
      </c>
      <c r="AQ352" s="82"/>
      <c r="AR352" s="82" t="str">
        <f t="shared" si="30"/>
        <v>PL15</v>
      </c>
      <c r="AS352" s="53" t="str">
        <f t="shared" si="31"/>
        <v/>
      </c>
      <c r="AT352" s="53" t="s">
        <v>148</v>
      </c>
      <c r="AU352" s="53" t="s">
        <v>1094</v>
      </c>
      <c r="AV352" s="53" t="s">
        <v>1095</v>
      </c>
      <c r="AW352" s="53" t="s">
        <v>1304</v>
      </c>
      <c r="AX352" s="53">
        <v>1</v>
      </c>
      <c r="AY352" s="83">
        <v>46088</v>
      </c>
      <c r="AZ352" s="53"/>
      <c r="BA352" s="53"/>
    </row>
    <row r="353" spans="3:53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29"/>
        <v>1</v>
      </c>
      <c r="M353" s="26">
        <f t="shared" si="25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67" t="e">
        <f>SUMIFS([2]Up!$J:$J,[2]Up!$D:$D,D353)</f>
        <v>#VALUE!</v>
      </c>
      <c r="AQ353" s="82"/>
      <c r="AR353" s="82" t="str">
        <f t="shared" si="30"/>
        <v>PL12</v>
      </c>
      <c r="AS353" s="53" t="str">
        <f t="shared" si="31"/>
        <v/>
      </c>
      <c r="AT353" s="53" t="s">
        <v>148</v>
      </c>
      <c r="AU353" s="53" t="s">
        <v>1021</v>
      </c>
      <c r="AV353" s="53" t="s">
        <v>1022</v>
      </c>
      <c r="AW353" s="53" t="s">
        <v>1023</v>
      </c>
      <c r="AX353" s="53">
        <v>1</v>
      </c>
      <c r="AY353" s="83">
        <v>46088</v>
      </c>
      <c r="AZ353" s="53"/>
      <c r="BA353" s="53"/>
    </row>
    <row r="354" spans="3:53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29"/>
        <v>1</v>
      </c>
      <c r="M354" s="26">
        <f t="shared" si="25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67" t="e">
        <f>SUMIFS([2]Up!$J:$J,[2]Up!$D:$D,D354)</f>
        <v>#VALUE!</v>
      </c>
      <c r="AQ354" s="82"/>
      <c r="AR354" s="82" t="str">
        <f t="shared" si="30"/>
        <v>PL12</v>
      </c>
      <c r="AS354" s="53" t="str">
        <f t="shared" si="31"/>
        <v/>
      </c>
      <c r="AT354" s="53" t="s">
        <v>148</v>
      </c>
      <c r="AU354" s="53" t="s">
        <v>1021</v>
      </c>
      <c r="AV354" s="53" t="s">
        <v>1022</v>
      </c>
      <c r="AW354" s="53" t="s">
        <v>1023</v>
      </c>
      <c r="AX354" s="53">
        <v>1</v>
      </c>
      <c r="AY354" s="83">
        <v>46088</v>
      </c>
      <c r="AZ354" s="53"/>
      <c r="BA354" s="53"/>
    </row>
    <row r="355" spans="3:53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29"/>
        <v>1</v>
      </c>
      <c r="M355" s="26">
        <f t="shared" si="25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67" t="e">
        <f>SUMIFS([2]Up!$J:$J,[2]Up!$D:$D,D355)</f>
        <v>#VALUE!</v>
      </c>
      <c r="AQ355" s="82"/>
      <c r="AR355" s="82" t="str">
        <f t="shared" si="30"/>
        <v>PL15</v>
      </c>
      <c r="AS355" s="53" t="str">
        <f t="shared" si="31"/>
        <v/>
      </c>
      <c r="AT355" s="53" t="s">
        <v>148</v>
      </c>
      <c r="AU355" s="53" t="s">
        <v>1094</v>
      </c>
      <c r="AV355" s="53" t="s">
        <v>1095</v>
      </c>
      <c r="AW355" s="53" t="s">
        <v>1304</v>
      </c>
      <c r="AX355" s="53">
        <v>1</v>
      </c>
      <c r="AY355" s="83">
        <v>46088</v>
      </c>
      <c r="AZ355" s="53"/>
      <c r="BA355" s="53"/>
    </row>
    <row r="356" spans="3:53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29"/>
        <v>1</v>
      </c>
      <c r="M356" s="26">
        <f t="shared" si="25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67" t="e">
        <f>SUMIFS([2]Up!$J:$J,[2]Up!$D:$D,D356)</f>
        <v>#VALUE!</v>
      </c>
      <c r="AQ356" s="82" t="s">
        <v>2229</v>
      </c>
      <c r="AR356" s="82" t="str">
        <f t="shared" si="30"/>
        <v>PL10</v>
      </c>
      <c r="AS356" s="53" t="str">
        <f t="shared" si="31"/>
        <v>Thừa 1</v>
      </c>
      <c r="AT356" s="53" t="s">
        <v>154</v>
      </c>
      <c r="AU356" s="53" t="s">
        <v>1005</v>
      </c>
      <c r="AV356" s="53" t="s">
        <v>1006</v>
      </c>
      <c r="AW356" s="53" t="s">
        <v>57</v>
      </c>
      <c r="AX356" s="53">
        <v>1</v>
      </c>
      <c r="AY356" s="83"/>
      <c r="AZ356" s="53"/>
      <c r="BA356" s="53"/>
    </row>
    <row r="357" spans="3:53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29"/>
        <v>1</v>
      </c>
      <c r="M357" s="26">
        <f t="shared" si="25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67" t="e">
        <f>SUMIFS([2]Up!$J:$J,[2]Up!$D:$D,D357)</f>
        <v>#VALUE!</v>
      </c>
      <c r="AQ357" s="82" t="s">
        <v>2072</v>
      </c>
      <c r="AR357" s="82" t="str">
        <f t="shared" si="30"/>
        <v>PL12</v>
      </c>
      <c r="AS357" s="53" t="str">
        <f t="shared" si="31"/>
        <v>Thừa 2</v>
      </c>
      <c r="AT357" s="53" t="s">
        <v>154</v>
      </c>
      <c r="AU357" s="53" t="s">
        <v>1021</v>
      </c>
      <c r="AV357" s="53" t="s">
        <v>1022</v>
      </c>
      <c r="AW357" s="53" t="s">
        <v>57</v>
      </c>
      <c r="AX357" s="53">
        <v>1</v>
      </c>
      <c r="AY357" s="83"/>
      <c r="AZ357" s="53"/>
      <c r="BA357" s="53"/>
    </row>
    <row r="358" spans="3:53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29"/>
        <v>3</v>
      </c>
      <c r="M358" s="26">
        <f t="shared" si="25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67" t="e">
        <f>SUMIFS([2]Up!$J:$J,[2]Up!$D:$D,D358)</f>
        <v>#VALUE!</v>
      </c>
      <c r="AQ358" s="82"/>
      <c r="AR358" s="82" t="str">
        <f t="shared" si="30"/>
        <v>PL12</v>
      </c>
      <c r="AS358" s="53" t="str">
        <f t="shared" si="31"/>
        <v/>
      </c>
      <c r="AT358" s="53" t="s">
        <v>148</v>
      </c>
      <c r="AU358" s="53" t="s">
        <v>1021</v>
      </c>
      <c r="AV358" s="53" t="s">
        <v>1022</v>
      </c>
      <c r="AW358" s="53" t="s">
        <v>1023</v>
      </c>
      <c r="AX358" s="53">
        <v>3</v>
      </c>
      <c r="AY358" s="83">
        <v>46088</v>
      </c>
      <c r="AZ358" s="53"/>
      <c r="BA358" s="53"/>
    </row>
    <row r="359" spans="3:53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29"/>
        <v>2</v>
      </c>
      <c r="M359" s="26">
        <f t="shared" si="25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67" t="e">
        <f>SUMIFS([2]Up!$J:$J,[2]Up!$D:$D,D359)</f>
        <v>#VALUE!</v>
      </c>
      <c r="AQ359" s="82"/>
      <c r="AR359" s="82" t="str">
        <f t="shared" si="30"/>
        <v>PL20</v>
      </c>
      <c r="AS359" s="53" t="str">
        <f t="shared" si="31"/>
        <v/>
      </c>
      <c r="AT359" s="53" t="s">
        <v>148</v>
      </c>
      <c r="AU359" s="53" t="s">
        <v>1100</v>
      </c>
      <c r="AV359" s="53" t="s">
        <v>1101</v>
      </c>
      <c r="AW359" s="53" t="s">
        <v>1308</v>
      </c>
      <c r="AX359" s="53">
        <v>2</v>
      </c>
      <c r="AY359" s="83">
        <v>46242</v>
      </c>
      <c r="AZ359" s="53"/>
      <c r="BA359" s="53"/>
    </row>
    <row r="360" spans="3:53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29"/>
        <v>1</v>
      </c>
      <c r="M360" s="26">
        <f t="shared" si="25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67" t="e">
        <f>SUMIFS([2]Up!$J:$J,[2]Up!$D:$D,D360)</f>
        <v>#VALUE!</v>
      </c>
      <c r="AQ360" s="82" t="s">
        <v>2229</v>
      </c>
      <c r="AR360" s="82" t="str">
        <f t="shared" si="30"/>
        <v>PL12</v>
      </c>
      <c r="AS360" s="53" t="str">
        <f t="shared" si="31"/>
        <v>Thừa 1</v>
      </c>
      <c r="AT360" s="53" t="s">
        <v>154</v>
      </c>
      <c r="AU360" s="53" t="s">
        <v>1021</v>
      </c>
      <c r="AV360" s="53" t="s">
        <v>1022</v>
      </c>
      <c r="AW360" s="53" t="s">
        <v>57</v>
      </c>
      <c r="AX360" s="53">
        <v>1</v>
      </c>
      <c r="AY360" s="83"/>
      <c r="AZ360" s="53"/>
      <c r="BA360" s="53"/>
    </row>
    <row r="361" spans="3:53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29"/>
        <v>2</v>
      </c>
      <c r="M361" s="26">
        <f t="shared" si="25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67" t="e">
        <f>SUMIFS([2]Up!$J:$J,[2]Up!$D:$D,D361)</f>
        <v>#VALUE!</v>
      </c>
      <c r="AQ361" s="82"/>
      <c r="AR361" s="82" t="str">
        <f t="shared" si="30"/>
        <v>PL15</v>
      </c>
      <c r="AS361" s="53" t="str">
        <f t="shared" si="31"/>
        <v/>
      </c>
      <c r="AT361" s="53" t="s">
        <v>148</v>
      </c>
      <c r="AU361" s="53" t="s">
        <v>1094</v>
      </c>
      <c r="AV361" s="53" t="s">
        <v>1095</v>
      </c>
      <c r="AW361" s="53" t="s">
        <v>1304</v>
      </c>
      <c r="AX361" s="53">
        <v>2</v>
      </c>
      <c r="AY361" s="83">
        <v>46088</v>
      </c>
      <c r="AZ361" s="53"/>
      <c r="BA361" s="53"/>
    </row>
    <row r="362" spans="3:53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29"/>
        <v>2</v>
      </c>
      <c r="M362" s="26">
        <f t="shared" si="25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67" t="e">
        <f>SUMIFS([2]Up!$J:$J,[2]Up!$D:$D,D362)</f>
        <v>#VALUE!</v>
      </c>
      <c r="AQ362" s="82"/>
      <c r="AR362" s="82" t="str">
        <f t="shared" si="30"/>
        <v>PL20</v>
      </c>
      <c r="AS362" s="53" t="str">
        <f t="shared" si="31"/>
        <v/>
      </c>
      <c r="AT362" s="53" t="s">
        <v>148</v>
      </c>
      <c r="AU362" s="53" t="s">
        <v>1100</v>
      </c>
      <c r="AV362" s="53" t="s">
        <v>1101</v>
      </c>
      <c r="AW362" s="53" t="s">
        <v>1308</v>
      </c>
      <c r="AX362" s="53">
        <v>2</v>
      </c>
      <c r="AY362" s="83">
        <v>46242</v>
      </c>
      <c r="AZ362" s="53"/>
      <c r="BA362" s="53"/>
    </row>
    <row r="363" spans="3:53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29"/>
        <v>1</v>
      </c>
      <c r="M363" s="26">
        <f t="shared" si="25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67" t="e">
        <f>SUMIFS([2]Up!$J:$J,[2]Up!$D:$D,D363)</f>
        <v>#VALUE!</v>
      </c>
      <c r="AQ363" s="82"/>
      <c r="AR363" s="82" t="str">
        <f t="shared" si="30"/>
        <v>PL10</v>
      </c>
      <c r="AS363" s="53" t="str">
        <f t="shared" si="31"/>
        <v/>
      </c>
      <c r="AT363" s="53" t="s">
        <v>148</v>
      </c>
      <c r="AU363" s="53" t="s">
        <v>1005</v>
      </c>
      <c r="AV363" s="53" t="s">
        <v>1006</v>
      </c>
      <c r="AW363" s="53" t="s">
        <v>1064</v>
      </c>
      <c r="AX363" s="53">
        <v>1</v>
      </c>
      <c r="AY363" s="83">
        <v>46088</v>
      </c>
      <c r="AZ363" s="53"/>
      <c r="BA363" s="53"/>
    </row>
    <row r="364" spans="3:53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29"/>
        <v>1</v>
      </c>
      <c r="M364" s="26">
        <f t="shared" si="25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67" t="e">
        <f>SUMIFS([2]Up!$J:$J,[2]Up!$D:$D,D364)</f>
        <v>#VALUE!</v>
      </c>
      <c r="AQ364" s="82" t="s">
        <v>2074</v>
      </c>
      <c r="AR364" s="82" t="str">
        <f t="shared" si="30"/>
        <v>PL10</v>
      </c>
      <c r="AS364" s="53" t="str">
        <f t="shared" si="31"/>
        <v>Thừa 1</v>
      </c>
      <c r="AT364" s="53" t="s">
        <v>154</v>
      </c>
      <c r="AU364" s="53" t="s">
        <v>1005</v>
      </c>
      <c r="AV364" s="53" t="s">
        <v>1006</v>
      </c>
      <c r="AW364" s="53" t="s">
        <v>57</v>
      </c>
      <c r="AX364" s="53">
        <v>1</v>
      </c>
      <c r="AY364" s="83"/>
      <c r="AZ364" s="53"/>
      <c r="BA364" s="53"/>
    </row>
    <row r="365" spans="3:53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29"/>
        <v>1</v>
      </c>
      <c r="M365" s="26">
        <f t="shared" si="25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67" t="e">
        <f>SUMIFS([2]Up!$J:$J,[2]Up!$D:$D,D365)</f>
        <v>#VALUE!</v>
      </c>
      <c r="AQ365" s="82"/>
      <c r="AR365" s="82" t="str">
        <f t="shared" si="30"/>
        <v>PL10</v>
      </c>
      <c r="AS365" s="53" t="str">
        <f t="shared" si="31"/>
        <v/>
      </c>
      <c r="AT365" s="53" t="s">
        <v>148</v>
      </c>
      <c r="AU365" s="53" t="s">
        <v>1005</v>
      </c>
      <c r="AV365" s="53" t="s">
        <v>1006</v>
      </c>
      <c r="AW365" s="53" t="s">
        <v>1064</v>
      </c>
      <c r="AX365" s="53">
        <v>1</v>
      </c>
      <c r="AY365" s="83">
        <v>46088</v>
      </c>
      <c r="AZ365" s="53"/>
      <c r="BA365" s="53"/>
    </row>
    <row r="366" spans="3:53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29"/>
        <v>2</v>
      </c>
      <c r="M366" s="26">
        <f t="shared" si="25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67" t="e">
        <f>SUMIFS([2]Up!$J:$J,[2]Up!$D:$D,D366)</f>
        <v>#VALUE!</v>
      </c>
      <c r="AQ366" s="82"/>
      <c r="AR366" s="82" t="str">
        <f t="shared" si="30"/>
        <v>PL20</v>
      </c>
      <c r="AS366" s="53" t="str">
        <f t="shared" si="31"/>
        <v/>
      </c>
      <c r="AT366" s="53" t="s">
        <v>148</v>
      </c>
      <c r="AU366" s="53" t="s">
        <v>1100</v>
      </c>
      <c r="AV366" s="53" t="s">
        <v>1101</v>
      </c>
      <c r="AW366" s="53" t="s">
        <v>1308</v>
      </c>
      <c r="AX366" s="53">
        <v>2</v>
      </c>
      <c r="AY366" s="83">
        <v>46242</v>
      </c>
      <c r="AZ366" s="53"/>
      <c r="BA366" s="53"/>
    </row>
    <row r="367" spans="3:53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29"/>
        <v>1</v>
      </c>
      <c r="M367" s="26">
        <f t="shared" si="25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67" t="e">
        <f>SUMIFS([2]Up!$J:$J,[2]Up!$D:$D,D367)</f>
        <v>#VALUE!</v>
      </c>
      <c r="AQ367" s="82" t="s">
        <v>2229</v>
      </c>
      <c r="AR367" s="82" t="str">
        <f t="shared" si="30"/>
        <v>PL12</v>
      </c>
      <c r="AS367" s="53" t="str">
        <f t="shared" si="31"/>
        <v>Thừa 1</v>
      </c>
      <c r="AT367" s="53" t="s">
        <v>154</v>
      </c>
      <c r="AU367" s="53" t="s">
        <v>1021</v>
      </c>
      <c r="AV367" s="53" t="s">
        <v>1022</v>
      </c>
      <c r="AW367" s="53" t="s">
        <v>57</v>
      </c>
      <c r="AX367" s="53">
        <v>1</v>
      </c>
      <c r="AY367" s="83"/>
      <c r="AZ367" s="53"/>
      <c r="BA367" s="53"/>
    </row>
    <row r="368" spans="3:53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29"/>
        <v>1</v>
      </c>
      <c r="M368" s="26">
        <f t="shared" si="25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67" t="e">
        <f>SUMIFS([2]Up!$J:$J,[2]Up!$D:$D,D368)</f>
        <v>#VALUE!</v>
      </c>
      <c r="AQ368" s="82" t="s">
        <v>2072</v>
      </c>
      <c r="AR368" s="82" t="str">
        <f t="shared" si="30"/>
        <v>PL12</v>
      </c>
      <c r="AS368" s="53" t="str">
        <f t="shared" si="31"/>
        <v>Thừa 2</v>
      </c>
      <c r="AT368" s="53" t="s">
        <v>154</v>
      </c>
      <c r="AU368" s="53" t="s">
        <v>1021</v>
      </c>
      <c r="AV368" s="53" t="s">
        <v>1022</v>
      </c>
      <c r="AW368" s="53" t="s">
        <v>57</v>
      </c>
      <c r="AX368" s="53">
        <v>1</v>
      </c>
      <c r="AY368" s="83"/>
      <c r="AZ368" s="53"/>
      <c r="BA368" s="53"/>
    </row>
    <row r="369" spans="3:54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29"/>
        <v>3</v>
      </c>
      <c r="M369" s="26">
        <f t="shared" si="25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67" t="e">
        <f>SUMIFS([2]Up!$J:$J,[2]Up!$D:$D,D369)</f>
        <v>#VALUE!</v>
      </c>
      <c r="AQ369" s="82"/>
      <c r="AR369" s="82" t="str">
        <f t="shared" si="30"/>
        <v>PL12</v>
      </c>
      <c r="AS369" s="53" t="str">
        <f t="shared" si="31"/>
        <v/>
      </c>
      <c r="AT369" s="53" t="s">
        <v>148</v>
      </c>
      <c r="AU369" s="53" t="s">
        <v>1021</v>
      </c>
      <c r="AV369" s="53" t="s">
        <v>1022</v>
      </c>
      <c r="AW369" s="53" t="s">
        <v>1023</v>
      </c>
      <c r="AX369" s="53">
        <v>3</v>
      </c>
      <c r="AY369" s="83">
        <v>46088</v>
      </c>
      <c r="AZ369" s="53"/>
      <c r="BA369" s="53"/>
    </row>
    <row r="370" spans="3:54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29"/>
        <v>1</v>
      </c>
      <c r="M370" s="26">
        <f t="shared" si="25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67" t="e">
        <f>SUMIFS([2]Up!$J:$J,[2]Up!$D:$D,D370)</f>
        <v>#VALUE!</v>
      </c>
      <c r="AQ370" s="82"/>
      <c r="AR370" s="82" t="str">
        <f t="shared" si="30"/>
        <v>PL10</v>
      </c>
      <c r="AS370" s="53" t="str">
        <f t="shared" si="31"/>
        <v/>
      </c>
      <c r="AT370" s="53" t="s">
        <v>148</v>
      </c>
      <c r="AU370" s="53" t="s">
        <v>1005</v>
      </c>
      <c r="AV370" s="53" t="s">
        <v>1006</v>
      </c>
      <c r="AW370" s="53" t="s">
        <v>1064</v>
      </c>
      <c r="AX370" s="53">
        <v>1</v>
      </c>
      <c r="AY370" s="83">
        <v>46088</v>
      </c>
      <c r="AZ370" s="53"/>
      <c r="BA370" s="53"/>
    </row>
    <row r="371" spans="3:54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29"/>
        <v>0</v>
      </c>
      <c r="M371" s="26">
        <f t="shared" si="25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67" t="e">
        <f>SUMIFS([2]Up!$J:$J,[2]Up!$D:$D,D371)</f>
        <v>#VALUE!</v>
      </c>
      <c r="AQ371" s="82"/>
      <c r="AR371" s="82" t="str">
        <f t="shared" si="30"/>
        <v/>
      </c>
      <c r="AS371" s="53" t="str">
        <f t="shared" si="31"/>
        <v/>
      </c>
      <c r="AT371" s="53" t="s">
        <v>148</v>
      </c>
      <c r="AU371" s="53" t="s">
        <v>1079</v>
      </c>
      <c r="AV371" s="53" t="s">
        <v>1076</v>
      </c>
      <c r="AW371" s="84" t="s">
        <v>2162</v>
      </c>
      <c r="AX371" s="53">
        <v>12</v>
      </c>
      <c r="AY371" s="83" t="s">
        <v>2225</v>
      </c>
      <c r="AZ371" s="53"/>
      <c r="BA371" s="53"/>
      <c r="BB371" s="238"/>
    </row>
    <row r="372" spans="3:54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29"/>
        <v>2</v>
      </c>
      <c r="M372" s="26">
        <f t="shared" si="25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67" t="e">
        <f>SUMIFS([2]Up!$J:$J,[2]Up!$D:$D,D372)</f>
        <v>#VALUE!</v>
      </c>
      <c r="AQ372" s="82" t="s">
        <v>2241</v>
      </c>
      <c r="AR372" s="82" t="str">
        <f t="shared" si="30"/>
        <v>PL10</v>
      </c>
      <c r="AS372" s="53" t="str">
        <f t="shared" si="31"/>
        <v/>
      </c>
      <c r="AT372" s="53" t="s">
        <v>154</v>
      </c>
      <c r="AU372" s="53" t="s">
        <v>1005</v>
      </c>
      <c r="AV372" s="53" t="s">
        <v>1006</v>
      </c>
      <c r="AW372" s="53" t="s">
        <v>57</v>
      </c>
      <c r="AX372" s="53">
        <v>4</v>
      </c>
      <c r="AY372" s="83"/>
      <c r="AZ372" s="53"/>
      <c r="BA372" s="53"/>
    </row>
    <row r="373" spans="3:54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29"/>
        <v>0</v>
      </c>
      <c r="M373" s="26">
        <f t="shared" si="25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67" t="e">
        <f>SUMIFS([2]Up!$J:$J,[2]Up!$D:$D,D373)</f>
        <v>#VALUE!</v>
      </c>
      <c r="AQ373" s="82"/>
      <c r="AR373" s="82" t="str">
        <f t="shared" si="30"/>
        <v>PL12</v>
      </c>
      <c r="AS373" s="53" t="str">
        <f t="shared" si="31"/>
        <v/>
      </c>
      <c r="AT373" s="53" t="s">
        <v>154</v>
      </c>
      <c r="AU373" s="53" t="s">
        <v>1021</v>
      </c>
      <c r="AV373" s="53" t="s">
        <v>1022</v>
      </c>
      <c r="AW373" s="53" t="s">
        <v>57</v>
      </c>
      <c r="AX373" s="53">
        <v>4</v>
      </c>
      <c r="AY373" s="83"/>
      <c r="AZ373" s="53"/>
      <c r="BA373" s="53"/>
    </row>
    <row r="374" spans="3:54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29"/>
        <v>0</v>
      </c>
      <c r="M374" s="26">
        <f t="shared" si="25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67" t="e">
        <f>SUMIFS([2]Up!$J:$J,[2]Up!$D:$D,D374)</f>
        <v>#VALUE!</v>
      </c>
      <c r="AQ374" s="82"/>
      <c r="AR374" s="82" t="str">
        <f t="shared" si="30"/>
        <v>PL12</v>
      </c>
      <c r="AS374" s="53" t="str">
        <f t="shared" si="31"/>
        <v/>
      </c>
      <c r="AT374" s="53" t="s">
        <v>154</v>
      </c>
      <c r="AU374" s="53" t="s">
        <v>1021</v>
      </c>
      <c r="AV374" s="53" t="s">
        <v>1022</v>
      </c>
      <c r="AW374" s="53" t="s">
        <v>57</v>
      </c>
      <c r="AX374" s="53">
        <v>4</v>
      </c>
      <c r="AY374" s="83"/>
      <c r="AZ374" s="53"/>
      <c r="BA374" s="53"/>
    </row>
    <row r="375" spans="3:54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29"/>
        <v>0</v>
      </c>
      <c r="M375" s="26">
        <f t="shared" si="25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67" t="e">
        <f>SUMIFS([2]Up!$J:$J,[2]Up!$D:$D,D375)</f>
        <v>#VALUE!</v>
      </c>
      <c r="AQ375" s="82"/>
      <c r="AR375" s="82" t="str">
        <f t="shared" si="30"/>
        <v>PL12</v>
      </c>
      <c r="AS375" s="53" t="str">
        <f t="shared" si="31"/>
        <v/>
      </c>
      <c r="AT375" s="53" t="s">
        <v>148</v>
      </c>
      <c r="AU375" s="53" t="s">
        <v>1021</v>
      </c>
      <c r="AV375" s="53" t="s">
        <v>1022</v>
      </c>
      <c r="AW375" s="84" t="s">
        <v>2160</v>
      </c>
      <c r="AX375" s="53">
        <v>12</v>
      </c>
      <c r="AY375" s="83">
        <v>46302</v>
      </c>
      <c r="AZ375" s="53"/>
      <c r="BA375" s="53"/>
      <c r="BB375" s="238"/>
    </row>
    <row r="376" spans="3:54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29"/>
        <v>0</v>
      </c>
      <c r="M376" s="26">
        <f t="shared" si="25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67" t="e">
        <f>SUMIFS([2]Up!$J:$J,[2]Up!$D:$D,D376)</f>
        <v>#VALUE!</v>
      </c>
      <c r="AQ376" s="82"/>
      <c r="AR376" s="82" t="str">
        <f t="shared" si="30"/>
        <v>PL12</v>
      </c>
      <c r="AS376" s="53" t="str">
        <f t="shared" si="31"/>
        <v/>
      </c>
      <c r="AT376" s="53" t="s">
        <v>148</v>
      </c>
      <c r="AU376" s="53" t="s">
        <v>1021</v>
      </c>
      <c r="AV376" s="53" t="s">
        <v>1022</v>
      </c>
      <c r="AW376" s="84" t="s">
        <v>2160</v>
      </c>
      <c r="AX376" s="53">
        <v>12</v>
      </c>
      <c r="AY376" s="83">
        <v>46302</v>
      </c>
      <c r="AZ376" s="53"/>
      <c r="BA376" s="53"/>
      <c r="BB376" s="238"/>
    </row>
    <row r="377" spans="3:54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29"/>
        <v>0</v>
      </c>
      <c r="M377" s="26">
        <f t="shared" si="25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67" t="e">
        <f>SUMIFS([2]Up!$J:$J,[2]Up!$D:$D,D377)</f>
        <v>#VALUE!</v>
      </c>
      <c r="AQ377" s="82"/>
      <c r="AR377" s="82" t="str">
        <f t="shared" si="30"/>
        <v>PL16</v>
      </c>
      <c r="AS377" s="53" t="str">
        <f t="shared" si="31"/>
        <v/>
      </c>
      <c r="AT377" s="53" t="s">
        <v>148</v>
      </c>
      <c r="AU377" s="53" t="s">
        <v>988</v>
      </c>
      <c r="AV377" s="53" t="s">
        <v>989</v>
      </c>
      <c r="AW377" s="84" t="s">
        <v>2161</v>
      </c>
      <c r="AX377" s="53">
        <v>24</v>
      </c>
      <c r="AY377" s="83" t="s">
        <v>2226</v>
      </c>
      <c r="AZ377" s="53"/>
      <c r="BA377" s="53"/>
      <c r="BB377" s="238"/>
    </row>
    <row r="378" spans="3:54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29"/>
        <v>0</v>
      </c>
      <c r="M378" s="26">
        <f t="shared" si="25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67" t="e">
        <f>SUMIFS([2]Up!$J:$J,[2]Up!$D:$D,D378)</f>
        <v>#VALUE!</v>
      </c>
      <c r="AQ378" s="82"/>
      <c r="AR378" s="82" t="str">
        <f t="shared" si="30"/>
        <v>PL10</v>
      </c>
      <c r="AS378" s="53" t="str">
        <f t="shared" si="31"/>
        <v/>
      </c>
      <c r="AT378" s="53" t="s">
        <v>154</v>
      </c>
      <c r="AU378" s="53" t="s">
        <v>1005</v>
      </c>
      <c r="AV378" s="53" t="s">
        <v>1006</v>
      </c>
      <c r="AW378" s="84" t="s">
        <v>2157</v>
      </c>
      <c r="AX378" s="53">
        <v>4</v>
      </c>
      <c r="AY378" s="83">
        <v>46302</v>
      </c>
      <c r="AZ378" s="53"/>
      <c r="BA378" s="53"/>
      <c r="BB378" s="238"/>
    </row>
    <row r="379" spans="3:54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29"/>
        <v>0</v>
      </c>
      <c r="M379" s="26">
        <f t="shared" si="25"/>
        <v>4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67" t="e">
        <f>SUMIFS([2]Up!$J:$J,[2]Up!$D:$D,D379)</f>
        <v>#VALUE!</v>
      </c>
      <c r="AQ379" s="82"/>
      <c r="AR379" s="82" t="str">
        <f t="shared" si="30"/>
        <v>PL20</v>
      </c>
      <c r="AS379" s="53" t="str">
        <f t="shared" si="31"/>
        <v/>
      </c>
      <c r="AT379" s="53" t="s">
        <v>148</v>
      </c>
      <c r="AU379" s="53" t="s">
        <v>1100</v>
      </c>
      <c r="AV379" s="53" t="s">
        <v>1101</v>
      </c>
      <c r="AW379" s="84" t="s">
        <v>2158</v>
      </c>
      <c r="AX379" s="53">
        <v>8</v>
      </c>
      <c r="AY379" s="83">
        <v>46242</v>
      </c>
      <c r="AZ379" s="53"/>
      <c r="BA379" s="53"/>
      <c r="BB379" s="238"/>
    </row>
    <row r="380" spans="3:54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29"/>
        <v>0</v>
      </c>
      <c r="M380" s="26">
        <f t="shared" si="25"/>
        <v>6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67" t="e">
        <f>SUMIFS([2]Up!$J:$J,[2]Up!$D:$D,D380)</f>
        <v>#VALUE!</v>
      </c>
      <c r="AQ380" s="82"/>
      <c r="AR380" s="82" t="str">
        <f t="shared" si="30"/>
        <v>PL20</v>
      </c>
      <c r="AS380" s="53" t="str">
        <f t="shared" si="31"/>
        <v/>
      </c>
      <c r="AT380" s="53" t="s">
        <v>148</v>
      </c>
      <c r="AU380" s="53" t="s">
        <v>1100</v>
      </c>
      <c r="AV380" s="53" t="s">
        <v>1101</v>
      </c>
      <c r="AW380" s="84" t="s">
        <v>2158</v>
      </c>
      <c r="AX380" s="53">
        <v>12</v>
      </c>
      <c r="AY380" s="83">
        <v>46242</v>
      </c>
      <c r="AZ380" s="53"/>
      <c r="BA380" s="53"/>
      <c r="BB380" s="238"/>
    </row>
    <row r="381" spans="3:54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29"/>
        <v>0</v>
      </c>
      <c r="M381" s="26">
        <f t="shared" si="25"/>
        <v>2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67" t="e">
        <f>SUMIFS([2]Up!$J:$J,[2]Up!$D:$D,D381)</f>
        <v>#VALUE!</v>
      </c>
      <c r="AQ381" s="82"/>
      <c r="AR381" s="82" t="str">
        <f t="shared" si="30"/>
        <v>PL20</v>
      </c>
      <c r="AS381" s="53" t="str">
        <f t="shared" si="31"/>
        <v/>
      </c>
      <c r="AT381" s="53" t="s">
        <v>148</v>
      </c>
      <c r="AU381" s="53" t="s">
        <v>1100</v>
      </c>
      <c r="AV381" s="53" t="s">
        <v>1101</v>
      </c>
      <c r="AW381" s="84" t="s">
        <v>2158</v>
      </c>
      <c r="AX381" s="53">
        <v>4</v>
      </c>
      <c r="AY381" s="83">
        <v>46242</v>
      </c>
      <c r="AZ381" s="53"/>
      <c r="BA381" s="53"/>
      <c r="BB381" s="238"/>
    </row>
    <row r="382" spans="3:54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29"/>
        <v>0</v>
      </c>
      <c r="M382" s="26">
        <f t="shared" si="25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67" t="e">
        <f>SUMIFS([2]Up!$J:$J,[2]Up!$D:$D,D382)</f>
        <v>#VALUE!</v>
      </c>
      <c r="AQ382" s="82"/>
      <c r="AR382" s="82" t="str">
        <f t="shared" si="30"/>
        <v>PL30</v>
      </c>
      <c r="AS382" s="53" t="str">
        <f t="shared" si="31"/>
        <v/>
      </c>
      <c r="AT382" s="53" t="s">
        <v>148</v>
      </c>
      <c r="AU382" s="53" t="s">
        <v>1059</v>
      </c>
      <c r="AV382" s="53" t="s">
        <v>1060</v>
      </c>
      <c r="AW382" s="84" t="s">
        <v>2180</v>
      </c>
      <c r="AX382" s="53">
        <v>4</v>
      </c>
      <c r="AY382" s="83">
        <v>46302</v>
      </c>
      <c r="AZ382" s="53"/>
      <c r="BA382" s="53"/>
      <c r="BB382" s="238"/>
    </row>
    <row r="383" spans="3:54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29"/>
        <v>0</v>
      </c>
      <c r="M383" s="26">
        <f t="shared" si="25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67" t="e">
        <f>SUMIFS([2]Up!$J:$J,[2]Up!$D:$D,D383)</f>
        <v>#VALUE!</v>
      </c>
      <c r="AQ383" s="82"/>
      <c r="AR383" s="82" t="str">
        <f t="shared" si="30"/>
        <v>PL10</v>
      </c>
      <c r="AS383" s="53" t="str">
        <f t="shared" si="31"/>
        <v/>
      </c>
      <c r="AT383" s="53" t="s">
        <v>148</v>
      </c>
      <c r="AU383" s="53" t="s">
        <v>1005</v>
      </c>
      <c r="AV383" s="53" t="s">
        <v>1006</v>
      </c>
      <c r="AW383" s="84" t="s">
        <v>2157</v>
      </c>
      <c r="AX383" s="53">
        <v>4</v>
      </c>
      <c r="AY383" s="83">
        <v>46302</v>
      </c>
      <c r="AZ383" s="53"/>
      <c r="BA383" s="53"/>
      <c r="BB383" s="238"/>
    </row>
    <row r="384" spans="3:54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29"/>
        <v>0</v>
      </c>
      <c r="M384" s="26">
        <f t="shared" si="25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67" t="e">
        <f>SUMIFS([2]Up!$J:$J,[2]Up!$D:$D,D384)</f>
        <v>#VALUE!</v>
      </c>
      <c r="AQ384" s="82"/>
      <c r="AR384" s="82" t="str">
        <f t="shared" si="30"/>
        <v>PL12</v>
      </c>
      <c r="AS384" s="53" t="str">
        <f t="shared" si="31"/>
        <v/>
      </c>
      <c r="AT384" s="53" t="s">
        <v>154</v>
      </c>
      <c r="AU384" s="53" t="s">
        <v>1021</v>
      </c>
      <c r="AV384" s="53" t="s">
        <v>1022</v>
      </c>
      <c r="AW384" s="53" t="s">
        <v>57</v>
      </c>
      <c r="AX384" s="53">
        <v>4</v>
      </c>
      <c r="AY384" s="83"/>
      <c r="AZ384" s="53"/>
      <c r="BA384" s="53"/>
    </row>
    <row r="385" spans="3:54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29"/>
        <v>0</v>
      </c>
      <c r="M385" s="26">
        <f t="shared" si="25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67" t="e">
        <f>SUMIFS([2]Up!$J:$J,[2]Up!$D:$D,D385)</f>
        <v>#VALUE!</v>
      </c>
      <c r="AQ385" s="82"/>
      <c r="AR385" s="82" t="str">
        <f t="shared" si="30"/>
        <v>PL10</v>
      </c>
      <c r="AS385" s="53" t="str">
        <f t="shared" si="31"/>
        <v/>
      </c>
      <c r="AT385" s="53" t="s">
        <v>148</v>
      </c>
      <c r="AU385" s="53" t="s">
        <v>1005</v>
      </c>
      <c r="AV385" s="53" t="s">
        <v>1006</v>
      </c>
      <c r="AW385" s="84" t="s">
        <v>2157</v>
      </c>
      <c r="AX385" s="53">
        <v>4</v>
      </c>
      <c r="AY385" s="83">
        <v>46302</v>
      </c>
      <c r="AZ385" s="53"/>
      <c r="BA385" s="53"/>
      <c r="BB385" s="238"/>
    </row>
    <row r="386" spans="3:54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29"/>
        <v>0</v>
      </c>
      <c r="M386" s="26">
        <f t="shared" si="25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67" t="e">
        <f>SUMIFS([2]Up!$J:$J,[2]Up!$D:$D,D386)</f>
        <v>#VALUE!</v>
      </c>
      <c r="AQ386" s="82"/>
      <c r="AR386" s="82" t="str">
        <f t="shared" si="30"/>
        <v>PL15</v>
      </c>
      <c r="AS386" s="53" t="str">
        <f t="shared" si="31"/>
        <v/>
      </c>
      <c r="AT386" s="53" t="s">
        <v>148</v>
      </c>
      <c r="AU386" s="53" t="s">
        <v>1094</v>
      </c>
      <c r="AV386" s="53" t="s">
        <v>1095</v>
      </c>
      <c r="AW386" s="84" t="s">
        <v>2156</v>
      </c>
      <c r="AX386" s="53">
        <v>8</v>
      </c>
      <c r="AY386" s="83" t="s">
        <v>2225</v>
      </c>
      <c r="AZ386" s="53"/>
      <c r="BA386" s="53"/>
      <c r="BB386" s="238"/>
    </row>
    <row r="387" spans="3:54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29"/>
        <v>1</v>
      </c>
      <c r="M387" s="26">
        <f t="shared" si="25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67" t="e">
        <f>SUMIFS([2]Up!$J:$J,[2]Up!$D:$D,D387)</f>
        <v>#VALUE!</v>
      </c>
      <c r="AQ387" s="82" t="s">
        <v>2239</v>
      </c>
      <c r="AR387" s="82" t="str">
        <f t="shared" si="30"/>
        <v>PL10</v>
      </c>
      <c r="AS387" s="53" t="str">
        <f t="shared" si="31"/>
        <v/>
      </c>
      <c r="AT387" s="53" t="s">
        <v>154</v>
      </c>
      <c r="AU387" s="53" t="s">
        <v>1005</v>
      </c>
      <c r="AV387" s="53" t="s">
        <v>1006</v>
      </c>
      <c r="AW387" s="53" t="s">
        <v>57</v>
      </c>
      <c r="AX387" s="53">
        <v>4</v>
      </c>
      <c r="AY387" s="83"/>
      <c r="AZ387" s="53"/>
      <c r="BA387" s="53"/>
    </row>
    <row r="388" spans="3:54" ht="14.25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29"/>
        <v>2</v>
      </c>
      <c r="M388" s="26">
        <f t="shared" si="25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67" t="e">
        <f>SUMIFS([2]Up!$J:$J,[2]Up!$D:$D,D388)</f>
        <v>#VALUE!</v>
      </c>
      <c r="AQ388" s="82" t="s">
        <v>2246</v>
      </c>
      <c r="AR388" s="82" t="str">
        <f t="shared" si="30"/>
        <v>PL12</v>
      </c>
      <c r="AS388" s="53" t="str">
        <f t="shared" si="31"/>
        <v/>
      </c>
      <c r="AT388" s="53" t="s">
        <v>154</v>
      </c>
      <c r="AU388" s="53" t="s">
        <v>1021</v>
      </c>
      <c r="AV388" s="53" t="s">
        <v>1022</v>
      </c>
      <c r="AW388" s="53" t="s">
        <v>57</v>
      </c>
      <c r="AX388" s="53">
        <v>4</v>
      </c>
      <c r="AY388" s="83"/>
      <c r="AZ388" s="53"/>
      <c r="BA388" s="53"/>
    </row>
    <row r="389" spans="3:54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29"/>
        <v>0</v>
      </c>
      <c r="M389" s="26">
        <f t="shared" si="25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67" t="e">
        <f>SUMIFS([2]Up!$J:$J,[2]Up!$D:$D,D389)</f>
        <v>#VALUE!</v>
      </c>
      <c r="AQ389" s="82"/>
      <c r="AR389" s="82" t="str">
        <f t="shared" si="30"/>
        <v>PL12</v>
      </c>
      <c r="AS389" s="53" t="str">
        <f t="shared" si="31"/>
        <v/>
      </c>
      <c r="AT389" s="53" t="s">
        <v>148</v>
      </c>
      <c r="AU389" s="53" t="s">
        <v>1021</v>
      </c>
      <c r="AV389" s="53" t="s">
        <v>1022</v>
      </c>
      <c r="AW389" s="84" t="s">
        <v>2160</v>
      </c>
      <c r="AX389" s="53">
        <v>12</v>
      </c>
      <c r="AY389" s="83">
        <v>46302</v>
      </c>
      <c r="AZ389" s="53"/>
      <c r="BA389" s="53"/>
      <c r="BB389" s="238"/>
    </row>
    <row r="390" spans="3:54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29"/>
        <v>0</v>
      </c>
      <c r="M390" s="26">
        <f t="shared" si="25"/>
        <v>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67" t="e">
        <f>SUMIFS([2]Up!$J:$J,[2]Up!$D:$D,D390)</f>
        <v>#VALUE!</v>
      </c>
      <c r="AQ390" s="82"/>
      <c r="AR390" s="82" t="str">
        <f t="shared" si="30"/>
        <v>PL20</v>
      </c>
      <c r="AS390" s="53" t="str">
        <f t="shared" si="31"/>
        <v/>
      </c>
      <c r="AT390" s="53" t="s">
        <v>148</v>
      </c>
      <c r="AU390" s="53" t="s">
        <v>1100</v>
      </c>
      <c r="AV390" s="53" t="s">
        <v>1101</v>
      </c>
      <c r="AW390" s="84" t="s">
        <v>2158</v>
      </c>
      <c r="AX390" s="53">
        <v>8</v>
      </c>
      <c r="AY390" s="83">
        <v>46242</v>
      </c>
      <c r="AZ390" s="53"/>
      <c r="BA390" s="53"/>
      <c r="BB390" s="238"/>
    </row>
    <row r="391" spans="3:54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29"/>
        <v>0</v>
      </c>
      <c r="M391" s="26">
        <f t="shared" si="25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67" t="e">
        <f>SUMIFS([2]Up!$J:$J,[2]Up!$D:$D,D391)</f>
        <v>#VALUE!</v>
      </c>
      <c r="AQ391" s="82"/>
      <c r="AR391" s="82" t="str">
        <f t="shared" si="30"/>
        <v>PL12</v>
      </c>
      <c r="AS391" s="53" t="str">
        <f t="shared" si="31"/>
        <v/>
      </c>
      <c r="AT391" s="53" t="s">
        <v>154</v>
      </c>
      <c r="AU391" s="53" t="s">
        <v>1021</v>
      </c>
      <c r="AV391" s="53" t="s">
        <v>1022</v>
      </c>
      <c r="AW391" s="53" t="s">
        <v>57</v>
      </c>
      <c r="AX391" s="53">
        <v>4</v>
      </c>
      <c r="AY391" s="83"/>
      <c r="AZ391" s="53"/>
      <c r="BA391" s="53"/>
    </row>
    <row r="392" spans="3:54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29"/>
        <v>0</v>
      </c>
      <c r="M392" s="26">
        <f t="shared" si="25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67" t="e">
        <f>SUMIFS([2]Up!$J:$J,[2]Up!$D:$D,D392)</f>
        <v>#VALUE!</v>
      </c>
      <c r="AQ392" s="82"/>
      <c r="AR392" s="82" t="str">
        <f t="shared" si="30"/>
        <v>PL15</v>
      </c>
      <c r="AS392" s="53" t="str">
        <f t="shared" si="31"/>
        <v/>
      </c>
      <c r="AT392" s="53" t="s">
        <v>148</v>
      </c>
      <c r="AU392" s="53" t="s">
        <v>1094</v>
      </c>
      <c r="AV392" s="53" t="s">
        <v>1095</v>
      </c>
      <c r="AW392" s="84" t="s">
        <v>2156</v>
      </c>
      <c r="AX392" s="53">
        <v>8</v>
      </c>
      <c r="AY392" s="83" t="s">
        <v>2225</v>
      </c>
      <c r="AZ392" s="53"/>
      <c r="BA392" s="53"/>
      <c r="BB392" s="238"/>
    </row>
    <row r="393" spans="3:54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29"/>
        <v>0</v>
      </c>
      <c r="M393" s="26">
        <f t="shared" si="25"/>
        <v>4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67" t="e">
        <f>SUMIFS([2]Up!$J:$J,[2]Up!$D:$D,D393)</f>
        <v>#VALUE!</v>
      </c>
      <c r="AQ393" s="82"/>
      <c r="AR393" s="82" t="str">
        <f t="shared" si="30"/>
        <v>PL20</v>
      </c>
      <c r="AS393" s="53" t="str">
        <f t="shared" si="31"/>
        <v/>
      </c>
      <c r="AT393" s="53" t="s">
        <v>148</v>
      </c>
      <c r="AU393" s="53" t="s">
        <v>1100</v>
      </c>
      <c r="AV393" s="53" t="s">
        <v>1101</v>
      </c>
      <c r="AW393" s="84" t="s">
        <v>2158</v>
      </c>
      <c r="AX393" s="53">
        <v>8</v>
      </c>
      <c r="AY393" s="83">
        <v>46242</v>
      </c>
      <c r="AZ393" s="53"/>
      <c r="BA393" s="53"/>
      <c r="BB393" s="238"/>
    </row>
    <row r="394" spans="3:54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29"/>
        <v>0</v>
      </c>
      <c r="M394" s="26">
        <f t="shared" si="25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67" t="e">
        <f>SUMIFS([2]Up!$J:$J,[2]Up!$D:$D,D394)</f>
        <v>#VALUE!</v>
      </c>
      <c r="AQ394" s="82"/>
      <c r="AR394" s="82" t="str">
        <f t="shared" si="30"/>
        <v>PL10</v>
      </c>
      <c r="AS394" s="53" t="str">
        <f t="shared" si="31"/>
        <v/>
      </c>
      <c r="AT394" s="53" t="s">
        <v>148</v>
      </c>
      <c r="AU394" s="53" t="s">
        <v>1005</v>
      </c>
      <c r="AV394" s="53" t="s">
        <v>1006</v>
      </c>
      <c r="AW394" s="84" t="s">
        <v>2157</v>
      </c>
      <c r="AX394" s="53">
        <v>4</v>
      </c>
      <c r="AY394" s="83">
        <v>46302</v>
      </c>
      <c r="AZ394" s="53"/>
      <c r="BA394" s="53"/>
      <c r="BB394" s="238"/>
    </row>
    <row r="395" spans="3:54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29"/>
        <v>2</v>
      </c>
      <c r="M395" s="26">
        <f t="shared" si="25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67" t="e">
        <f>SUMIFS([2]Up!$J:$J,[2]Up!$D:$D,D395)</f>
        <v>#VALUE!</v>
      </c>
      <c r="AQ395" s="82" t="s">
        <v>2241</v>
      </c>
      <c r="AR395" s="82" t="str">
        <f t="shared" si="30"/>
        <v>PL10</v>
      </c>
      <c r="AS395" s="53" t="str">
        <f t="shared" si="31"/>
        <v/>
      </c>
      <c r="AT395" s="53" t="s">
        <v>154</v>
      </c>
      <c r="AU395" s="53" t="s">
        <v>1005</v>
      </c>
      <c r="AV395" s="53" t="s">
        <v>1006</v>
      </c>
      <c r="AW395" s="53" t="s">
        <v>57</v>
      </c>
      <c r="AX395" s="53">
        <v>4</v>
      </c>
      <c r="AY395" s="83"/>
      <c r="AZ395" s="53"/>
      <c r="BA395" s="53"/>
    </row>
    <row r="396" spans="3:54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29"/>
        <v>0</v>
      </c>
      <c r="M396" s="26">
        <f t="shared" si="25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67" t="e">
        <f>SUMIFS([2]Up!$J:$J,[2]Up!$D:$D,D396)</f>
        <v>#VALUE!</v>
      </c>
      <c r="AQ396" s="82"/>
      <c r="AR396" s="82" t="str">
        <f t="shared" si="30"/>
        <v>PL10</v>
      </c>
      <c r="AS396" s="53" t="str">
        <f t="shared" si="31"/>
        <v/>
      </c>
      <c r="AT396" s="53" t="s">
        <v>154</v>
      </c>
      <c r="AU396" s="53" t="s">
        <v>1005</v>
      </c>
      <c r="AV396" s="53" t="s">
        <v>1006</v>
      </c>
      <c r="AW396" s="84" t="s">
        <v>2157</v>
      </c>
      <c r="AX396" s="53">
        <v>4</v>
      </c>
      <c r="AY396" s="83">
        <v>46302</v>
      </c>
      <c r="AZ396" s="53"/>
      <c r="BA396" s="53"/>
      <c r="BB396" s="238"/>
    </row>
    <row r="397" spans="3:54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29"/>
        <v>0</v>
      </c>
      <c r="M397" s="26">
        <f t="shared" si="25"/>
        <v>4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67" t="e">
        <f>SUMIFS([2]Up!$J:$J,[2]Up!$D:$D,D397)</f>
        <v>#VALUE!</v>
      </c>
      <c r="AQ397" s="82"/>
      <c r="AR397" s="82" t="str">
        <f t="shared" si="30"/>
        <v>PL20</v>
      </c>
      <c r="AS397" s="53" t="str">
        <f t="shared" si="31"/>
        <v/>
      </c>
      <c r="AT397" s="53" t="s">
        <v>148</v>
      </c>
      <c r="AU397" s="53" t="s">
        <v>1100</v>
      </c>
      <c r="AV397" s="53" t="s">
        <v>1101</v>
      </c>
      <c r="AW397" s="84" t="s">
        <v>2158</v>
      </c>
      <c r="AX397" s="53">
        <v>8</v>
      </c>
      <c r="AY397" s="83">
        <v>46242</v>
      </c>
      <c r="AZ397" s="53"/>
      <c r="BA397" s="53"/>
      <c r="BB397" s="238"/>
    </row>
    <row r="398" spans="3:54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29"/>
        <v>0</v>
      </c>
      <c r="M398" s="26">
        <f t="shared" si="25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67" t="e">
        <f>SUMIFS([2]Up!$J:$J,[2]Up!$D:$D,D398)</f>
        <v>#VALUE!</v>
      </c>
      <c r="AQ398" s="82"/>
      <c r="AR398" s="82" t="str">
        <f t="shared" si="30"/>
        <v>PL12</v>
      </c>
      <c r="AS398" s="53" t="str">
        <f t="shared" si="31"/>
        <v/>
      </c>
      <c r="AT398" s="53" t="s">
        <v>154</v>
      </c>
      <c r="AU398" s="53" t="s">
        <v>1021</v>
      </c>
      <c r="AV398" s="53" t="s">
        <v>1022</v>
      </c>
      <c r="AW398" s="53" t="s">
        <v>57</v>
      </c>
      <c r="AX398" s="53">
        <v>4</v>
      </c>
      <c r="AY398" s="83"/>
      <c r="AZ398" s="53"/>
      <c r="BA398" s="53"/>
    </row>
    <row r="399" spans="3:54" ht="14.25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29"/>
        <v>1</v>
      </c>
      <c r="M399" s="26">
        <f t="shared" si="25"/>
        <v>1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67" t="e">
        <f>SUMIFS([2]Up!$J:$J,[2]Up!$D:$D,D399)</f>
        <v>#VALUE!</v>
      </c>
      <c r="AQ399" s="82" t="s">
        <v>2245</v>
      </c>
      <c r="AR399" s="82" t="str">
        <f t="shared" si="30"/>
        <v>PL12</v>
      </c>
      <c r="AS399" s="53" t="str">
        <f t="shared" si="31"/>
        <v/>
      </c>
      <c r="AT399" s="53" t="s">
        <v>154</v>
      </c>
      <c r="AU399" s="53" t="s">
        <v>1021</v>
      </c>
      <c r="AV399" s="53" t="s">
        <v>1022</v>
      </c>
      <c r="AW399" s="53" t="s">
        <v>57</v>
      </c>
      <c r="AX399" s="53">
        <v>4</v>
      </c>
      <c r="AY399" s="83"/>
      <c r="AZ399" s="53"/>
      <c r="BA399" s="53"/>
    </row>
    <row r="400" spans="3:54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29"/>
        <v>0</v>
      </c>
      <c r="M400" s="26">
        <f t="shared" si="25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67" t="e">
        <f>SUMIFS([2]Up!$J:$J,[2]Up!$D:$D,D400)</f>
        <v>#VALUE!</v>
      </c>
      <c r="AQ400" s="82"/>
      <c r="AR400" s="82" t="str">
        <f t="shared" si="30"/>
        <v>PL12</v>
      </c>
      <c r="AS400" s="53" t="str">
        <f t="shared" si="31"/>
        <v/>
      </c>
      <c r="AT400" s="53" t="s">
        <v>148</v>
      </c>
      <c r="AU400" s="53" t="s">
        <v>1021</v>
      </c>
      <c r="AV400" s="53" t="s">
        <v>1022</v>
      </c>
      <c r="AW400" s="84" t="s">
        <v>2160</v>
      </c>
      <c r="AX400" s="53">
        <v>12</v>
      </c>
      <c r="AY400" s="83">
        <v>46302</v>
      </c>
      <c r="AZ400" s="53"/>
      <c r="BA400" s="53"/>
      <c r="BB400" s="238"/>
    </row>
    <row r="401" spans="3:54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29"/>
        <v>0</v>
      </c>
      <c r="M401" s="26">
        <f t="shared" si="25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67" t="e">
        <f>SUMIFS([2]Up!$J:$J,[2]Up!$D:$D,D401)</f>
        <v>#VALUE!</v>
      </c>
      <c r="AQ401" s="82"/>
      <c r="AR401" s="82" t="str">
        <f t="shared" si="30"/>
        <v>PL10</v>
      </c>
      <c r="AS401" s="53" t="str">
        <f t="shared" si="31"/>
        <v/>
      </c>
      <c r="AT401" s="53" t="s">
        <v>148</v>
      </c>
      <c r="AU401" s="53" t="s">
        <v>1005</v>
      </c>
      <c r="AV401" s="53" t="s">
        <v>1006</v>
      </c>
      <c r="AW401" s="84" t="s">
        <v>2157</v>
      </c>
      <c r="AX401" s="53">
        <v>4</v>
      </c>
      <c r="AY401" s="83">
        <v>46302</v>
      </c>
      <c r="AZ401" s="53"/>
      <c r="BA401" s="53"/>
      <c r="BB401" s="238"/>
    </row>
    <row r="402" spans="3:54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29"/>
        <v>1</v>
      </c>
      <c r="M402" s="26">
        <f t="shared" si="25"/>
        <v>1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67" t="e">
        <f>SUMIFS([2]Up!$J:$J,[2]Up!$D:$D,D402)</f>
        <v>#VALUE!</v>
      </c>
      <c r="AQ402" s="82" t="s">
        <v>2240</v>
      </c>
      <c r="AR402" s="82" t="str">
        <f t="shared" si="30"/>
        <v>PL10</v>
      </c>
      <c r="AS402" s="53" t="str">
        <f t="shared" si="31"/>
        <v/>
      </c>
      <c r="AT402" s="53" t="s">
        <v>154</v>
      </c>
      <c r="AU402" s="53" t="s">
        <v>1005</v>
      </c>
      <c r="AV402" s="53" t="s">
        <v>1006</v>
      </c>
      <c r="AW402" s="53" t="s">
        <v>57</v>
      </c>
      <c r="AX402" s="53">
        <v>4</v>
      </c>
      <c r="AY402" s="83"/>
      <c r="AZ402" s="53"/>
      <c r="BA402" s="53"/>
    </row>
    <row r="403" spans="3:54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29"/>
        <v>0</v>
      </c>
      <c r="M403" s="26">
        <f t="shared" si="25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67" t="e">
        <f>SUMIFS([2]Up!$J:$J,[2]Up!$D:$D,D403)</f>
        <v>#VALUE!</v>
      </c>
      <c r="AQ403" s="82"/>
      <c r="AR403" s="82" t="str">
        <f t="shared" si="30"/>
        <v>PL10</v>
      </c>
      <c r="AS403" s="53" t="str">
        <f t="shared" si="31"/>
        <v/>
      </c>
      <c r="AT403" s="53" t="s">
        <v>154</v>
      </c>
      <c r="AU403" s="53" t="s">
        <v>1005</v>
      </c>
      <c r="AV403" s="53" t="s">
        <v>1006</v>
      </c>
      <c r="AW403" s="84" t="s">
        <v>2157</v>
      </c>
      <c r="AX403" s="53">
        <v>4</v>
      </c>
      <c r="AY403" s="83">
        <v>46302</v>
      </c>
      <c r="AZ403" s="53"/>
      <c r="BA403" s="53"/>
      <c r="BB403" s="238"/>
    </row>
    <row r="404" spans="3:54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29"/>
        <v>0</v>
      </c>
      <c r="M404" s="26">
        <f t="shared" si="25"/>
        <v>4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67" t="e">
        <f>SUMIFS([2]Up!$J:$J,[2]Up!$D:$D,D404)</f>
        <v>#VALUE!</v>
      </c>
      <c r="AQ404" s="82"/>
      <c r="AR404" s="82" t="str">
        <f t="shared" si="30"/>
        <v>PL20</v>
      </c>
      <c r="AS404" s="53" t="str">
        <f t="shared" si="31"/>
        <v/>
      </c>
      <c r="AT404" s="53" t="s">
        <v>148</v>
      </c>
      <c r="AU404" s="53" t="s">
        <v>1100</v>
      </c>
      <c r="AV404" s="53" t="s">
        <v>1101</v>
      </c>
      <c r="AW404" s="84" t="s">
        <v>2158</v>
      </c>
      <c r="AX404" s="53">
        <v>8</v>
      </c>
      <c r="AY404" s="83">
        <v>46242</v>
      </c>
      <c r="AZ404" s="53"/>
      <c r="BA404" s="53"/>
      <c r="BB404" s="238"/>
    </row>
    <row r="405" spans="3:54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29"/>
        <v>0</v>
      </c>
      <c r="M405" s="26">
        <f t="shared" si="25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67" t="e">
        <f>SUMIFS([2]Up!$J:$J,[2]Up!$D:$D,D405)</f>
        <v>#VALUE!</v>
      </c>
      <c r="AQ405" s="82"/>
      <c r="AR405" s="82" t="str">
        <f t="shared" si="30"/>
        <v>PL12</v>
      </c>
      <c r="AS405" s="53" t="str">
        <f t="shared" si="31"/>
        <v/>
      </c>
      <c r="AT405" s="53" t="s">
        <v>154</v>
      </c>
      <c r="AU405" s="53" t="s">
        <v>1021</v>
      </c>
      <c r="AV405" s="53" t="s">
        <v>1022</v>
      </c>
      <c r="AW405" s="53" t="s">
        <v>57</v>
      </c>
      <c r="AX405" s="53">
        <v>4</v>
      </c>
      <c r="AY405" s="83"/>
      <c r="AZ405" s="53"/>
      <c r="BA405" s="53"/>
    </row>
    <row r="406" spans="3:54" ht="14.25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29"/>
        <v>2</v>
      </c>
      <c r="M406" s="26">
        <f t="shared" si="25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67" t="e">
        <f>SUMIFS([2]Up!$J:$J,[2]Up!$D:$D,D406)</f>
        <v>#VALUE!</v>
      </c>
      <c r="AQ406" s="82" t="s">
        <v>2248</v>
      </c>
      <c r="AR406" s="82" t="str">
        <f t="shared" si="30"/>
        <v>PL12</v>
      </c>
      <c r="AS406" s="53" t="str">
        <f t="shared" si="31"/>
        <v/>
      </c>
      <c r="AT406" s="53" t="s">
        <v>154</v>
      </c>
      <c r="AU406" s="53" t="s">
        <v>1021</v>
      </c>
      <c r="AV406" s="53" t="s">
        <v>1022</v>
      </c>
      <c r="AW406" s="53" t="s">
        <v>57</v>
      </c>
      <c r="AX406" s="53">
        <v>4</v>
      </c>
      <c r="AY406" s="83"/>
      <c r="AZ406" s="53"/>
      <c r="BA406" s="53"/>
    </row>
    <row r="407" spans="3:54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29"/>
        <v>0</v>
      </c>
      <c r="M407" s="26">
        <f t="shared" si="25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67" t="e">
        <f>SUMIFS([2]Up!$J:$J,[2]Up!$D:$D,D407)</f>
        <v>#VALUE!</v>
      </c>
      <c r="AQ407" s="82"/>
      <c r="AR407" s="82" t="str">
        <f t="shared" si="30"/>
        <v>PL12</v>
      </c>
      <c r="AS407" s="53" t="str">
        <f t="shared" si="31"/>
        <v/>
      </c>
      <c r="AT407" s="53" t="s">
        <v>148</v>
      </c>
      <c r="AU407" s="53" t="s">
        <v>1021</v>
      </c>
      <c r="AV407" s="53" t="s">
        <v>1022</v>
      </c>
      <c r="AW407" s="84" t="s">
        <v>2160</v>
      </c>
      <c r="AX407" s="53">
        <v>12</v>
      </c>
      <c r="AY407" s="83">
        <v>46302</v>
      </c>
      <c r="AZ407" s="53"/>
      <c r="BA407" s="53"/>
      <c r="BB407" s="238"/>
    </row>
    <row r="408" spans="3:54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29"/>
        <v>0</v>
      </c>
      <c r="M408" s="26">
        <f t="shared" si="25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67" t="e">
        <f>SUMIFS([2]Up!$J:$J,[2]Up!$D:$D,D408)</f>
        <v>#VALUE!</v>
      </c>
      <c r="AQ408" s="82"/>
      <c r="AR408" s="82" t="str">
        <f t="shared" si="30"/>
        <v>PL10</v>
      </c>
      <c r="AS408" s="53" t="str">
        <f t="shared" si="31"/>
        <v/>
      </c>
      <c r="AT408" s="53" t="s">
        <v>148</v>
      </c>
      <c r="AU408" s="53" t="s">
        <v>1005</v>
      </c>
      <c r="AV408" s="53" t="s">
        <v>1006</v>
      </c>
      <c r="AW408" s="84" t="s">
        <v>2157</v>
      </c>
      <c r="AX408" s="53">
        <v>4</v>
      </c>
      <c r="AY408" s="83">
        <v>46302</v>
      </c>
      <c r="AZ408" s="53"/>
      <c r="BA408" s="53"/>
      <c r="BB408" s="238"/>
    </row>
    <row r="409" spans="3:54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29"/>
        <v>6</v>
      </c>
      <c r="M409" s="26">
        <f t="shared" si="25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67" t="e">
        <f>SUMIFS([2]Up!$J:$J,[2]Up!$D:$D,D409)</f>
        <v>#VALUE!</v>
      </c>
      <c r="AQ409" s="82"/>
      <c r="AR409" s="82" t="str">
        <f t="shared" si="30"/>
        <v/>
      </c>
      <c r="AS409" s="53" t="str">
        <f t="shared" si="31"/>
        <v/>
      </c>
      <c r="AT409" s="53" t="s">
        <v>148</v>
      </c>
      <c r="AU409" s="53" t="s">
        <v>1079</v>
      </c>
      <c r="AV409" s="53" t="s">
        <v>1076</v>
      </c>
      <c r="AW409" s="53" t="s">
        <v>1290</v>
      </c>
      <c r="AX409" s="53">
        <v>6</v>
      </c>
      <c r="AY409" s="83">
        <v>46362</v>
      </c>
      <c r="AZ409" s="53"/>
      <c r="BA409" s="53"/>
    </row>
    <row r="410" spans="3:54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29"/>
        <v>1</v>
      </c>
      <c r="M410" s="26">
        <f t="shared" si="25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67" t="e">
        <f>SUMIFS([2]Up!$J:$J,[2]Up!$D:$D,D410)</f>
        <v>#VALUE!</v>
      </c>
      <c r="AQ410" s="82" t="s">
        <v>2084</v>
      </c>
      <c r="AR410" s="82" t="str">
        <f t="shared" si="30"/>
        <v>PL10</v>
      </c>
      <c r="AS410" s="53" t="str">
        <f t="shared" si="31"/>
        <v>Thừa 8</v>
      </c>
      <c r="AT410" s="53" t="s">
        <v>154</v>
      </c>
      <c r="AU410" s="53" t="s">
        <v>1005</v>
      </c>
      <c r="AV410" s="53" t="s">
        <v>1006</v>
      </c>
      <c r="AW410" s="53" t="s">
        <v>57</v>
      </c>
      <c r="AX410" s="53">
        <v>1</v>
      </c>
      <c r="AY410" s="83"/>
      <c r="AZ410" s="53"/>
      <c r="BA410" s="53"/>
    </row>
    <row r="411" spans="3:54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29"/>
        <v>2</v>
      </c>
      <c r="M411" s="26">
        <f t="shared" si="25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67" t="e">
        <f>SUMIFS([2]Up!$J:$J,[2]Up!$D:$D,D411)</f>
        <v>#VALUE!</v>
      </c>
      <c r="AQ411" s="82"/>
      <c r="AR411" s="82" t="str">
        <f t="shared" si="30"/>
        <v>PL15</v>
      </c>
      <c r="AS411" s="53" t="str">
        <f t="shared" si="31"/>
        <v/>
      </c>
      <c r="AT411" s="53" t="s">
        <v>148</v>
      </c>
      <c r="AU411" s="53" t="s">
        <v>1094</v>
      </c>
      <c r="AV411" s="53" t="s">
        <v>1095</v>
      </c>
      <c r="AW411" s="53" t="s">
        <v>1304</v>
      </c>
      <c r="AX411" s="53">
        <v>2</v>
      </c>
      <c r="AY411" s="83">
        <v>46088</v>
      </c>
      <c r="AZ411" s="53"/>
      <c r="BA411" s="53"/>
    </row>
    <row r="412" spans="3:54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29"/>
        <v>1</v>
      </c>
      <c r="M412" s="26">
        <f t="shared" si="25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67" t="e">
        <f>SUMIFS([2]Up!$J:$J,[2]Up!$D:$D,D412)</f>
        <v>#VALUE!</v>
      </c>
      <c r="AQ412" s="82"/>
      <c r="AR412" s="82" t="str">
        <f t="shared" si="30"/>
        <v>PL10</v>
      </c>
      <c r="AS412" s="53" t="str">
        <f t="shared" si="31"/>
        <v/>
      </c>
      <c r="AT412" s="53" t="s">
        <v>148</v>
      </c>
      <c r="AU412" s="53" t="s">
        <v>1005</v>
      </c>
      <c r="AV412" s="53" t="s">
        <v>1006</v>
      </c>
      <c r="AW412" s="53" t="s">
        <v>1064</v>
      </c>
      <c r="AX412" s="53">
        <v>1</v>
      </c>
      <c r="AY412" s="83">
        <v>46088</v>
      </c>
      <c r="AZ412" s="53"/>
      <c r="BA412" s="53"/>
    </row>
    <row r="413" spans="3:54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29"/>
        <v>7</v>
      </c>
      <c r="M413" s="26">
        <f t="shared" si="25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67" t="e">
        <f>SUMIFS([2]Up!$J:$J,[2]Up!$D:$D,D413)</f>
        <v>#VALUE!</v>
      </c>
      <c r="AQ413" s="82"/>
      <c r="AR413" s="82" t="str">
        <f t="shared" si="30"/>
        <v>PL10</v>
      </c>
      <c r="AS413" s="53" t="str">
        <f t="shared" si="31"/>
        <v/>
      </c>
      <c r="AT413" s="53" t="s">
        <v>148</v>
      </c>
      <c r="AU413" s="53" t="s">
        <v>1005</v>
      </c>
      <c r="AV413" s="53" t="s">
        <v>1006</v>
      </c>
      <c r="AW413" s="53" t="s">
        <v>1064</v>
      </c>
      <c r="AX413" s="53">
        <v>7</v>
      </c>
      <c r="AY413" s="83">
        <v>46088</v>
      </c>
      <c r="AZ413" s="53"/>
      <c r="BA413" s="53"/>
    </row>
    <row r="414" spans="3:54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2">MIN(SUM(N414:AO414),I414)</f>
        <v>7</v>
      </c>
      <c r="M414" s="26">
        <f t="shared" si="25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67" t="e">
        <f>SUMIFS([2]Up!$J:$J,[2]Up!$D:$D,D414)</f>
        <v>#VALUE!</v>
      </c>
      <c r="AQ414" s="82"/>
      <c r="AR414" s="82" t="str">
        <f t="shared" ref="AR414:AR477" si="33">IFERROR(IF(C414="Plate",LEFT(E414,FIND("*",E414,1)-1),""),IF(C414="Plate",LEFT(E414,FIND("x",E414,1)-1),""))</f>
        <v>PL10</v>
      </c>
      <c r="AS414" s="53" t="str">
        <f t="shared" ref="AS414:AS477" si="34">IF(ROUND(SUM(N414:AO414)-I414,0)&gt;0,"Thừa "&amp;SUM(N414:AO414)-I414,"")</f>
        <v/>
      </c>
      <c r="AT414" s="53" t="s">
        <v>148</v>
      </c>
      <c r="AU414" s="53" t="s">
        <v>1005</v>
      </c>
      <c r="AV414" s="53" t="s">
        <v>1006</v>
      </c>
      <c r="AW414" s="53" t="s">
        <v>1064</v>
      </c>
      <c r="AX414" s="53">
        <v>7</v>
      </c>
      <c r="AY414" s="83">
        <v>46088</v>
      </c>
      <c r="AZ414" s="53"/>
      <c r="BA414" s="53"/>
    </row>
    <row r="415" spans="3:54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2"/>
        <v>14</v>
      </c>
      <c r="M415" s="26">
        <f t="shared" si="25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67" t="e">
        <f>SUMIFS([2]Up!$J:$J,[2]Up!$D:$D,D415)</f>
        <v>#VALUE!</v>
      </c>
      <c r="AQ415" s="82"/>
      <c r="AR415" s="82" t="str">
        <f t="shared" si="33"/>
        <v>PL16</v>
      </c>
      <c r="AS415" s="53" t="str">
        <f t="shared" si="34"/>
        <v/>
      </c>
      <c r="AT415" s="53" t="s">
        <v>148</v>
      </c>
      <c r="AU415" s="53" t="s">
        <v>988</v>
      </c>
      <c r="AV415" s="53" t="s">
        <v>989</v>
      </c>
      <c r="AW415" s="53" t="s">
        <v>990</v>
      </c>
      <c r="AX415" s="53">
        <v>14</v>
      </c>
      <c r="AY415" s="83" t="s">
        <v>2223</v>
      </c>
      <c r="AZ415" s="53"/>
      <c r="BA415" s="53"/>
    </row>
    <row r="416" spans="3:54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2"/>
        <v>4</v>
      </c>
      <c r="M416" s="26">
        <f t="shared" si="25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67" t="e">
        <f>SUMIFS([2]Up!$J:$J,[2]Up!$D:$D,D416)</f>
        <v>#VALUE!</v>
      </c>
      <c r="AQ416" s="82"/>
      <c r="AR416" s="82" t="str">
        <f t="shared" si="33"/>
        <v>PL10</v>
      </c>
      <c r="AS416" s="53" t="str">
        <f t="shared" si="34"/>
        <v/>
      </c>
      <c r="AT416" s="53" t="s">
        <v>148</v>
      </c>
      <c r="AU416" s="53" t="s">
        <v>1005</v>
      </c>
      <c r="AV416" s="53" t="s">
        <v>1006</v>
      </c>
      <c r="AW416" s="53" t="s">
        <v>1064</v>
      </c>
      <c r="AX416" s="53">
        <v>4</v>
      </c>
      <c r="AY416" s="83">
        <v>46088</v>
      </c>
      <c r="AZ416" s="53"/>
      <c r="BA416" s="53"/>
    </row>
    <row r="417" spans="3:54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2"/>
        <v>4</v>
      </c>
      <c r="M417" s="26">
        <f t="shared" si="25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67" t="e">
        <f>SUMIFS([2]Up!$J:$J,[2]Up!$D:$D,D417)</f>
        <v>#VALUE!</v>
      </c>
      <c r="AQ417" s="82"/>
      <c r="AR417" s="82" t="str">
        <f t="shared" si="33"/>
        <v>PL10</v>
      </c>
      <c r="AS417" s="53" t="str">
        <f t="shared" si="34"/>
        <v/>
      </c>
      <c r="AT417" s="53" t="s">
        <v>148</v>
      </c>
      <c r="AU417" s="53" t="s">
        <v>1005</v>
      </c>
      <c r="AV417" s="53" t="s">
        <v>1006</v>
      </c>
      <c r="AW417" s="53" t="s">
        <v>1064</v>
      </c>
      <c r="AX417" s="53">
        <v>4</v>
      </c>
      <c r="AY417" s="83">
        <v>46088</v>
      </c>
      <c r="AZ417" s="53"/>
      <c r="BA417" s="53"/>
    </row>
    <row r="418" spans="3:54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2"/>
        <v>4</v>
      </c>
      <c r="M418" s="26">
        <f t="shared" si="25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67" t="e">
        <f>SUMIFS([2]Up!$J:$J,[2]Up!$D:$D,D418)</f>
        <v>#VALUE!</v>
      </c>
      <c r="AQ418" s="82"/>
      <c r="AR418" s="82" t="str">
        <f t="shared" si="33"/>
        <v>PL15</v>
      </c>
      <c r="AS418" s="53" t="str">
        <f t="shared" si="34"/>
        <v/>
      </c>
      <c r="AT418" s="53" t="s">
        <v>148</v>
      </c>
      <c r="AU418" s="53" t="s">
        <v>1094</v>
      </c>
      <c r="AV418" s="53" t="s">
        <v>1095</v>
      </c>
      <c r="AW418" s="53" t="s">
        <v>1304</v>
      </c>
      <c r="AX418" s="53">
        <v>4</v>
      </c>
      <c r="AY418" s="83">
        <v>46088</v>
      </c>
      <c r="AZ418" s="53"/>
      <c r="BA418" s="53"/>
    </row>
    <row r="419" spans="3:54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2"/>
        <v>1</v>
      </c>
      <c r="M419" s="26">
        <f t="shared" si="25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67" t="e">
        <f>SUMIFS([2]Up!$J:$J,[2]Up!$D:$D,D419)</f>
        <v>#VALUE!</v>
      </c>
      <c r="AQ419" s="82" t="s">
        <v>2230</v>
      </c>
      <c r="AR419" s="82" t="str">
        <f t="shared" si="33"/>
        <v>PL10</v>
      </c>
      <c r="AS419" s="53" t="str">
        <f t="shared" si="34"/>
        <v>Thừa 6</v>
      </c>
      <c r="AT419" s="53" t="s">
        <v>154</v>
      </c>
      <c r="AU419" s="53" t="s">
        <v>1005</v>
      </c>
      <c r="AV419" s="53" t="s">
        <v>1006</v>
      </c>
      <c r="AW419" s="53" t="s">
        <v>57</v>
      </c>
      <c r="AX419" s="53">
        <v>1</v>
      </c>
      <c r="AY419" s="83"/>
      <c r="AZ419" s="53"/>
      <c r="BA419" s="53"/>
    </row>
    <row r="420" spans="3:54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2"/>
        <v>3</v>
      </c>
      <c r="M420" s="26">
        <f t="shared" si="25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67" t="e">
        <f>SUMIFS([2]Up!$J:$J,[2]Up!$D:$D,D420)</f>
        <v>#VALUE!</v>
      </c>
      <c r="AQ420" s="82"/>
      <c r="AR420" s="82" t="str">
        <f t="shared" si="33"/>
        <v>PL10</v>
      </c>
      <c r="AS420" s="53" t="str">
        <f t="shared" si="34"/>
        <v/>
      </c>
      <c r="AT420" s="53" t="s">
        <v>148</v>
      </c>
      <c r="AU420" s="53" t="s">
        <v>1005</v>
      </c>
      <c r="AV420" s="53" t="s">
        <v>1006</v>
      </c>
      <c r="AW420" s="53" t="s">
        <v>1064</v>
      </c>
      <c r="AX420" s="53">
        <v>3</v>
      </c>
      <c r="AY420" s="83">
        <v>46088</v>
      </c>
      <c r="AZ420" s="53"/>
      <c r="BA420" s="53"/>
    </row>
    <row r="421" spans="3:54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2"/>
        <v>1</v>
      </c>
      <c r="M421" s="26">
        <f t="shared" si="25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67" t="e">
        <f>SUMIFS([2]Up!$J:$J,[2]Up!$D:$D,D421)</f>
        <v>#VALUE!</v>
      </c>
      <c r="AQ421" s="82"/>
      <c r="AR421" s="82" t="str">
        <f t="shared" si="33"/>
        <v>PL15</v>
      </c>
      <c r="AS421" s="53" t="str">
        <f t="shared" si="34"/>
        <v/>
      </c>
      <c r="AT421" s="53" t="s">
        <v>148</v>
      </c>
      <c r="AU421" s="53" t="s">
        <v>1094</v>
      </c>
      <c r="AV421" s="53" t="s">
        <v>1095</v>
      </c>
      <c r="AW421" s="53" t="s">
        <v>1304</v>
      </c>
      <c r="AX421" s="53">
        <v>1</v>
      </c>
      <c r="AY421" s="83">
        <v>46088</v>
      </c>
      <c r="AZ421" s="53"/>
      <c r="BA421" s="53"/>
    </row>
    <row r="422" spans="3:54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2"/>
        <v>1</v>
      </c>
      <c r="M422" s="26">
        <f t="shared" si="25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67" t="e">
        <f>SUMIFS([2]Up!$J:$J,[2]Up!$D:$D,D422)</f>
        <v>#VALUE!</v>
      </c>
      <c r="AQ422" s="82"/>
      <c r="AR422" s="82" t="str">
        <f t="shared" si="33"/>
        <v>PL20</v>
      </c>
      <c r="AS422" s="53" t="str">
        <f t="shared" si="34"/>
        <v/>
      </c>
      <c r="AT422" s="53" t="s">
        <v>148</v>
      </c>
      <c r="AU422" s="53" t="s">
        <v>1100</v>
      </c>
      <c r="AV422" s="53" t="s">
        <v>1101</v>
      </c>
      <c r="AW422" s="53" t="s">
        <v>1308</v>
      </c>
      <c r="AX422" s="53">
        <v>1</v>
      </c>
      <c r="AY422" s="83">
        <v>46242</v>
      </c>
      <c r="AZ422" s="53"/>
      <c r="BA422" s="53"/>
    </row>
    <row r="423" spans="3:54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2"/>
        <v>1</v>
      </c>
      <c r="M423" s="26">
        <f t="shared" si="25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67" t="e">
        <f>SUMIFS([2]Up!$J:$J,[2]Up!$D:$D,D423)</f>
        <v>#VALUE!</v>
      </c>
      <c r="AQ423" s="82" t="s">
        <v>2231</v>
      </c>
      <c r="AR423" s="82" t="str">
        <f t="shared" si="33"/>
        <v>PL10</v>
      </c>
      <c r="AS423" s="53" t="str">
        <f t="shared" si="34"/>
        <v>Thừa 6</v>
      </c>
      <c r="AT423" s="53" t="s">
        <v>154</v>
      </c>
      <c r="AU423" s="53" t="s">
        <v>1005</v>
      </c>
      <c r="AV423" s="53" t="s">
        <v>1006</v>
      </c>
      <c r="AW423" s="53" t="s">
        <v>57</v>
      </c>
      <c r="AX423" s="53">
        <v>1</v>
      </c>
      <c r="AY423" s="83"/>
      <c r="AZ423" s="53"/>
      <c r="BA423" s="53"/>
    </row>
    <row r="424" spans="3:54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2"/>
        <v>7</v>
      </c>
      <c r="M424" s="26">
        <f t="shared" si="25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67" t="e">
        <f>SUMIFS([2]Up!$J:$J,[2]Up!$D:$D,D424)</f>
        <v>#VALUE!</v>
      </c>
      <c r="AQ424" s="82"/>
      <c r="AR424" s="82" t="str">
        <f t="shared" si="33"/>
        <v>PL10</v>
      </c>
      <c r="AS424" s="53" t="str">
        <f t="shared" si="34"/>
        <v/>
      </c>
      <c r="AT424" s="53" t="s">
        <v>148</v>
      </c>
      <c r="AU424" s="53" t="s">
        <v>1005</v>
      </c>
      <c r="AV424" s="53" t="s">
        <v>1006</v>
      </c>
      <c r="AW424" s="53" t="s">
        <v>1064</v>
      </c>
      <c r="AX424" s="53">
        <v>7</v>
      </c>
      <c r="AY424" s="83">
        <v>46088</v>
      </c>
      <c r="AZ424" s="53"/>
      <c r="BA424" s="53"/>
    </row>
    <row r="425" spans="3:54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2"/>
        <v>1</v>
      </c>
      <c r="M425" s="26">
        <f t="shared" si="25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67" t="e">
        <f>SUMIFS([2]Up!$J:$J,[2]Up!$D:$D,D425)</f>
        <v>#VALUE!</v>
      </c>
      <c r="AQ425" s="82"/>
      <c r="AR425" s="82" t="str">
        <f t="shared" si="33"/>
        <v>PL15</v>
      </c>
      <c r="AS425" s="53" t="str">
        <f t="shared" si="34"/>
        <v/>
      </c>
      <c r="AT425" s="53" t="s">
        <v>148</v>
      </c>
      <c r="AU425" s="53" t="s">
        <v>1094</v>
      </c>
      <c r="AV425" s="53" t="s">
        <v>1095</v>
      </c>
      <c r="AW425" s="53" t="s">
        <v>1304</v>
      </c>
      <c r="AX425" s="53">
        <v>1</v>
      </c>
      <c r="AY425" s="83">
        <v>46088</v>
      </c>
      <c r="AZ425" s="53"/>
      <c r="BA425" s="53"/>
    </row>
    <row r="426" spans="3:54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2"/>
        <v>1</v>
      </c>
      <c r="M426" s="26">
        <f t="shared" si="25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67" t="e">
        <f>SUMIFS([2]Up!$J:$J,[2]Up!$D:$D,D426)</f>
        <v>#VALUE!</v>
      </c>
      <c r="AQ426" s="82"/>
      <c r="AR426" s="82" t="str">
        <f t="shared" si="33"/>
        <v>PL20</v>
      </c>
      <c r="AS426" s="53" t="str">
        <f t="shared" si="34"/>
        <v/>
      </c>
      <c r="AT426" s="53" t="s">
        <v>148</v>
      </c>
      <c r="AU426" s="53" t="s">
        <v>1100</v>
      </c>
      <c r="AV426" s="53" t="s">
        <v>1101</v>
      </c>
      <c r="AW426" s="53" t="s">
        <v>1308</v>
      </c>
      <c r="AX426" s="53">
        <v>1</v>
      </c>
      <c r="AY426" s="83">
        <v>46242</v>
      </c>
      <c r="AZ426" s="53"/>
      <c r="BA426" s="53"/>
    </row>
    <row r="427" spans="3:54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2"/>
        <v>0</v>
      </c>
      <c r="M427" s="26">
        <f t="shared" si="25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67" t="e">
        <f>SUMIFS([2]Up!$J:$J,[2]Up!$D:$D,D427)</f>
        <v>#VALUE!</v>
      </c>
      <c r="AQ427" s="82"/>
      <c r="AR427" s="82" t="str">
        <f t="shared" si="33"/>
        <v/>
      </c>
      <c r="AS427" s="53" t="str">
        <f t="shared" si="34"/>
        <v/>
      </c>
      <c r="AT427" s="53" t="s">
        <v>148</v>
      </c>
      <c r="AU427" s="53" t="s">
        <v>1079</v>
      </c>
      <c r="AV427" s="53" t="s">
        <v>1076</v>
      </c>
      <c r="AW427" s="84" t="s">
        <v>2162</v>
      </c>
      <c r="AX427" s="53">
        <v>24</v>
      </c>
      <c r="AY427" s="83" t="s">
        <v>2225</v>
      </c>
      <c r="AZ427" s="53"/>
      <c r="BA427" s="53"/>
      <c r="BB427" s="238"/>
    </row>
    <row r="428" spans="3:54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2"/>
        <v>1</v>
      </c>
      <c r="M428" s="26">
        <f t="shared" si="25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67" t="e">
        <f>SUMIFS([2]Up!$J:$J,[2]Up!$D:$D,D428)</f>
        <v>#VALUE!</v>
      </c>
      <c r="AQ428" s="82" t="s">
        <v>1830</v>
      </c>
      <c r="AR428" s="82" t="str">
        <f t="shared" si="33"/>
        <v>PL10</v>
      </c>
      <c r="AS428" s="53" t="str">
        <f t="shared" si="34"/>
        <v/>
      </c>
      <c r="AT428" s="53" t="s">
        <v>154</v>
      </c>
      <c r="AU428" s="53" t="s">
        <v>1005</v>
      </c>
      <c r="AV428" s="53" t="s">
        <v>1006</v>
      </c>
      <c r="AW428" s="53" t="s">
        <v>57</v>
      </c>
      <c r="AX428" s="53">
        <v>4</v>
      </c>
      <c r="AY428" s="83"/>
      <c r="AZ428" s="53"/>
      <c r="BA428" s="53"/>
    </row>
    <row r="429" spans="3:54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2"/>
        <v>2</v>
      </c>
      <c r="M429" s="26">
        <f t="shared" si="25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67" t="e">
        <f>SUMIFS([2]Up!$J:$J,[2]Up!$D:$D,D429)</f>
        <v>#VALUE!</v>
      </c>
      <c r="AQ429" s="82"/>
      <c r="AR429" s="82" t="str">
        <f t="shared" si="33"/>
        <v>PL15</v>
      </c>
      <c r="AS429" s="53" t="str">
        <f t="shared" si="34"/>
        <v/>
      </c>
      <c r="AT429" s="53" t="s">
        <v>148</v>
      </c>
      <c r="AU429" s="53" t="s">
        <v>1094</v>
      </c>
      <c r="AV429" s="53" t="s">
        <v>1095</v>
      </c>
      <c r="AW429" s="84" t="s">
        <v>2156</v>
      </c>
      <c r="AX429" s="53">
        <v>8</v>
      </c>
      <c r="AY429" s="83" t="s">
        <v>2225</v>
      </c>
      <c r="AZ429" s="53"/>
      <c r="BA429" s="53"/>
      <c r="BB429" s="238"/>
    </row>
    <row r="430" spans="3:54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2"/>
        <v>0</v>
      </c>
      <c r="M430" s="26">
        <f t="shared" si="25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67" t="e">
        <f>SUMIFS([2]Up!$J:$J,[2]Up!$D:$D,D430)</f>
        <v>#VALUE!</v>
      </c>
      <c r="AQ430" s="82"/>
      <c r="AR430" s="82" t="str">
        <f t="shared" si="33"/>
        <v>PL10</v>
      </c>
      <c r="AS430" s="53" t="str">
        <f t="shared" si="34"/>
        <v/>
      </c>
      <c r="AT430" s="53" t="s">
        <v>148</v>
      </c>
      <c r="AU430" s="53" t="s">
        <v>1005</v>
      </c>
      <c r="AV430" s="53" t="s">
        <v>1006</v>
      </c>
      <c r="AW430" s="84" t="s">
        <v>2157</v>
      </c>
      <c r="AX430" s="53">
        <v>4</v>
      </c>
      <c r="AY430" s="83">
        <v>46302</v>
      </c>
      <c r="AZ430" s="53"/>
      <c r="BA430" s="53"/>
      <c r="BB430" s="238"/>
    </row>
    <row r="431" spans="3:54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2"/>
        <v>0</v>
      </c>
      <c r="M431" s="26">
        <f t="shared" si="25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67" t="e">
        <f>SUMIFS([2]Up!$J:$J,[2]Up!$D:$D,D431)</f>
        <v>#VALUE!</v>
      </c>
      <c r="AQ431" s="82"/>
      <c r="AR431" s="82" t="str">
        <f t="shared" si="33"/>
        <v>PL10</v>
      </c>
      <c r="AS431" s="53" t="str">
        <f t="shared" si="34"/>
        <v/>
      </c>
      <c r="AT431" s="53" t="s">
        <v>148</v>
      </c>
      <c r="AU431" s="53" t="s">
        <v>1005</v>
      </c>
      <c r="AV431" s="53" t="s">
        <v>1006</v>
      </c>
      <c r="AW431" s="84" t="s">
        <v>2157</v>
      </c>
      <c r="AX431" s="53">
        <v>28</v>
      </c>
      <c r="AY431" s="83">
        <v>46302</v>
      </c>
      <c r="AZ431" s="53"/>
      <c r="BA431" s="53"/>
      <c r="BB431" s="238"/>
    </row>
    <row r="432" spans="3:54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2"/>
        <v>0</v>
      </c>
      <c r="M432" s="26">
        <f t="shared" si="25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67" t="e">
        <f>SUMIFS([2]Up!$J:$J,[2]Up!$D:$D,D432)</f>
        <v>#VALUE!</v>
      </c>
      <c r="AQ432" s="82"/>
      <c r="AR432" s="82" t="str">
        <f t="shared" si="33"/>
        <v>PL10</v>
      </c>
      <c r="AS432" s="53" t="str">
        <f t="shared" si="34"/>
        <v/>
      </c>
      <c r="AT432" s="53" t="s">
        <v>148</v>
      </c>
      <c r="AU432" s="53" t="s">
        <v>1005</v>
      </c>
      <c r="AV432" s="53" t="s">
        <v>1006</v>
      </c>
      <c r="AW432" s="84" t="s">
        <v>2157</v>
      </c>
      <c r="AX432" s="53">
        <v>28</v>
      </c>
      <c r="AY432" s="83">
        <v>46302</v>
      </c>
      <c r="AZ432" s="53"/>
      <c r="BA432" s="53"/>
      <c r="BB432" s="238"/>
    </row>
    <row r="433" spans="3:54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2"/>
        <v>0</v>
      </c>
      <c r="M433" s="26">
        <f t="shared" si="25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67" t="e">
        <f>SUMIFS([2]Up!$J:$J,[2]Up!$D:$D,D433)</f>
        <v>#VALUE!</v>
      </c>
      <c r="AQ433" s="82"/>
      <c r="AR433" s="82" t="str">
        <f t="shared" si="33"/>
        <v>PL16</v>
      </c>
      <c r="AS433" s="53" t="str">
        <f t="shared" si="34"/>
        <v/>
      </c>
      <c r="AT433" s="53" t="s">
        <v>148</v>
      </c>
      <c r="AU433" s="53" t="s">
        <v>988</v>
      </c>
      <c r="AV433" s="53" t="s">
        <v>989</v>
      </c>
      <c r="AW433" s="84" t="s">
        <v>2161</v>
      </c>
      <c r="AX433" s="53">
        <v>56</v>
      </c>
      <c r="AY433" s="83" t="s">
        <v>2226</v>
      </c>
      <c r="AZ433" s="53"/>
      <c r="BA433" s="53"/>
      <c r="BB433" s="238"/>
    </row>
    <row r="434" spans="3:54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2"/>
        <v>2</v>
      </c>
      <c r="M434" s="26">
        <f t="shared" si="25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67" t="e">
        <f>SUMIFS([2]Up!$J:$J,[2]Up!$D:$D,D434)</f>
        <v>#VALUE!</v>
      </c>
      <c r="AQ434" s="82" t="s">
        <v>2243</v>
      </c>
      <c r="AR434" s="82" t="str">
        <f>IFERROR(IF(C434="Plate",LEFT(E434,FIND("*",E434,1)-1),""),IF(C434="Plate",LEFT(E434,FIND("x",E434,1)-1),""))</f>
        <v>PL10</v>
      </c>
      <c r="AS434" s="53" t="str">
        <f t="shared" si="34"/>
        <v>Thừa 5</v>
      </c>
      <c r="AT434" s="53" t="s">
        <v>154</v>
      </c>
      <c r="AU434" s="53" t="s">
        <v>1005</v>
      </c>
      <c r="AV434" s="53" t="s">
        <v>1006</v>
      </c>
      <c r="AW434" s="53" t="s">
        <v>57</v>
      </c>
      <c r="AX434" s="53">
        <v>4</v>
      </c>
      <c r="AY434" s="83"/>
      <c r="AZ434" s="53"/>
      <c r="BA434" s="53"/>
    </row>
    <row r="435" spans="3:54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2"/>
        <v>0</v>
      </c>
      <c r="M435" s="26">
        <f t="shared" si="25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67" t="e">
        <f>SUMIFS([2]Up!$J:$J,[2]Up!$D:$D,D435)</f>
        <v>#VALUE!</v>
      </c>
      <c r="AQ435" s="82"/>
      <c r="AR435" s="82" t="str">
        <f t="shared" si="33"/>
        <v>PL10</v>
      </c>
      <c r="AS435" s="53" t="str">
        <f t="shared" si="34"/>
        <v/>
      </c>
      <c r="AT435" s="53" t="s">
        <v>148</v>
      </c>
      <c r="AU435" s="53" t="s">
        <v>1005</v>
      </c>
      <c r="AV435" s="53" t="s">
        <v>1006</v>
      </c>
      <c r="AW435" s="84" t="s">
        <v>2157</v>
      </c>
      <c r="AX435" s="53">
        <v>28</v>
      </c>
      <c r="AY435" s="83">
        <v>46302</v>
      </c>
      <c r="AZ435" s="53"/>
      <c r="BA435" s="53"/>
      <c r="BB435" s="238"/>
    </row>
    <row r="436" spans="3:54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2"/>
        <v>1</v>
      </c>
      <c r="M436" s="26">
        <f t="shared" si="25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67" t="e">
        <f>SUMIFS([2]Up!$J:$J,[2]Up!$D:$D,D436)</f>
        <v>#VALUE!</v>
      </c>
      <c r="AQ436" s="82"/>
      <c r="AR436" s="82" t="str">
        <f t="shared" si="33"/>
        <v>PL15</v>
      </c>
      <c r="AS436" s="53" t="str">
        <f t="shared" si="34"/>
        <v/>
      </c>
      <c r="AT436" s="53" t="s">
        <v>148</v>
      </c>
      <c r="AU436" s="53" t="s">
        <v>1094</v>
      </c>
      <c r="AV436" s="53" t="s">
        <v>1095</v>
      </c>
      <c r="AW436" s="84" t="s">
        <v>2156</v>
      </c>
      <c r="AX436" s="53">
        <v>4</v>
      </c>
      <c r="AY436" s="83" t="s">
        <v>2225</v>
      </c>
      <c r="AZ436" s="53"/>
      <c r="BA436" s="53"/>
      <c r="BB436" s="238"/>
    </row>
    <row r="437" spans="3:54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2"/>
        <v>0</v>
      </c>
      <c r="M437" s="26">
        <f t="shared" si="25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67" t="e">
        <f>SUMIFS([2]Up!$J:$J,[2]Up!$D:$D,D437)</f>
        <v>#VALUE!</v>
      </c>
      <c r="AQ437" s="82"/>
      <c r="AR437" s="82" t="str">
        <f t="shared" si="33"/>
        <v>PL20</v>
      </c>
      <c r="AS437" s="53" t="str">
        <f t="shared" si="34"/>
        <v/>
      </c>
      <c r="AT437" s="53" t="s">
        <v>148</v>
      </c>
      <c r="AU437" s="53" t="s">
        <v>1100</v>
      </c>
      <c r="AV437" s="53" t="s">
        <v>1101</v>
      </c>
      <c r="AW437" s="84" t="s">
        <v>2158</v>
      </c>
      <c r="AX437" s="53">
        <v>4</v>
      </c>
      <c r="AY437" s="83">
        <v>46242</v>
      </c>
      <c r="AZ437" s="53"/>
      <c r="BA437" s="53"/>
      <c r="BB437" s="238"/>
    </row>
    <row r="438" spans="3:54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2"/>
        <v>2</v>
      </c>
      <c r="M438" s="26">
        <f t="shared" si="25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67" t="e">
        <f>SUMIFS([2]Up!$J:$J,[2]Up!$D:$D,D438)</f>
        <v>#VALUE!</v>
      </c>
      <c r="AQ438" s="82" t="s">
        <v>2242</v>
      </c>
      <c r="AR438" s="82" t="str">
        <f t="shared" si="33"/>
        <v>PL10</v>
      </c>
      <c r="AS438" s="53" t="str">
        <f t="shared" si="34"/>
        <v>Thừa 4</v>
      </c>
      <c r="AT438" s="53" t="s">
        <v>154</v>
      </c>
      <c r="AU438" s="53" t="s">
        <v>1005</v>
      </c>
      <c r="AV438" s="53" t="s">
        <v>1006</v>
      </c>
      <c r="AW438" s="53" t="s">
        <v>57</v>
      </c>
      <c r="AX438" s="53">
        <v>4</v>
      </c>
      <c r="AY438" s="83"/>
      <c r="AZ438" s="53"/>
      <c r="BA438" s="53"/>
    </row>
    <row r="439" spans="3:54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2"/>
        <v>0</v>
      </c>
      <c r="M439" s="26">
        <f t="shared" si="25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67" t="e">
        <f>SUMIFS([2]Up!$J:$J,[2]Up!$D:$D,D439)</f>
        <v>#VALUE!</v>
      </c>
      <c r="AQ439" s="82"/>
      <c r="AR439" s="82" t="str">
        <f t="shared" si="33"/>
        <v>PL10</v>
      </c>
      <c r="AS439" s="53" t="str">
        <f t="shared" si="34"/>
        <v/>
      </c>
      <c r="AT439" s="53" t="s">
        <v>148</v>
      </c>
      <c r="AU439" s="53" t="s">
        <v>1005</v>
      </c>
      <c r="AV439" s="53" t="s">
        <v>1006</v>
      </c>
      <c r="AW439" s="84" t="s">
        <v>2157</v>
      </c>
      <c r="AX439" s="53">
        <v>28</v>
      </c>
      <c r="AY439" s="83">
        <v>46302</v>
      </c>
      <c r="AZ439" s="53"/>
      <c r="BA439" s="53"/>
      <c r="BB439" s="238"/>
    </row>
    <row r="440" spans="3:54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2"/>
        <v>1</v>
      </c>
      <c r="M440" s="26">
        <f t="shared" si="25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67" t="e">
        <f>SUMIFS([2]Up!$J:$J,[2]Up!$D:$D,D440)</f>
        <v>#VALUE!</v>
      </c>
      <c r="AQ440" s="82"/>
      <c r="AR440" s="82" t="str">
        <f t="shared" si="33"/>
        <v>PL15</v>
      </c>
      <c r="AS440" s="53" t="str">
        <f t="shared" si="34"/>
        <v/>
      </c>
      <c r="AT440" s="53" t="s">
        <v>148</v>
      </c>
      <c r="AU440" s="53" t="s">
        <v>1094</v>
      </c>
      <c r="AV440" s="53" t="s">
        <v>1095</v>
      </c>
      <c r="AW440" s="84" t="s">
        <v>2156</v>
      </c>
      <c r="AX440" s="53">
        <v>4</v>
      </c>
      <c r="AY440" s="83" t="s">
        <v>2225</v>
      </c>
      <c r="AZ440" s="53"/>
      <c r="BA440" s="53"/>
      <c r="BB440" s="238"/>
    </row>
    <row r="441" spans="3:54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2"/>
        <v>0</v>
      </c>
      <c r="M441" s="26">
        <f t="shared" si="25"/>
        <v>2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67" t="e">
        <f>SUMIFS([2]Up!$J:$J,[2]Up!$D:$D,D441)</f>
        <v>#VALUE!</v>
      </c>
      <c r="AQ441" s="82"/>
      <c r="AR441" s="82" t="str">
        <f t="shared" si="33"/>
        <v>PL20</v>
      </c>
      <c r="AS441" s="53" t="str">
        <f t="shared" si="34"/>
        <v/>
      </c>
      <c r="AT441" s="53" t="s">
        <v>148</v>
      </c>
      <c r="AU441" s="53" t="s">
        <v>1100</v>
      </c>
      <c r="AV441" s="53" t="s">
        <v>1101</v>
      </c>
      <c r="AW441" s="84" t="s">
        <v>2158</v>
      </c>
      <c r="AX441" s="53">
        <v>4</v>
      </c>
      <c r="AY441" s="83">
        <v>46242</v>
      </c>
      <c r="AZ441" s="53"/>
      <c r="BA441" s="53"/>
      <c r="BB441" s="238"/>
    </row>
    <row r="442" spans="3:54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2"/>
        <v>2</v>
      </c>
      <c r="M442" s="26">
        <f t="shared" si="25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67" t="e">
        <f>SUMIFS([2]Up!$J:$J,[2]Up!$D:$D,D442)</f>
        <v>#VALUE!</v>
      </c>
      <c r="AQ442" s="82"/>
      <c r="AR442" s="82" t="str">
        <f t="shared" si="33"/>
        <v/>
      </c>
      <c r="AS442" s="53" t="str">
        <f t="shared" si="34"/>
        <v/>
      </c>
      <c r="AT442" s="53" t="s">
        <v>148</v>
      </c>
      <c r="AU442" s="53" t="s">
        <v>1079</v>
      </c>
      <c r="AV442" s="53" t="s">
        <v>1076</v>
      </c>
      <c r="AW442" s="53" t="s">
        <v>1290</v>
      </c>
      <c r="AX442" s="53">
        <v>2</v>
      </c>
      <c r="AY442" s="83">
        <v>46362</v>
      </c>
      <c r="AZ442" s="53"/>
      <c r="BA442" s="53"/>
    </row>
    <row r="443" spans="3:54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2"/>
        <v>1</v>
      </c>
      <c r="M443" s="26">
        <f t="shared" si="25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67" t="e">
        <f>SUMIFS([2]Up!$J:$J,[2]Up!$D:$D,D443)</f>
        <v>#VALUE!</v>
      </c>
      <c r="AQ443" s="82" t="s">
        <v>2071</v>
      </c>
      <c r="AR443" s="82" t="str">
        <f t="shared" si="33"/>
        <v>PL10</v>
      </c>
      <c r="AS443" s="53" t="str">
        <f t="shared" si="34"/>
        <v>Thừa 4</v>
      </c>
      <c r="AT443" s="53" t="s">
        <v>154</v>
      </c>
      <c r="AU443" s="53" t="s">
        <v>1005</v>
      </c>
      <c r="AV443" s="53" t="s">
        <v>1006</v>
      </c>
      <c r="AW443" s="53" t="s">
        <v>57</v>
      </c>
      <c r="AX443" s="53">
        <v>1</v>
      </c>
      <c r="AY443" s="83"/>
      <c r="AZ443" s="53"/>
      <c r="BA443" s="53"/>
    </row>
    <row r="444" spans="3:54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2"/>
        <v>2</v>
      </c>
      <c r="M444" s="26">
        <f t="shared" si="25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67" t="e">
        <f>SUMIFS([2]Up!$J:$J,[2]Up!$D:$D,D444)</f>
        <v>#VALUE!</v>
      </c>
      <c r="AQ444" s="82"/>
      <c r="AR444" s="82" t="str">
        <f t="shared" si="33"/>
        <v>PL20</v>
      </c>
      <c r="AS444" s="53" t="str">
        <f t="shared" si="34"/>
        <v/>
      </c>
      <c r="AT444" s="53" t="s">
        <v>148</v>
      </c>
      <c r="AU444" s="53" t="s">
        <v>1100</v>
      </c>
      <c r="AV444" s="53" t="s">
        <v>1101</v>
      </c>
      <c r="AW444" s="53" t="s">
        <v>1308</v>
      </c>
      <c r="AX444" s="53">
        <v>2</v>
      </c>
      <c r="AY444" s="83">
        <v>46242</v>
      </c>
      <c r="AZ444" s="53"/>
      <c r="BA444" s="53"/>
    </row>
    <row r="445" spans="3:54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2"/>
        <v>2</v>
      </c>
      <c r="M445" s="26">
        <f t="shared" si="25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67" t="e">
        <f>SUMIFS([2]Up!$J:$J,[2]Up!$D:$D,D445)</f>
        <v>#VALUE!</v>
      </c>
      <c r="AQ445" s="82"/>
      <c r="AR445" s="82" t="str">
        <f t="shared" si="33"/>
        <v>PL15</v>
      </c>
      <c r="AS445" s="53" t="str">
        <f t="shared" si="34"/>
        <v/>
      </c>
      <c r="AT445" s="53" t="s">
        <v>148</v>
      </c>
      <c r="AU445" s="53" t="s">
        <v>1094</v>
      </c>
      <c r="AV445" s="53" t="s">
        <v>1095</v>
      </c>
      <c r="AW445" s="53" t="s">
        <v>1304</v>
      </c>
      <c r="AX445" s="53">
        <v>2</v>
      </c>
      <c r="AY445" s="83">
        <v>46088</v>
      </c>
      <c r="AZ445" s="53"/>
      <c r="BA445" s="53"/>
    </row>
    <row r="446" spans="3:54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2"/>
        <v>2</v>
      </c>
      <c r="M446" s="26">
        <f t="shared" si="25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67" t="e">
        <f>SUMIFS([2]Up!$J:$J,[2]Up!$D:$D,D446)</f>
        <v>#VALUE!</v>
      </c>
      <c r="AQ446" s="82"/>
      <c r="AR446" s="82" t="str">
        <f t="shared" si="33"/>
        <v>PL15</v>
      </c>
      <c r="AS446" s="53" t="str">
        <f t="shared" si="34"/>
        <v/>
      </c>
      <c r="AT446" s="53" t="s">
        <v>148</v>
      </c>
      <c r="AU446" s="53" t="s">
        <v>1094</v>
      </c>
      <c r="AV446" s="53" t="s">
        <v>1095</v>
      </c>
      <c r="AW446" s="53" t="s">
        <v>1304</v>
      </c>
      <c r="AX446" s="53">
        <v>2</v>
      </c>
      <c r="AY446" s="83">
        <v>46088</v>
      </c>
      <c r="AZ446" s="53"/>
      <c r="BA446" s="53"/>
    </row>
    <row r="447" spans="3:54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2"/>
        <v>1</v>
      </c>
      <c r="M447" s="26">
        <f t="shared" si="25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67" t="e">
        <f>SUMIFS([2]Up!$J:$J,[2]Up!$D:$D,D447)</f>
        <v>#VALUE!</v>
      </c>
      <c r="AQ447" s="82" t="s">
        <v>2072</v>
      </c>
      <c r="AR447" s="82" t="str">
        <f t="shared" si="33"/>
        <v>PL10</v>
      </c>
      <c r="AS447" s="53" t="str">
        <f t="shared" si="34"/>
        <v>Thừa 2</v>
      </c>
      <c r="AT447" s="53" t="s">
        <v>148</v>
      </c>
      <c r="AU447" s="53" t="s">
        <v>1005</v>
      </c>
      <c r="AV447" s="53" t="s">
        <v>1006</v>
      </c>
      <c r="AW447" s="53" t="s">
        <v>57</v>
      </c>
      <c r="AX447" s="53">
        <v>1</v>
      </c>
      <c r="AY447" s="83"/>
      <c r="AZ447" s="53"/>
      <c r="BA447" s="53"/>
    </row>
    <row r="448" spans="3:54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2"/>
        <v>1</v>
      </c>
      <c r="M448" s="26">
        <f t="shared" si="25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67" t="e">
        <f>SUMIFS([2]Up!$J:$J,[2]Up!$D:$D,D448)</f>
        <v>#VALUE!</v>
      </c>
      <c r="AQ448" s="82" t="s">
        <v>2077</v>
      </c>
      <c r="AR448" s="82" t="str">
        <f t="shared" si="33"/>
        <v>PL20</v>
      </c>
      <c r="AS448" s="53" t="str">
        <f t="shared" si="34"/>
        <v>Thừa 7</v>
      </c>
      <c r="AT448" s="53" t="s">
        <v>148</v>
      </c>
      <c r="AU448" s="53" t="s">
        <v>1100</v>
      </c>
      <c r="AV448" s="53" t="s">
        <v>1101</v>
      </c>
      <c r="AW448" s="53" t="s">
        <v>57</v>
      </c>
      <c r="AX448" s="53">
        <v>1</v>
      </c>
      <c r="AY448" s="83"/>
      <c r="AZ448" s="53"/>
      <c r="BA448" s="53"/>
    </row>
    <row r="449" spans="3:53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2"/>
        <v>0</v>
      </c>
      <c r="M449" s="26">
        <f t="shared" si="25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67" t="e">
        <f>SUMIFS([2]Up!$J:$J,[2]Up!$D:$D,D449)</f>
        <v>#VALUE!</v>
      </c>
      <c r="AQ449" s="82"/>
      <c r="AR449" s="82" t="str">
        <f t="shared" si="33"/>
        <v>PL10</v>
      </c>
      <c r="AS449" s="53" t="str">
        <f t="shared" si="34"/>
        <v/>
      </c>
      <c r="AT449" s="53" t="s">
        <v>154</v>
      </c>
      <c r="AU449" s="53" t="s">
        <v>1005</v>
      </c>
      <c r="AV449" s="53" t="s">
        <v>1006</v>
      </c>
      <c r="AW449" s="53" t="s">
        <v>1064</v>
      </c>
      <c r="AX449" s="53">
        <v>1</v>
      </c>
      <c r="AY449" s="83">
        <v>46088</v>
      </c>
      <c r="AZ449" s="53"/>
      <c r="BA449" s="53"/>
    </row>
    <row r="450" spans="3:53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2"/>
        <v>2</v>
      </c>
      <c r="M450" s="26">
        <f t="shared" si="25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67" t="e">
        <f>SUMIFS([2]Up!$J:$J,[2]Up!$D:$D,D450)</f>
        <v>#VALUE!</v>
      </c>
      <c r="AQ450" s="82"/>
      <c r="AR450" s="82" t="str">
        <f t="shared" si="33"/>
        <v>PL20</v>
      </c>
      <c r="AS450" s="53" t="str">
        <f t="shared" si="34"/>
        <v/>
      </c>
      <c r="AT450" s="53" t="s">
        <v>148</v>
      </c>
      <c r="AU450" s="53" t="s">
        <v>1100</v>
      </c>
      <c r="AV450" s="53" t="s">
        <v>1101</v>
      </c>
      <c r="AW450" s="53" t="s">
        <v>1308</v>
      </c>
      <c r="AX450" s="53">
        <v>2</v>
      </c>
      <c r="AY450" s="83">
        <v>46242</v>
      </c>
      <c r="AZ450" s="53"/>
      <c r="BA450" s="53"/>
    </row>
    <row r="451" spans="3:53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2"/>
        <v>1</v>
      </c>
      <c r="M451" s="26">
        <f t="shared" si="25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67" t="e">
        <f>SUMIFS([2]Up!$J:$J,[2]Up!$D:$D,D451)</f>
        <v>#VALUE!</v>
      </c>
      <c r="AQ451" s="82"/>
      <c r="AR451" s="82" t="str">
        <f t="shared" si="33"/>
        <v>PL10</v>
      </c>
      <c r="AS451" s="53" t="str">
        <f t="shared" si="34"/>
        <v/>
      </c>
      <c r="AT451" s="53" t="s">
        <v>148</v>
      </c>
      <c r="AU451" s="53" t="s">
        <v>1005</v>
      </c>
      <c r="AV451" s="53" t="s">
        <v>1006</v>
      </c>
      <c r="AW451" s="53" t="s">
        <v>1064</v>
      </c>
      <c r="AX451" s="53">
        <v>1</v>
      </c>
      <c r="AY451" s="83">
        <v>46088</v>
      </c>
      <c r="AZ451" s="53"/>
      <c r="BA451" s="53"/>
    </row>
    <row r="452" spans="3:53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2"/>
        <v>1</v>
      </c>
      <c r="M452" s="26">
        <f t="shared" si="25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>
        <v>-1</v>
      </c>
      <c r="AP452" s="67" t="e">
        <f>SUMIFS([2]Up!$J:$J,[2]Up!$D:$D,D452)</f>
        <v>#VALUE!</v>
      </c>
      <c r="AQ452" s="82" t="s">
        <v>2238</v>
      </c>
      <c r="AR452" s="82" t="str">
        <f t="shared" si="33"/>
        <v>PL3</v>
      </c>
      <c r="AS452" s="53" t="str">
        <f t="shared" si="34"/>
        <v/>
      </c>
      <c r="AT452" s="53" t="s">
        <v>148</v>
      </c>
      <c r="AU452" s="53" t="s">
        <v>1632</v>
      </c>
      <c r="AV452" s="53" t="s">
        <v>962</v>
      </c>
      <c r="AW452" s="53" t="s">
        <v>1633</v>
      </c>
      <c r="AX452" s="53">
        <v>1</v>
      </c>
      <c r="AY452" s="83" t="s">
        <v>2223</v>
      </c>
      <c r="AZ452" s="53"/>
      <c r="BA452" s="53"/>
    </row>
    <row r="453" spans="3:53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2"/>
        <v>2</v>
      </c>
      <c r="M453" s="26">
        <f t="shared" si="25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67" t="e">
        <f>SUMIFS([2]Up!$J:$J,[2]Up!$D:$D,D453)</f>
        <v>#VALUE!</v>
      </c>
      <c r="AQ453" s="82"/>
      <c r="AR453" s="82" t="str">
        <f t="shared" si="33"/>
        <v>PL15</v>
      </c>
      <c r="AS453" s="53" t="str">
        <f t="shared" si="34"/>
        <v/>
      </c>
      <c r="AT453" s="53" t="s">
        <v>148</v>
      </c>
      <c r="AU453" s="53" t="s">
        <v>1094</v>
      </c>
      <c r="AV453" s="53" t="s">
        <v>1095</v>
      </c>
      <c r="AW453" s="53" t="s">
        <v>1304</v>
      </c>
      <c r="AX453" s="53">
        <v>2</v>
      </c>
      <c r="AY453" s="83">
        <v>46088</v>
      </c>
      <c r="AZ453" s="53"/>
      <c r="BA453" s="53"/>
    </row>
    <row r="454" spans="3:53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2"/>
        <v>1</v>
      </c>
      <c r="M454" s="26">
        <f t="shared" si="25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67" t="e">
        <f>SUMIFS([2]Up!$J:$J,[2]Up!$D:$D,D454)</f>
        <v>#VALUE!</v>
      </c>
      <c r="AQ454" s="82" t="s">
        <v>2074</v>
      </c>
      <c r="AR454" s="82" t="str">
        <f t="shared" si="33"/>
        <v>PL10</v>
      </c>
      <c r="AS454" s="53" t="str">
        <f t="shared" si="34"/>
        <v>Thừa 1</v>
      </c>
      <c r="AT454" s="53" t="s">
        <v>154</v>
      </c>
      <c r="AU454" s="53" t="s">
        <v>1005</v>
      </c>
      <c r="AV454" s="53" t="s">
        <v>1006</v>
      </c>
      <c r="AW454" s="53" t="s">
        <v>57</v>
      </c>
      <c r="AX454" s="53">
        <v>1</v>
      </c>
      <c r="AY454" s="83"/>
      <c r="AZ454" s="53"/>
      <c r="BA454" s="53"/>
    </row>
    <row r="455" spans="3:53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2"/>
        <v>1</v>
      </c>
      <c r="M455" s="26">
        <f t="shared" si="25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67" t="e">
        <f>SUMIFS([2]Up!$J:$J,[2]Up!$D:$D,D455)</f>
        <v>#VALUE!</v>
      </c>
      <c r="AQ455" s="82" t="s">
        <v>2074</v>
      </c>
      <c r="AR455" s="82" t="str">
        <f t="shared" si="33"/>
        <v>PL10</v>
      </c>
      <c r="AS455" s="53" t="str">
        <f t="shared" si="34"/>
        <v>Thừa 1</v>
      </c>
      <c r="AT455" s="53" t="s">
        <v>148</v>
      </c>
      <c r="AU455" s="53" t="s">
        <v>1005</v>
      </c>
      <c r="AV455" s="53" t="s">
        <v>1006</v>
      </c>
      <c r="AW455" s="53" t="s">
        <v>57</v>
      </c>
      <c r="AX455" s="53">
        <v>1</v>
      </c>
      <c r="AY455" s="83"/>
      <c r="AZ455" s="53"/>
      <c r="BA455" s="53"/>
    </row>
    <row r="456" spans="3:53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2"/>
        <v>1</v>
      </c>
      <c r="M456" s="26">
        <f t="shared" si="25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67" t="e">
        <f>SUMIFS([2]Up!$J:$J,[2]Up!$D:$D,D456)</f>
        <v>#VALUE!</v>
      </c>
      <c r="AQ456" s="82"/>
      <c r="AR456" s="82" t="str">
        <f t="shared" si="33"/>
        <v>PL10</v>
      </c>
      <c r="AS456" s="53" t="str">
        <f t="shared" si="34"/>
        <v/>
      </c>
      <c r="AT456" s="53" t="s">
        <v>148</v>
      </c>
      <c r="AU456" s="53" t="s">
        <v>1005</v>
      </c>
      <c r="AV456" s="53" t="s">
        <v>1006</v>
      </c>
      <c r="AW456" s="53" t="s">
        <v>1064</v>
      </c>
      <c r="AX456" s="53">
        <v>1</v>
      </c>
      <c r="AY456" s="83">
        <v>46088</v>
      </c>
      <c r="AZ456" s="53"/>
      <c r="BA456" s="53"/>
    </row>
    <row r="457" spans="3:53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2"/>
        <v>2</v>
      </c>
      <c r="M457" s="26">
        <f t="shared" si="25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67" t="e">
        <f>SUMIFS([2]Up!$J:$J,[2]Up!$D:$D,D457)</f>
        <v>#VALUE!</v>
      </c>
      <c r="AQ457" s="82"/>
      <c r="AR457" s="82" t="str">
        <f t="shared" si="33"/>
        <v>PL16</v>
      </c>
      <c r="AS457" s="53" t="str">
        <f t="shared" si="34"/>
        <v/>
      </c>
      <c r="AT457" s="53" t="s">
        <v>148</v>
      </c>
      <c r="AU457" s="53" t="s">
        <v>988</v>
      </c>
      <c r="AV457" s="53" t="s">
        <v>989</v>
      </c>
      <c r="AW457" s="53" t="s">
        <v>990</v>
      </c>
      <c r="AX457" s="53">
        <v>2</v>
      </c>
      <c r="AY457" s="83" t="s">
        <v>2223</v>
      </c>
      <c r="AZ457" s="53"/>
      <c r="BA457" s="53"/>
    </row>
    <row r="458" spans="3:53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2"/>
        <v>0</v>
      </c>
      <c r="M458" s="26">
        <f t="shared" ref="M458" si="35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67" t="e">
        <f>SUMIFS([2]Up!$J:$J,[2]Up!$D:$D,D458)</f>
        <v>#VALUE!</v>
      </c>
      <c r="AQ458" s="82"/>
      <c r="AR458" s="82" t="str">
        <f t="shared" si="33"/>
        <v>PL10</v>
      </c>
      <c r="AS458" s="53" t="str">
        <f t="shared" si="34"/>
        <v/>
      </c>
      <c r="AT458" s="53"/>
      <c r="AU458" s="53"/>
      <c r="AV458" s="53"/>
      <c r="AW458" s="53"/>
      <c r="AX458" s="53"/>
      <c r="AY458" s="83"/>
      <c r="AZ458" s="53"/>
      <c r="BA458" s="53"/>
    </row>
    <row r="459" spans="3:53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2"/>
        <v>1</v>
      </c>
      <c r="M459" s="26">
        <f t="shared" si="25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67" t="e">
        <f>SUMIFS([2]Up!$J:$J,[2]Up!$D:$D,D459)</f>
        <v>#VALUE!</v>
      </c>
      <c r="AQ459" s="82" t="s">
        <v>2074</v>
      </c>
      <c r="AR459" s="82" t="str">
        <f t="shared" si="33"/>
        <v>PL10</v>
      </c>
      <c r="AS459" s="53" t="str">
        <f t="shared" si="34"/>
        <v>Thừa 1</v>
      </c>
      <c r="AT459" s="53" t="s">
        <v>148</v>
      </c>
      <c r="AU459" s="53" t="s">
        <v>1005</v>
      </c>
      <c r="AV459" s="53" t="s">
        <v>1006</v>
      </c>
      <c r="AW459" s="53" t="s">
        <v>57</v>
      </c>
      <c r="AX459" s="53">
        <v>1</v>
      </c>
      <c r="AY459" s="83"/>
      <c r="AZ459" s="53"/>
      <c r="BA459" s="53"/>
    </row>
    <row r="460" spans="3:53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2"/>
        <v>1</v>
      </c>
      <c r="M460" s="26">
        <f t="shared" si="25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67" t="e">
        <f>SUMIFS([2]Up!$J:$J,[2]Up!$D:$D,D460)</f>
        <v>#VALUE!</v>
      </c>
      <c r="AQ460" s="82"/>
      <c r="AR460" s="82" t="str">
        <f t="shared" si="33"/>
        <v>PL10</v>
      </c>
      <c r="AS460" s="53" t="str">
        <f t="shared" si="34"/>
        <v/>
      </c>
      <c r="AT460" s="53" t="s">
        <v>148</v>
      </c>
      <c r="AU460" s="53" t="s">
        <v>1005</v>
      </c>
      <c r="AV460" s="53" t="s">
        <v>1006</v>
      </c>
      <c r="AW460" s="53" t="s">
        <v>1064</v>
      </c>
      <c r="AX460" s="53">
        <v>1</v>
      </c>
      <c r="AY460" s="83">
        <v>46088</v>
      </c>
      <c r="AZ460" s="53"/>
      <c r="BA460" s="53"/>
    </row>
    <row r="461" spans="3:53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2"/>
        <v>1</v>
      </c>
      <c r="M461" s="26">
        <f t="shared" si="25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67" t="e">
        <f>SUMIFS([2]Up!$J:$J,[2]Up!$D:$D,D461)</f>
        <v>#VALUE!</v>
      </c>
      <c r="AQ461" s="82"/>
      <c r="AR461" s="82" t="str">
        <f t="shared" si="33"/>
        <v>PL15</v>
      </c>
      <c r="AS461" s="53" t="str">
        <f t="shared" si="34"/>
        <v/>
      </c>
      <c r="AT461" s="53" t="s">
        <v>148</v>
      </c>
      <c r="AU461" s="53" t="s">
        <v>1094</v>
      </c>
      <c r="AV461" s="53" t="s">
        <v>1095</v>
      </c>
      <c r="AW461" s="53" t="s">
        <v>1304</v>
      </c>
      <c r="AX461" s="53">
        <v>1</v>
      </c>
      <c r="AY461" s="83">
        <v>46088</v>
      </c>
      <c r="AZ461" s="53"/>
      <c r="BA461" s="53"/>
    </row>
    <row r="462" spans="3:53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2"/>
        <v>2</v>
      </c>
      <c r="M462" s="26">
        <f t="shared" si="25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67" t="e">
        <f>SUMIFS([2]Up!$J:$J,[2]Up!$D:$D,D462)</f>
        <v>#VALUE!</v>
      </c>
      <c r="AQ462" s="82"/>
      <c r="AR462" s="82" t="str">
        <f t="shared" si="33"/>
        <v>PL15</v>
      </c>
      <c r="AS462" s="53" t="str">
        <f t="shared" si="34"/>
        <v/>
      </c>
      <c r="AT462" s="53" t="s">
        <v>148</v>
      </c>
      <c r="AU462" s="53" t="s">
        <v>1094</v>
      </c>
      <c r="AV462" s="53" t="s">
        <v>1095</v>
      </c>
      <c r="AW462" s="53" t="s">
        <v>1304</v>
      </c>
      <c r="AX462" s="53">
        <v>2</v>
      </c>
      <c r="AY462" s="83">
        <v>46088</v>
      </c>
      <c r="AZ462" s="53"/>
      <c r="BA462" s="53"/>
    </row>
    <row r="463" spans="3:53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2"/>
        <v>1</v>
      </c>
      <c r="M463" s="26">
        <f t="shared" si="25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67" t="e">
        <f>SUMIFS([2]Up!$J:$J,[2]Up!$D:$D,D463)</f>
        <v>#VALUE!</v>
      </c>
      <c r="AQ463" s="82" t="s">
        <v>2072</v>
      </c>
      <c r="AR463" s="82" t="str">
        <f t="shared" si="33"/>
        <v>PL10</v>
      </c>
      <c r="AS463" s="53" t="str">
        <f t="shared" si="34"/>
        <v>Thừa 2</v>
      </c>
      <c r="AT463" s="53" t="s">
        <v>148</v>
      </c>
      <c r="AU463" s="53" t="s">
        <v>1005</v>
      </c>
      <c r="AV463" s="53" t="s">
        <v>1006</v>
      </c>
      <c r="AW463" s="53" t="s">
        <v>57</v>
      </c>
      <c r="AX463" s="53">
        <v>1</v>
      </c>
      <c r="AY463" s="83"/>
      <c r="AZ463" s="53"/>
      <c r="BA463" s="53"/>
    </row>
    <row r="464" spans="3:53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2"/>
        <v>2</v>
      </c>
      <c r="M464" s="26">
        <f t="shared" si="25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67" t="e">
        <f>SUMIFS([2]Up!$J:$J,[2]Up!$D:$D,D464)</f>
        <v>#VALUE!</v>
      </c>
      <c r="AQ464" s="82"/>
      <c r="AR464" s="82" t="str">
        <f t="shared" si="33"/>
        <v>PL10</v>
      </c>
      <c r="AS464" s="53" t="str">
        <f t="shared" si="34"/>
        <v/>
      </c>
      <c r="AT464" s="53" t="s">
        <v>148</v>
      </c>
      <c r="AU464" s="53" t="s">
        <v>1005</v>
      </c>
      <c r="AV464" s="53" t="s">
        <v>1006</v>
      </c>
      <c r="AW464" s="53" t="s">
        <v>1064</v>
      </c>
      <c r="AX464" s="53">
        <v>2</v>
      </c>
      <c r="AY464" s="83">
        <v>46088</v>
      </c>
      <c r="AZ464" s="53"/>
      <c r="BA464" s="53"/>
    </row>
    <row r="465" spans="3:54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2"/>
        <v>4</v>
      </c>
      <c r="M465" s="26">
        <f t="shared" si="25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67" t="e">
        <f>SUMIFS([2]Up!$J:$J,[2]Up!$D:$D,D465)</f>
        <v>#VALUE!</v>
      </c>
      <c r="AQ465" s="82"/>
      <c r="AR465" s="82" t="str">
        <f t="shared" si="33"/>
        <v>PL16</v>
      </c>
      <c r="AS465" s="53" t="str">
        <f t="shared" si="34"/>
        <v/>
      </c>
      <c r="AT465" s="53" t="s">
        <v>148</v>
      </c>
      <c r="AU465" s="53" t="s">
        <v>988</v>
      </c>
      <c r="AV465" s="53" t="s">
        <v>989</v>
      </c>
      <c r="AW465" s="53" t="s">
        <v>990</v>
      </c>
      <c r="AX465" s="53">
        <v>4</v>
      </c>
      <c r="AY465" s="83" t="s">
        <v>2223</v>
      </c>
      <c r="AZ465" s="53"/>
      <c r="BA465" s="53"/>
    </row>
    <row r="466" spans="3:54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2"/>
        <v>0</v>
      </c>
      <c r="M466" s="26">
        <f t="shared" si="25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67" t="e">
        <f>SUMIFS([2]Up!$J:$J,[2]Up!$D:$D,D466)</f>
        <v>#VALUE!</v>
      </c>
      <c r="AQ466" s="82"/>
      <c r="AR466" s="82" t="str">
        <f t="shared" si="33"/>
        <v/>
      </c>
      <c r="AS466" s="53" t="str">
        <f t="shared" si="34"/>
        <v/>
      </c>
      <c r="AT466" s="53" t="s">
        <v>148</v>
      </c>
      <c r="AU466" s="53" t="s">
        <v>1079</v>
      </c>
      <c r="AV466" s="53" t="s">
        <v>1076</v>
      </c>
      <c r="AW466" s="84" t="s">
        <v>2162</v>
      </c>
      <c r="AX466" s="53">
        <v>8</v>
      </c>
      <c r="AY466" s="83" t="s">
        <v>2225</v>
      </c>
      <c r="AZ466" s="53"/>
      <c r="BA466" s="53"/>
      <c r="BB466" s="238"/>
    </row>
    <row r="467" spans="3:54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2"/>
        <v>0</v>
      </c>
      <c r="M467" s="26">
        <f t="shared" si="25"/>
        <v>2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67" t="e">
        <f>SUMIFS([2]Up!$J:$J,[2]Up!$D:$D,D467)</f>
        <v>#VALUE!</v>
      </c>
      <c r="AQ467" s="82"/>
      <c r="AR467" s="82" t="str">
        <f t="shared" si="33"/>
        <v>PL10</v>
      </c>
      <c r="AS467" s="53" t="str">
        <f t="shared" si="34"/>
        <v/>
      </c>
      <c r="AT467" s="53" t="s">
        <v>154</v>
      </c>
      <c r="AU467" s="53" t="s">
        <v>1005</v>
      </c>
      <c r="AV467" s="53" t="s">
        <v>1006</v>
      </c>
      <c r="AW467" s="53" t="s">
        <v>57</v>
      </c>
      <c r="AX467" s="53">
        <v>4</v>
      </c>
      <c r="AY467" s="83"/>
      <c r="AZ467" s="53"/>
      <c r="BA467" s="53"/>
    </row>
    <row r="468" spans="3:54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2"/>
        <v>0</v>
      </c>
      <c r="M468" s="26">
        <f t="shared" si="25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67" t="e">
        <f>SUMIFS([2]Up!$J:$J,[2]Up!$D:$D,D468)</f>
        <v>#VALUE!</v>
      </c>
      <c r="AQ468" s="82"/>
      <c r="AR468" s="82" t="str">
        <f t="shared" si="33"/>
        <v>PL10</v>
      </c>
      <c r="AS468" s="53" t="str">
        <f t="shared" si="34"/>
        <v/>
      </c>
      <c r="AT468" s="53" t="s">
        <v>148</v>
      </c>
      <c r="AU468" s="53" t="s">
        <v>1005</v>
      </c>
      <c r="AV468" s="53" t="s">
        <v>1006</v>
      </c>
      <c r="AW468" s="84" t="s">
        <v>2157</v>
      </c>
      <c r="AX468" s="53">
        <v>4</v>
      </c>
      <c r="AY468" s="83">
        <v>46302</v>
      </c>
      <c r="AZ468" s="53"/>
      <c r="BA468" s="53"/>
      <c r="BB468" s="238"/>
    </row>
    <row r="469" spans="3:54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2"/>
        <v>0</v>
      </c>
      <c r="M469" s="26">
        <f t="shared" si="25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67" t="e">
        <f>SUMIFS([2]Up!$J:$J,[2]Up!$D:$D,D469)</f>
        <v>#VALUE!</v>
      </c>
      <c r="AQ469" s="82"/>
      <c r="AR469" s="82" t="str">
        <f t="shared" si="33"/>
        <v>PL3</v>
      </c>
      <c r="AS469" s="53" t="str">
        <f t="shared" si="34"/>
        <v/>
      </c>
      <c r="AT469" s="53" t="s">
        <v>148</v>
      </c>
      <c r="AU469" s="53" t="s">
        <v>1632</v>
      </c>
      <c r="AV469" s="53" t="s">
        <v>962</v>
      </c>
      <c r="AW469" s="84" t="s">
        <v>2190</v>
      </c>
      <c r="AX469" s="53">
        <v>4</v>
      </c>
      <c r="AY469" s="83" t="s">
        <v>2225</v>
      </c>
      <c r="AZ469" s="53"/>
      <c r="BA469" s="53"/>
      <c r="BB469" s="238"/>
    </row>
    <row r="470" spans="3:54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2"/>
        <v>0</v>
      </c>
      <c r="M470" s="26">
        <f t="shared" si="25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67" t="e">
        <f>SUMIFS([2]Up!$J:$J,[2]Up!$D:$D,D470)</f>
        <v>#VALUE!</v>
      </c>
      <c r="AQ470" s="82"/>
      <c r="AR470" s="82" t="str">
        <f t="shared" si="33"/>
        <v>PL10</v>
      </c>
      <c r="AS470" s="53" t="str">
        <f t="shared" si="34"/>
        <v/>
      </c>
      <c r="AT470" s="53" t="s">
        <v>148</v>
      </c>
      <c r="AU470" s="53" t="s">
        <v>1005</v>
      </c>
      <c r="AV470" s="53" t="s">
        <v>1006</v>
      </c>
      <c r="AW470" s="84" t="s">
        <v>2157</v>
      </c>
      <c r="AX470" s="53">
        <v>8</v>
      </c>
      <c r="AY470" s="83">
        <v>46302</v>
      </c>
      <c r="AZ470" s="53"/>
      <c r="BA470" s="53"/>
      <c r="BB470" s="238"/>
    </row>
    <row r="471" spans="3:54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2"/>
        <v>0</v>
      </c>
      <c r="M471" s="26">
        <f t="shared" si="25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67" t="e">
        <f>SUMIFS([2]Up!$J:$J,[2]Up!$D:$D,D471)</f>
        <v>#VALUE!</v>
      </c>
      <c r="AQ471" s="82"/>
      <c r="AR471" s="82" t="str">
        <f t="shared" si="33"/>
        <v>PL16</v>
      </c>
      <c r="AS471" s="53" t="str">
        <f t="shared" si="34"/>
        <v/>
      </c>
      <c r="AT471" s="53" t="s">
        <v>148</v>
      </c>
      <c r="AU471" s="53" t="s">
        <v>988</v>
      </c>
      <c r="AV471" s="53" t="s">
        <v>989</v>
      </c>
      <c r="AW471" s="84" t="s">
        <v>2161</v>
      </c>
      <c r="AX471" s="53">
        <v>8</v>
      </c>
      <c r="AY471" s="83" t="s">
        <v>2226</v>
      </c>
      <c r="AZ471" s="53"/>
      <c r="BA471" s="53"/>
      <c r="BB471" s="238"/>
    </row>
    <row r="472" spans="3:54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2"/>
        <v>2</v>
      </c>
      <c r="M472" s="26">
        <f t="shared" si="25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67" t="e">
        <f>SUMIFS([2]Up!$J:$J,[2]Up!$D:$D,D472)</f>
        <v>#VALUE!</v>
      </c>
      <c r="AQ472" s="82"/>
      <c r="AR472" s="82" t="str">
        <f t="shared" si="33"/>
        <v>PL15</v>
      </c>
      <c r="AS472" s="53" t="str">
        <f t="shared" si="34"/>
        <v/>
      </c>
      <c r="AT472" s="53" t="s">
        <v>148</v>
      </c>
      <c r="AU472" s="53" t="s">
        <v>1094</v>
      </c>
      <c r="AV472" s="53" t="s">
        <v>1095</v>
      </c>
      <c r="AW472" s="84" t="s">
        <v>2156</v>
      </c>
      <c r="AX472" s="53">
        <v>8</v>
      </c>
      <c r="AY472" s="83" t="s">
        <v>2225</v>
      </c>
      <c r="AZ472" s="53"/>
      <c r="BA472" s="53"/>
      <c r="BB472" s="238"/>
    </row>
    <row r="473" spans="3:54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2"/>
        <v>0</v>
      </c>
      <c r="M473" s="26">
        <f t="shared" si="25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67" t="e">
        <f>SUMIFS([2]Up!$J:$J,[2]Up!$D:$D,D473)</f>
        <v>#VALUE!</v>
      </c>
      <c r="AQ473" s="82"/>
      <c r="AR473" s="82" t="str">
        <f t="shared" si="33"/>
        <v>PL16</v>
      </c>
      <c r="AS473" s="53" t="str">
        <f t="shared" si="34"/>
        <v/>
      </c>
      <c r="AT473" s="53" t="s">
        <v>148</v>
      </c>
      <c r="AU473" s="53" t="s">
        <v>988</v>
      </c>
      <c r="AV473" s="53" t="s">
        <v>989</v>
      </c>
      <c r="AW473" s="84" t="s">
        <v>2161</v>
      </c>
      <c r="AX473" s="53">
        <v>8</v>
      </c>
      <c r="AY473" s="83" t="s">
        <v>2226</v>
      </c>
      <c r="AZ473" s="53"/>
      <c r="BA473" s="53"/>
      <c r="BB473" s="238"/>
    </row>
    <row r="474" spans="3:54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2"/>
        <v>0</v>
      </c>
      <c r="M474" s="26">
        <f t="shared" si="25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67" t="e">
        <f>SUMIFS([2]Up!$J:$J,[2]Up!$D:$D,D474)</f>
        <v>#VALUE!</v>
      </c>
      <c r="AQ474" s="82"/>
      <c r="AR474" s="82" t="str">
        <f t="shared" si="33"/>
        <v>PL20</v>
      </c>
      <c r="AS474" s="53" t="str">
        <f t="shared" si="34"/>
        <v/>
      </c>
      <c r="AT474" s="53" t="s">
        <v>148</v>
      </c>
      <c r="AU474" s="53" t="s">
        <v>1100</v>
      </c>
      <c r="AV474" s="53" t="s">
        <v>1101</v>
      </c>
      <c r="AW474" s="84" t="s">
        <v>2158</v>
      </c>
      <c r="AX474" s="53">
        <v>4</v>
      </c>
      <c r="AY474" s="83">
        <v>46242</v>
      </c>
      <c r="AZ474" s="53"/>
      <c r="BA474" s="53"/>
      <c r="BB474" s="238"/>
    </row>
    <row r="475" spans="3:54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2"/>
        <v>1</v>
      </c>
      <c r="M475" s="26">
        <f t="shared" si="25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67" t="e">
        <f>SUMIFS([2]Up!$J:$J,[2]Up!$D:$D,D475)</f>
        <v>#VALUE!</v>
      </c>
      <c r="AQ475" s="82"/>
      <c r="AR475" s="82" t="str">
        <f t="shared" si="33"/>
        <v>PL15</v>
      </c>
      <c r="AS475" s="53" t="str">
        <f t="shared" si="34"/>
        <v/>
      </c>
      <c r="AT475" s="53" t="s">
        <v>148</v>
      </c>
      <c r="AU475" s="53" t="s">
        <v>1094</v>
      </c>
      <c r="AV475" s="53" t="s">
        <v>1095</v>
      </c>
      <c r="AW475" s="84" t="s">
        <v>2156</v>
      </c>
      <c r="AX475" s="53">
        <v>4</v>
      </c>
      <c r="AY475" s="83" t="s">
        <v>2225</v>
      </c>
      <c r="AZ475" s="53"/>
      <c r="BA475" s="53"/>
      <c r="BB475" s="238"/>
    </row>
    <row r="476" spans="3:54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2"/>
        <v>0</v>
      </c>
      <c r="M476" s="26">
        <f t="shared" si="25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67" t="e">
        <f>SUMIFS([2]Up!$J:$J,[2]Up!$D:$D,D476)</f>
        <v>#VALUE!</v>
      </c>
      <c r="AQ476" s="82"/>
      <c r="AR476" s="82" t="str">
        <f t="shared" si="33"/>
        <v>PL10</v>
      </c>
      <c r="AS476" s="53" t="str">
        <f t="shared" si="34"/>
        <v/>
      </c>
      <c r="AT476" s="53" t="s">
        <v>154</v>
      </c>
      <c r="AU476" s="53" t="s">
        <v>1005</v>
      </c>
      <c r="AV476" s="53" t="s">
        <v>1006</v>
      </c>
      <c r="AW476" s="53" t="s">
        <v>57</v>
      </c>
      <c r="AX476" s="53">
        <v>4</v>
      </c>
      <c r="AY476" s="83"/>
      <c r="AZ476" s="53"/>
      <c r="BA476" s="53"/>
    </row>
    <row r="477" spans="3:54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2"/>
        <v>0</v>
      </c>
      <c r="M477" s="26">
        <f t="shared" si="25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67" t="e">
        <f>SUMIFS([2]Up!$J:$J,[2]Up!$D:$D,D477)</f>
        <v>#VALUE!</v>
      </c>
      <c r="AQ477" s="82"/>
      <c r="AR477" s="82" t="str">
        <f t="shared" si="33"/>
        <v>PL10</v>
      </c>
      <c r="AS477" s="53" t="str">
        <f t="shared" si="34"/>
        <v/>
      </c>
      <c r="AT477" s="53" t="s">
        <v>148</v>
      </c>
      <c r="AU477" s="53" t="s">
        <v>1005</v>
      </c>
      <c r="AV477" s="53" t="s">
        <v>1006</v>
      </c>
      <c r="AW477" s="53" t="s">
        <v>57</v>
      </c>
      <c r="AX477" s="53">
        <v>8</v>
      </c>
      <c r="AY477" s="83"/>
      <c r="AZ477" s="53"/>
      <c r="BA477" s="53"/>
    </row>
    <row r="478" spans="3:54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6">MIN(SUM(N478:AO478),I478)</f>
        <v>0</v>
      </c>
      <c r="M478" s="26">
        <f t="shared" si="25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67" t="e">
        <f>SUMIFS([2]Up!$J:$J,[2]Up!$D:$D,D478)</f>
        <v>#VALUE!</v>
      </c>
      <c r="AQ478" s="82"/>
      <c r="AR478" s="82" t="str">
        <f t="shared" ref="AR478:AR541" si="37">IFERROR(IF(C478="Plate",LEFT(E478,FIND("*",E478,1)-1),""),IF(C478="Plate",LEFT(E478,FIND("x",E478,1)-1),""))</f>
        <v>PL10</v>
      </c>
      <c r="AS478" s="53" t="str">
        <f t="shared" ref="AS478:AS541" si="38">IF(ROUND(SUM(N478:AO478)-I478,0)&gt;0,"Thừa "&amp;SUM(N478:AO478)-I478,"")</f>
        <v/>
      </c>
      <c r="AT478" s="53" t="s">
        <v>148</v>
      </c>
      <c r="AU478" s="53" t="s">
        <v>1005</v>
      </c>
      <c r="AV478" s="53" t="s">
        <v>1006</v>
      </c>
      <c r="AW478" s="53" t="s">
        <v>57</v>
      </c>
      <c r="AX478" s="53">
        <v>8</v>
      </c>
      <c r="AY478" s="83"/>
      <c r="AZ478" s="53"/>
      <c r="BA478" s="53"/>
    </row>
    <row r="479" spans="3:54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6"/>
        <v>2</v>
      </c>
      <c r="M479" s="26">
        <f t="shared" si="25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67" t="e">
        <f>SUMIFS([2]Up!$J:$J,[2]Up!$D:$D,D479)</f>
        <v>#VALUE!</v>
      </c>
      <c r="AQ479" s="82"/>
      <c r="AR479" s="82" t="str">
        <f t="shared" si="37"/>
        <v>PL15</v>
      </c>
      <c r="AS479" s="53" t="str">
        <f t="shared" si="38"/>
        <v/>
      </c>
      <c r="AT479" s="53" t="s">
        <v>148</v>
      </c>
      <c r="AU479" s="53" t="s">
        <v>1094</v>
      </c>
      <c r="AV479" s="53" t="s">
        <v>1095</v>
      </c>
      <c r="AW479" s="84" t="s">
        <v>2156</v>
      </c>
      <c r="AX479" s="53">
        <v>8</v>
      </c>
      <c r="AY479" s="83" t="s">
        <v>2225</v>
      </c>
      <c r="AZ479" s="53"/>
      <c r="BA479" s="53"/>
      <c r="BB479" s="238"/>
    </row>
    <row r="480" spans="3:54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6"/>
        <v>0</v>
      </c>
      <c r="M480" s="26">
        <f t="shared" si="25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67" t="e">
        <f>SUMIFS([2]Up!$J:$J,[2]Up!$D:$D,D480)</f>
        <v>#VALUE!</v>
      </c>
      <c r="AQ480" s="82"/>
      <c r="AR480" s="82" t="str">
        <f t="shared" si="37"/>
        <v>PL10</v>
      </c>
      <c r="AS480" s="53" t="str">
        <f t="shared" si="38"/>
        <v/>
      </c>
      <c r="AT480" s="53" t="s">
        <v>148</v>
      </c>
      <c r="AU480" s="53" t="s">
        <v>1005</v>
      </c>
      <c r="AV480" s="53" t="s">
        <v>1006</v>
      </c>
      <c r="AW480" s="53" t="s">
        <v>57</v>
      </c>
      <c r="AX480" s="53">
        <v>4</v>
      </c>
      <c r="AY480" s="83"/>
      <c r="AZ480" s="53"/>
      <c r="BA480" s="53"/>
    </row>
    <row r="481" spans="3:54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6"/>
        <v>0</v>
      </c>
      <c r="M481" s="26">
        <f t="shared" si="25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67" t="e">
        <f>SUMIFS([2]Up!$J:$J,[2]Up!$D:$D,D481)</f>
        <v>#VALUE!</v>
      </c>
      <c r="AQ481" s="82"/>
      <c r="AR481" s="82" t="str">
        <f t="shared" si="37"/>
        <v>PL20</v>
      </c>
      <c r="AS481" s="53" t="str">
        <f t="shared" si="38"/>
        <v/>
      </c>
      <c r="AT481" s="53" t="s">
        <v>148</v>
      </c>
      <c r="AU481" s="53" t="s">
        <v>1100</v>
      </c>
      <c r="AV481" s="53" t="s">
        <v>1101</v>
      </c>
      <c r="AW481" s="53" t="s">
        <v>57</v>
      </c>
      <c r="AX481" s="53">
        <v>4</v>
      </c>
      <c r="AY481" s="83"/>
      <c r="AZ481" s="53"/>
      <c r="BA481" s="53"/>
    </row>
    <row r="482" spans="3:54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6"/>
        <v>0</v>
      </c>
      <c r="M482" s="26">
        <f t="shared" si="25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67" t="e">
        <f>SUMIFS([2]Up!$J:$J,[2]Up!$D:$D,D482)</f>
        <v>#VALUE!</v>
      </c>
      <c r="AQ482" s="82"/>
      <c r="AR482" s="82" t="str">
        <f t="shared" si="37"/>
        <v>PL10</v>
      </c>
      <c r="AS482" s="53" t="str">
        <f t="shared" si="38"/>
        <v/>
      </c>
      <c r="AT482" s="53" t="s">
        <v>154</v>
      </c>
      <c r="AU482" s="53" t="s">
        <v>1005</v>
      </c>
      <c r="AV482" s="53" t="s">
        <v>1006</v>
      </c>
      <c r="AW482" s="84" t="s">
        <v>2157</v>
      </c>
      <c r="AX482" s="53">
        <v>4</v>
      </c>
      <c r="AY482" s="83">
        <v>46302</v>
      </c>
      <c r="AZ482" s="53"/>
      <c r="BA482" s="53"/>
      <c r="BB482" s="238"/>
    </row>
    <row r="483" spans="3:54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6"/>
        <v>0</v>
      </c>
      <c r="M483" s="26">
        <f t="shared" si="25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67" t="e">
        <f>SUMIFS([2]Up!$J:$J,[2]Up!$D:$D,D483)</f>
        <v>#VALUE!</v>
      </c>
      <c r="AQ483" s="82"/>
      <c r="AR483" s="82" t="str">
        <f t="shared" si="37"/>
        <v>PL20</v>
      </c>
      <c r="AS483" s="53" t="str">
        <f t="shared" si="38"/>
        <v/>
      </c>
      <c r="AT483" s="53" t="s">
        <v>148</v>
      </c>
      <c r="AU483" s="53" t="s">
        <v>1100</v>
      </c>
      <c r="AV483" s="53" t="s">
        <v>1101</v>
      </c>
      <c r="AW483" s="84" t="s">
        <v>2158</v>
      </c>
      <c r="AX483" s="53">
        <v>8</v>
      </c>
      <c r="AY483" s="83">
        <v>46242</v>
      </c>
      <c r="AZ483" s="53"/>
      <c r="BA483" s="53"/>
      <c r="BB483" s="238"/>
    </row>
    <row r="484" spans="3:54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6"/>
        <v>5</v>
      </c>
      <c r="M484" s="26">
        <f t="shared" si="25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67" t="e">
        <f>SUMIFS([2]Up!$J:$J,[2]Up!$D:$D,D484)</f>
        <v>#VALUE!</v>
      </c>
      <c r="AQ484" s="82"/>
      <c r="AR484" s="82" t="str">
        <f t="shared" si="37"/>
        <v/>
      </c>
      <c r="AS484" s="53" t="str">
        <f t="shared" si="38"/>
        <v/>
      </c>
      <c r="AT484" s="53" t="s">
        <v>148</v>
      </c>
      <c r="AU484" s="53" t="s">
        <v>1079</v>
      </c>
      <c r="AV484" s="53" t="s">
        <v>1076</v>
      </c>
      <c r="AW484" s="53" t="s">
        <v>1290</v>
      </c>
      <c r="AX484" s="53">
        <v>5</v>
      </c>
      <c r="AY484" s="83">
        <v>46362</v>
      </c>
      <c r="AZ484" s="53"/>
      <c r="BA484" s="53"/>
    </row>
    <row r="485" spans="3:54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6"/>
        <v>1</v>
      </c>
      <c r="M485" s="26">
        <f t="shared" si="25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67" t="e">
        <f>SUMIFS([2]Up!$J:$J,[2]Up!$D:$D,D485)</f>
        <v>#VALUE!</v>
      </c>
      <c r="AQ485" s="82" t="s">
        <v>2074</v>
      </c>
      <c r="AR485" s="82" t="str">
        <f t="shared" si="37"/>
        <v>PL8</v>
      </c>
      <c r="AS485" s="53" t="str">
        <f t="shared" si="38"/>
        <v>Thừa 1</v>
      </c>
      <c r="AT485" s="53" t="s">
        <v>154</v>
      </c>
      <c r="AU485" s="53" t="s">
        <v>1012</v>
      </c>
      <c r="AV485" s="53" t="s">
        <v>1013</v>
      </c>
      <c r="AW485" s="53" t="s">
        <v>57</v>
      </c>
      <c r="AX485" s="53">
        <v>1</v>
      </c>
      <c r="AY485" s="83"/>
      <c r="AZ485" s="53"/>
      <c r="BA485" s="53"/>
    </row>
    <row r="486" spans="3:54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6"/>
        <v>2</v>
      </c>
      <c r="M486" s="26">
        <f t="shared" si="25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67" t="e">
        <f>SUMIFS([2]Up!$J:$J,[2]Up!$D:$D,D486)</f>
        <v>#VALUE!</v>
      </c>
      <c r="AQ486" s="82"/>
      <c r="AR486" s="82" t="str">
        <f t="shared" si="37"/>
        <v>PL15</v>
      </c>
      <c r="AS486" s="53" t="str">
        <f t="shared" si="38"/>
        <v/>
      </c>
      <c r="AT486" s="53" t="s">
        <v>148</v>
      </c>
      <c r="AU486" s="53" t="s">
        <v>1094</v>
      </c>
      <c r="AV486" s="53" t="s">
        <v>1095</v>
      </c>
      <c r="AW486" s="53" t="s">
        <v>1304</v>
      </c>
      <c r="AX486" s="53">
        <v>2</v>
      </c>
      <c r="AY486" s="83">
        <v>46088</v>
      </c>
      <c r="AZ486" s="53"/>
      <c r="BA486" s="53"/>
    </row>
    <row r="487" spans="3:54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6"/>
        <v>2</v>
      </c>
      <c r="M487" s="26">
        <f t="shared" si="25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67" t="e">
        <f>SUMIFS([2]Up!$J:$J,[2]Up!$D:$D,D487)</f>
        <v>#VALUE!</v>
      </c>
      <c r="AQ487" s="82"/>
      <c r="AR487" s="82" t="str">
        <f t="shared" si="37"/>
        <v>PL15</v>
      </c>
      <c r="AS487" s="53" t="str">
        <f t="shared" si="38"/>
        <v/>
      </c>
      <c r="AT487" s="53" t="s">
        <v>148</v>
      </c>
      <c r="AU487" s="53" t="s">
        <v>1094</v>
      </c>
      <c r="AV487" s="53" t="s">
        <v>1095</v>
      </c>
      <c r="AW487" s="53" t="s">
        <v>1304</v>
      </c>
      <c r="AX487" s="53">
        <v>2</v>
      </c>
      <c r="AY487" s="83">
        <v>46088</v>
      </c>
      <c r="AZ487" s="53"/>
      <c r="BA487" s="53"/>
    </row>
    <row r="488" spans="3:54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6"/>
        <v>4</v>
      </c>
      <c r="M488" s="26">
        <f t="shared" si="2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67" t="e">
        <f>SUMIFS([2]Up!$J:$J,[2]Up!$D:$D,D488)</f>
        <v>#VALUE!</v>
      </c>
      <c r="AQ488" s="82"/>
      <c r="AR488" s="82" t="str">
        <f t="shared" si="37"/>
        <v>PL16</v>
      </c>
      <c r="AS488" s="53" t="str">
        <f t="shared" si="38"/>
        <v/>
      </c>
      <c r="AT488" s="53" t="s">
        <v>148</v>
      </c>
      <c r="AU488" s="53" t="s">
        <v>988</v>
      </c>
      <c r="AV488" s="53" t="s">
        <v>989</v>
      </c>
      <c r="AW488" s="53" t="s">
        <v>990</v>
      </c>
      <c r="AX488" s="53">
        <v>4</v>
      </c>
      <c r="AY488" s="83" t="s">
        <v>2223</v>
      </c>
      <c r="AZ488" s="53"/>
      <c r="BA488" s="53"/>
    </row>
    <row r="489" spans="3:54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6"/>
        <v>2</v>
      </c>
      <c r="M489" s="26">
        <f t="shared" si="2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67" t="e">
        <f>SUMIFS([2]Up!$J:$J,[2]Up!$D:$D,D489)</f>
        <v>#VALUE!</v>
      </c>
      <c r="AQ489" s="82"/>
      <c r="AR489" s="82" t="str">
        <f t="shared" si="37"/>
        <v>PL16</v>
      </c>
      <c r="AS489" s="53" t="str">
        <f t="shared" si="38"/>
        <v/>
      </c>
      <c r="AT489" s="53" t="s">
        <v>148</v>
      </c>
      <c r="AU489" s="53" t="s">
        <v>988</v>
      </c>
      <c r="AV489" s="53" t="s">
        <v>989</v>
      </c>
      <c r="AW489" s="53" t="s">
        <v>990</v>
      </c>
      <c r="AX489" s="53">
        <v>2</v>
      </c>
      <c r="AY489" s="83" t="s">
        <v>2223</v>
      </c>
      <c r="AZ489" s="53"/>
      <c r="BA489" s="53"/>
    </row>
    <row r="490" spans="3:54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6"/>
        <v>4</v>
      </c>
      <c r="M490" s="26">
        <f t="shared" si="2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67" t="e">
        <f>SUMIFS([2]Up!$J:$J,[2]Up!$D:$D,D490)</f>
        <v>#VALUE!</v>
      </c>
      <c r="AQ490" s="82"/>
      <c r="AR490" s="82" t="str">
        <f t="shared" si="37"/>
        <v>PL16</v>
      </c>
      <c r="AS490" s="53" t="str">
        <f t="shared" si="38"/>
        <v/>
      </c>
      <c r="AT490" s="53" t="s">
        <v>148</v>
      </c>
      <c r="AU490" s="53" t="s">
        <v>988</v>
      </c>
      <c r="AV490" s="53" t="s">
        <v>989</v>
      </c>
      <c r="AW490" s="53" t="s">
        <v>990</v>
      </c>
      <c r="AX490" s="53">
        <v>4</v>
      </c>
      <c r="AY490" s="83" t="s">
        <v>2223</v>
      </c>
      <c r="AZ490" s="53"/>
      <c r="BA490" s="53"/>
    </row>
    <row r="491" spans="3:54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6"/>
        <v>1</v>
      </c>
      <c r="M491" s="26">
        <f t="shared" si="25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67" t="e">
        <f>SUMIFS([2]Up!$J:$J,[2]Up!$D:$D,D491)</f>
        <v>#VALUE!</v>
      </c>
      <c r="AQ491" s="82"/>
      <c r="AR491" s="82" t="str">
        <f t="shared" si="37"/>
        <v>PL15</v>
      </c>
      <c r="AS491" s="53" t="str">
        <f t="shared" si="38"/>
        <v/>
      </c>
      <c r="AT491" s="53" t="s">
        <v>148</v>
      </c>
      <c r="AU491" s="53" t="s">
        <v>1094</v>
      </c>
      <c r="AV491" s="53" t="s">
        <v>1095</v>
      </c>
      <c r="AW491" s="53" t="s">
        <v>1304</v>
      </c>
      <c r="AX491" s="53">
        <v>1</v>
      </c>
      <c r="AY491" s="83">
        <v>46088</v>
      </c>
      <c r="AZ491" s="53"/>
      <c r="BA491" s="53"/>
    </row>
    <row r="492" spans="3:54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6"/>
        <v>2</v>
      </c>
      <c r="M492" s="26">
        <f t="shared" si="25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67" t="e">
        <f>SUMIFS([2]Up!$J:$J,[2]Up!$D:$D,D492)</f>
        <v>#VALUE!</v>
      </c>
      <c r="AQ492" s="82"/>
      <c r="AR492" s="82" t="str">
        <f t="shared" si="37"/>
        <v>PL20</v>
      </c>
      <c r="AS492" s="53" t="str">
        <f t="shared" si="38"/>
        <v/>
      </c>
      <c r="AT492" s="53" t="s">
        <v>148</v>
      </c>
      <c r="AU492" s="53" t="s">
        <v>1100</v>
      </c>
      <c r="AV492" s="53" t="s">
        <v>1101</v>
      </c>
      <c r="AW492" s="53" t="s">
        <v>1308</v>
      </c>
      <c r="AX492" s="53">
        <v>2</v>
      </c>
      <c r="AY492" s="83">
        <v>46242</v>
      </c>
      <c r="AZ492" s="53"/>
      <c r="BA492" s="53"/>
    </row>
    <row r="493" spans="3:54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6"/>
        <v>2</v>
      </c>
      <c r="M493" s="26">
        <f t="shared" si="25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67" t="e">
        <f>SUMIFS([2]Up!$J:$J,[2]Up!$D:$D,D493)</f>
        <v>#VALUE!</v>
      </c>
      <c r="AQ493" s="82"/>
      <c r="AR493" s="82" t="str">
        <f t="shared" si="37"/>
        <v>PL15</v>
      </c>
      <c r="AS493" s="53" t="str">
        <f t="shared" si="38"/>
        <v/>
      </c>
      <c r="AT493" s="53" t="s">
        <v>148</v>
      </c>
      <c r="AU493" s="53" t="s">
        <v>1094</v>
      </c>
      <c r="AV493" s="53" t="s">
        <v>1095</v>
      </c>
      <c r="AW493" s="53" t="s">
        <v>1304</v>
      </c>
      <c r="AX493" s="53">
        <v>2</v>
      </c>
      <c r="AY493" s="83">
        <v>46088</v>
      </c>
      <c r="AZ493" s="53"/>
      <c r="BA493" s="53"/>
    </row>
    <row r="494" spans="3:54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6"/>
        <v>1</v>
      </c>
      <c r="M494" s="26">
        <f t="shared" si="25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67" t="e">
        <f>SUMIFS([2]Up!$J:$J,[2]Up!$D:$D,D494)</f>
        <v>#VALUE!</v>
      </c>
      <c r="AQ494" s="82" t="s">
        <v>2086</v>
      </c>
      <c r="AR494" s="82" t="str">
        <f t="shared" si="37"/>
        <v>PL10</v>
      </c>
      <c r="AS494" s="53" t="str">
        <f t="shared" si="38"/>
        <v>Thừa 2</v>
      </c>
      <c r="AT494" s="53" t="s">
        <v>154</v>
      </c>
      <c r="AU494" s="53" t="s">
        <v>1005</v>
      </c>
      <c r="AV494" s="53" t="s">
        <v>1006</v>
      </c>
      <c r="AW494" s="53" t="s">
        <v>57</v>
      </c>
      <c r="AX494" s="53">
        <v>1</v>
      </c>
      <c r="AY494" s="83"/>
      <c r="AZ494" s="53"/>
      <c r="BA494" s="53"/>
    </row>
    <row r="495" spans="3:54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6"/>
        <v>1</v>
      </c>
      <c r="M495" s="26">
        <f t="shared" si="25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67" t="e">
        <f>SUMIFS([2]Up!$J:$J,[2]Up!$D:$D,D495)</f>
        <v>#VALUE!</v>
      </c>
      <c r="AQ495" s="82" t="s">
        <v>2072</v>
      </c>
      <c r="AR495" s="82" t="str">
        <f t="shared" si="37"/>
        <v>PL10</v>
      </c>
      <c r="AS495" s="53" t="str">
        <f t="shared" si="38"/>
        <v>Thừa 2</v>
      </c>
      <c r="AT495" s="53" t="s">
        <v>154</v>
      </c>
      <c r="AU495" s="53" t="s">
        <v>1005</v>
      </c>
      <c r="AV495" s="53" t="s">
        <v>1006</v>
      </c>
      <c r="AW495" s="53" t="s">
        <v>57</v>
      </c>
      <c r="AX495" s="53">
        <v>1</v>
      </c>
      <c r="AY495" s="83"/>
      <c r="AZ495" s="53"/>
      <c r="BA495" s="53"/>
    </row>
    <row r="496" spans="3:54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6"/>
        <v>2</v>
      </c>
      <c r="M496" s="26">
        <f t="shared" si="2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67" t="e">
        <f>SUMIFS([2]Up!$J:$J,[2]Up!$D:$D,D496)</f>
        <v>#VALUE!</v>
      </c>
      <c r="AQ496" s="82" t="s">
        <v>2082</v>
      </c>
      <c r="AR496" s="82" t="str">
        <f t="shared" si="37"/>
        <v>PL8</v>
      </c>
      <c r="AS496" s="53" t="str">
        <f t="shared" si="38"/>
        <v>Thừa 2</v>
      </c>
      <c r="AT496" s="53" t="s">
        <v>148</v>
      </c>
      <c r="AU496" s="53" t="s">
        <v>1012</v>
      </c>
      <c r="AV496" s="53" t="s">
        <v>1013</v>
      </c>
      <c r="AW496" s="53" t="s">
        <v>57</v>
      </c>
      <c r="AX496" s="53">
        <v>2</v>
      </c>
      <c r="AY496" s="83"/>
      <c r="AZ496" s="53"/>
      <c r="BA496" s="53"/>
    </row>
    <row r="497" spans="3:54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6"/>
        <v>1</v>
      </c>
      <c r="M497" s="26">
        <f t="shared" si="25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67" t="e">
        <f>SUMIFS([2]Up!$J:$J,[2]Up!$D:$D,D497)</f>
        <v>#VALUE!</v>
      </c>
      <c r="AQ497" s="82" t="s">
        <v>2074</v>
      </c>
      <c r="AR497" s="82" t="str">
        <f t="shared" si="37"/>
        <v>PL8</v>
      </c>
      <c r="AS497" s="53" t="str">
        <f t="shared" si="38"/>
        <v>Thừa 1</v>
      </c>
      <c r="AT497" s="53" t="s">
        <v>148</v>
      </c>
      <c r="AU497" s="53" t="s">
        <v>1012</v>
      </c>
      <c r="AV497" s="53" t="s">
        <v>1013</v>
      </c>
      <c r="AW497" s="53" t="s">
        <v>57</v>
      </c>
      <c r="AX497" s="53">
        <v>1</v>
      </c>
      <c r="AY497" s="83"/>
      <c r="AZ497" s="53"/>
      <c r="BA497" s="53"/>
    </row>
    <row r="498" spans="3:54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6"/>
        <v>1</v>
      </c>
      <c r="M498" s="26">
        <f t="shared" si="25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67" t="e">
        <f>SUMIFS([2]Up!$J:$J,[2]Up!$D:$D,D498)</f>
        <v>#VALUE!</v>
      </c>
      <c r="AQ498" s="82" t="s">
        <v>2072</v>
      </c>
      <c r="AR498" s="82" t="str">
        <f t="shared" si="37"/>
        <v>PL10</v>
      </c>
      <c r="AS498" s="53" t="str">
        <f t="shared" si="38"/>
        <v>Thừa 2</v>
      </c>
      <c r="AT498" s="53" t="s">
        <v>148</v>
      </c>
      <c r="AU498" s="53" t="s">
        <v>1005</v>
      </c>
      <c r="AV498" s="53" t="s">
        <v>1006</v>
      </c>
      <c r="AW498" s="53" t="s">
        <v>57</v>
      </c>
      <c r="AX498" s="53">
        <v>1</v>
      </c>
      <c r="AY498" s="83"/>
      <c r="AZ498" s="53"/>
      <c r="BA498" s="53"/>
    </row>
    <row r="499" spans="3:54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6"/>
        <v>1</v>
      </c>
      <c r="M499" s="26">
        <f t="shared" si="25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67" t="e">
        <f>SUMIFS([2]Up!$J:$J,[2]Up!$D:$D,D499)</f>
        <v>#VALUE!</v>
      </c>
      <c r="AQ499" s="82" t="s">
        <v>2072</v>
      </c>
      <c r="AR499" s="82" t="str">
        <f t="shared" si="37"/>
        <v>PL10</v>
      </c>
      <c r="AS499" s="53" t="str">
        <f t="shared" si="38"/>
        <v>Thừa 2</v>
      </c>
      <c r="AT499" s="53" t="s">
        <v>148</v>
      </c>
      <c r="AU499" s="53" t="s">
        <v>1005</v>
      </c>
      <c r="AV499" s="53" t="s">
        <v>1006</v>
      </c>
      <c r="AW499" s="53" t="s">
        <v>57</v>
      </c>
      <c r="AX499" s="53">
        <v>1</v>
      </c>
      <c r="AY499" s="83"/>
      <c r="AZ499" s="53"/>
      <c r="BA499" s="53"/>
    </row>
    <row r="500" spans="3:54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6"/>
        <v>1</v>
      </c>
      <c r="M500" s="26">
        <f t="shared" si="25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67" t="e">
        <f>SUMIFS([2]Up!$J:$J,[2]Up!$D:$D,D500)</f>
        <v>#VALUE!</v>
      </c>
      <c r="AQ500" s="82" t="s">
        <v>2074</v>
      </c>
      <c r="AR500" s="82" t="str">
        <f t="shared" si="37"/>
        <v>PL10</v>
      </c>
      <c r="AS500" s="53" t="str">
        <f t="shared" si="38"/>
        <v>Thừa 1</v>
      </c>
      <c r="AT500" s="53" t="s">
        <v>148</v>
      </c>
      <c r="AU500" s="53" t="s">
        <v>1005</v>
      </c>
      <c r="AV500" s="53" t="s">
        <v>1006</v>
      </c>
      <c r="AW500" s="53" t="s">
        <v>57</v>
      </c>
      <c r="AX500" s="53">
        <v>1</v>
      </c>
      <c r="AY500" s="83"/>
      <c r="AZ500" s="53"/>
      <c r="BA500" s="53"/>
    </row>
    <row r="501" spans="3:54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6"/>
        <v>1</v>
      </c>
      <c r="M501" s="26">
        <f t="shared" si="25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67" t="e">
        <f>SUMIFS([2]Up!$J:$J,[2]Up!$D:$D,D501)</f>
        <v>#VALUE!</v>
      </c>
      <c r="AQ501" s="82"/>
      <c r="AR501" s="82" t="str">
        <f t="shared" si="37"/>
        <v>PL10</v>
      </c>
      <c r="AS501" s="53" t="str">
        <f t="shared" si="38"/>
        <v/>
      </c>
      <c r="AT501" s="53" t="s">
        <v>148</v>
      </c>
      <c r="AU501" s="53" t="s">
        <v>1005</v>
      </c>
      <c r="AV501" s="53" t="s">
        <v>1006</v>
      </c>
      <c r="AW501" s="53" t="s">
        <v>1064</v>
      </c>
      <c r="AX501" s="53">
        <v>1</v>
      </c>
      <c r="AY501" s="83">
        <v>46088</v>
      </c>
      <c r="AZ501" s="53"/>
      <c r="BA501" s="53"/>
    </row>
    <row r="502" spans="3:54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6"/>
        <v>0</v>
      </c>
      <c r="M502" s="26">
        <f t="shared" si="25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67" t="e">
        <f>SUMIFS([2]Up!$J:$J,[2]Up!$D:$D,D502)</f>
        <v>#VALUE!</v>
      </c>
      <c r="AQ502" s="82"/>
      <c r="AR502" s="82" t="str">
        <f t="shared" si="37"/>
        <v/>
      </c>
      <c r="AS502" s="53" t="str">
        <f t="shared" si="38"/>
        <v/>
      </c>
      <c r="AT502" s="53" t="s">
        <v>148</v>
      </c>
      <c r="AU502" s="53" t="s">
        <v>1079</v>
      </c>
      <c r="AV502" s="53" t="s">
        <v>1076</v>
      </c>
      <c r="AW502" s="84" t="s">
        <v>2162</v>
      </c>
      <c r="AX502" s="53">
        <v>20</v>
      </c>
      <c r="AY502" s="83" t="s">
        <v>2225</v>
      </c>
      <c r="AZ502" s="53"/>
      <c r="BA502" s="53"/>
      <c r="BB502" s="238"/>
    </row>
    <row r="503" spans="3:54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6"/>
        <v>0</v>
      </c>
      <c r="M503" s="26">
        <f t="shared" si="25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67" t="e">
        <f>SUMIFS([2]Up!$J:$J,[2]Up!$D:$D,D503)</f>
        <v>#VALUE!</v>
      </c>
      <c r="AQ503" s="82"/>
      <c r="AR503" s="82" t="str">
        <f t="shared" si="37"/>
        <v>PL8</v>
      </c>
      <c r="AS503" s="53" t="str">
        <f t="shared" si="38"/>
        <v/>
      </c>
      <c r="AT503" s="53" t="s">
        <v>154</v>
      </c>
      <c r="AU503" s="53" t="s">
        <v>1012</v>
      </c>
      <c r="AV503" s="53" t="s">
        <v>1013</v>
      </c>
      <c r="AW503" s="53" t="s">
        <v>57</v>
      </c>
      <c r="AX503" s="53">
        <v>4</v>
      </c>
      <c r="AY503" s="83"/>
      <c r="AZ503" s="53"/>
      <c r="BA503" s="53"/>
    </row>
    <row r="504" spans="3:54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6"/>
        <v>0</v>
      </c>
      <c r="M504" s="26">
        <f t="shared" si="25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67" t="e">
        <f>SUMIFS([2]Up!$J:$J,[2]Up!$D:$D,D504)</f>
        <v>#VALUE!</v>
      </c>
      <c r="AQ504" s="82"/>
      <c r="AR504" s="82" t="str">
        <f t="shared" si="37"/>
        <v>PL16</v>
      </c>
      <c r="AS504" s="53" t="str">
        <f t="shared" si="38"/>
        <v/>
      </c>
      <c r="AT504" s="53" t="s">
        <v>148</v>
      </c>
      <c r="AU504" s="53" t="s">
        <v>988</v>
      </c>
      <c r="AV504" s="53" t="s">
        <v>989</v>
      </c>
      <c r="AW504" s="84" t="s">
        <v>2161</v>
      </c>
      <c r="AX504" s="53">
        <v>24</v>
      </c>
      <c r="AY504" s="83" t="s">
        <v>2226</v>
      </c>
      <c r="AZ504" s="53"/>
      <c r="BA504" s="53"/>
      <c r="BB504" s="238"/>
    </row>
    <row r="505" spans="3:54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6"/>
        <v>0</v>
      </c>
      <c r="M505" s="26">
        <f t="shared" si="25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67" t="e">
        <f>SUMIFS([2]Up!$J:$J,[2]Up!$D:$D,D505)</f>
        <v>#VALUE!</v>
      </c>
      <c r="AQ505" s="82"/>
      <c r="AR505" s="82" t="str">
        <f t="shared" si="37"/>
        <v>PL15</v>
      </c>
      <c r="AS505" s="53" t="str">
        <f t="shared" si="38"/>
        <v/>
      </c>
      <c r="AT505" s="53" t="s">
        <v>148</v>
      </c>
      <c r="AU505" s="53" t="s">
        <v>1094</v>
      </c>
      <c r="AV505" s="53" t="s">
        <v>1095</v>
      </c>
      <c r="AW505" s="84" t="s">
        <v>2156</v>
      </c>
      <c r="AX505" s="53">
        <v>8</v>
      </c>
      <c r="AY505" s="83" t="s">
        <v>2225</v>
      </c>
      <c r="AZ505" s="53"/>
      <c r="BA505" s="53"/>
      <c r="BB505" s="238"/>
    </row>
    <row r="506" spans="3:54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6"/>
        <v>0</v>
      </c>
      <c r="M506" s="26">
        <f t="shared" si="25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67" t="e">
        <f>SUMIFS([2]Up!$J:$J,[2]Up!$D:$D,D506)</f>
        <v>#VALUE!</v>
      </c>
      <c r="AQ506" s="82"/>
      <c r="AR506" s="82" t="str">
        <f t="shared" si="37"/>
        <v>PL20</v>
      </c>
      <c r="AS506" s="53" t="str">
        <f t="shared" si="38"/>
        <v/>
      </c>
      <c r="AT506" s="53" t="s">
        <v>148</v>
      </c>
      <c r="AU506" s="53" t="s">
        <v>1100</v>
      </c>
      <c r="AV506" s="53" t="s">
        <v>1101</v>
      </c>
      <c r="AW506" s="84" t="s">
        <v>2158</v>
      </c>
      <c r="AX506" s="53">
        <v>8</v>
      </c>
      <c r="AY506" s="83">
        <v>46242</v>
      </c>
      <c r="AZ506" s="53"/>
      <c r="BA506" s="53"/>
      <c r="BB506" s="238"/>
    </row>
    <row r="507" spans="3:54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6"/>
        <v>0</v>
      </c>
      <c r="M507" s="26">
        <f t="shared" si="25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67" t="e">
        <f>SUMIFS([2]Up!$J:$J,[2]Up!$D:$D,D507)</f>
        <v>#VALUE!</v>
      </c>
      <c r="AQ507" s="82"/>
      <c r="AR507" s="82" t="str">
        <f t="shared" si="37"/>
        <v>PL16</v>
      </c>
      <c r="AS507" s="53" t="str">
        <f t="shared" si="38"/>
        <v/>
      </c>
      <c r="AT507" s="53" t="s">
        <v>148</v>
      </c>
      <c r="AU507" s="53" t="s">
        <v>988</v>
      </c>
      <c r="AV507" s="53" t="s">
        <v>989</v>
      </c>
      <c r="AW507" s="84" t="s">
        <v>2161</v>
      </c>
      <c r="AX507" s="53">
        <v>20</v>
      </c>
      <c r="AY507" s="83" t="s">
        <v>2226</v>
      </c>
      <c r="AZ507" s="53"/>
      <c r="BA507" s="53"/>
      <c r="BB507" s="238"/>
    </row>
    <row r="508" spans="3:54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6"/>
        <v>0</v>
      </c>
      <c r="M508" s="26">
        <f t="shared" si="25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67" t="e">
        <f>SUMIFS([2]Up!$J:$J,[2]Up!$D:$D,D508)</f>
        <v>#VALUE!</v>
      </c>
      <c r="AQ508" s="82"/>
      <c r="AR508" s="82" t="str">
        <f t="shared" si="37"/>
        <v>PL10</v>
      </c>
      <c r="AS508" s="53" t="str">
        <f t="shared" si="38"/>
        <v/>
      </c>
      <c r="AT508" s="53" t="s">
        <v>154</v>
      </c>
      <c r="AU508" s="53" t="s">
        <v>1005</v>
      </c>
      <c r="AV508" s="53" t="s">
        <v>1006</v>
      </c>
      <c r="AW508" s="53" t="s">
        <v>57</v>
      </c>
      <c r="AX508" s="53">
        <v>4</v>
      </c>
      <c r="AY508" s="83"/>
      <c r="AZ508" s="53"/>
      <c r="BA508" s="53"/>
    </row>
    <row r="509" spans="3:54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6"/>
        <v>0</v>
      </c>
      <c r="M509" s="26">
        <f t="shared" si="25"/>
        <v>2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67" t="e">
        <f>SUMIFS([2]Up!$J:$J,[2]Up!$D:$D,D509)</f>
        <v>#VALUE!</v>
      </c>
      <c r="AQ509" s="82"/>
      <c r="AR509" s="82" t="str">
        <f t="shared" si="37"/>
        <v>PL10</v>
      </c>
      <c r="AS509" s="53" t="str">
        <f t="shared" si="38"/>
        <v/>
      </c>
      <c r="AT509" s="53" t="s">
        <v>154</v>
      </c>
      <c r="AU509" s="53" t="s">
        <v>1005</v>
      </c>
      <c r="AV509" s="53" t="s">
        <v>1006</v>
      </c>
      <c r="AW509" s="53" t="s">
        <v>57</v>
      </c>
      <c r="AX509" s="53">
        <v>4</v>
      </c>
      <c r="AY509" s="83"/>
      <c r="AZ509" s="53"/>
      <c r="BA509" s="53"/>
    </row>
    <row r="510" spans="3:54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6"/>
        <v>2</v>
      </c>
      <c r="M510" s="26">
        <f t="shared" si="25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67" t="e">
        <f>SUMIFS([2]Up!$J:$J,[2]Up!$D:$D,D510)</f>
        <v>#VALUE!</v>
      </c>
      <c r="AQ510" s="82"/>
      <c r="AR510" s="82" t="str">
        <f t="shared" si="37"/>
        <v>PL15</v>
      </c>
      <c r="AS510" s="53" t="str">
        <f t="shared" si="38"/>
        <v/>
      </c>
      <c r="AT510" s="53" t="s">
        <v>148</v>
      </c>
      <c r="AU510" s="53" t="s">
        <v>1094</v>
      </c>
      <c r="AV510" s="53" t="s">
        <v>1095</v>
      </c>
      <c r="AW510" s="84" t="s">
        <v>2156</v>
      </c>
      <c r="AX510" s="53">
        <v>8</v>
      </c>
      <c r="AY510" s="83" t="s">
        <v>2225</v>
      </c>
      <c r="AZ510" s="53"/>
      <c r="BA510" s="53"/>
      <c r="BB510" s="238"/>
    </row>
    <row r="511" spans="3:54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6"/>
        <v>0</v>
      </c>
      <c r="M511" s="26">
        <f t="shared" si="25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67" t="e">
        <f>SUMIFS([2]Up!$J:$J,[2]Up!$D:$D,D511)</f>
        <v>#VALUE!</v>
      </c>
      <c r="AQ511" s="82"/>
      <c r="AR511" s="82" t="str">
        <f t="shared" si="37"/>
        <v>PL8</v>
      </c>
      <c r="AS511" s="53" t="str">
        <f t="shared" si="38"/>
        <v/>
      </c>
      <c r="AT511" s="53" t="s">
        <v>148</v>
      </c>
      <c r="AU511" s="53" t="s">
        <v>1012</v>
      </c>
      <c r="AV511" s="53" t="s">
        <v>1013</v>
      </c>
      <c r="AW511" s="53" t="s">
        <v>57</v>
      </c>
      <c r="AX511" s="53">
        <v>8</v>
      </c>
      <c r="AY511" s="83"/>
      <c r="AZ511" s="53"/>
      <c r="BA511" s="53"/>
    </row>
    <row r="512" spans="3:54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6"/>
        <v>0</v>
      </c>
      <c r="M512" s="26">
        <f t="shared" si="25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67" t="e">
        <f>SUMIFS([2]Up!$J:$J,[2]Up!$D:$D,D512)</f>
        <v>#VALUE!</v>
      </c>
      <c r="AQ512" s="82"/>
      <c r="AR512" s="82" t="str">
        <f t="shared" si="37"/>
        <v>PL8</v>
      </c>
      <c r="AS512" s="53" t="str">
        <f t="shared" si="38"/>
        <v/>
      </c>
      <c r="AT512" s="53" t="s">
        <v>148</v>
      </c>
      <c r="AU512" s="53" t="s">
        <v>1012</v>
      </c>
      <c r="AV512" s="53" t="s">
        <v>1013</v>
      </c>
      <c r="AW512" s="53" t="s">
        <v>57</v>
      </c>
      <c r="AX512" s="53">
        <v>4</v>
      </c>
      <c r="AY512" s="83"/>
      <c r="AZ512" s="53"/>
      <c r="BA512" s="53"/>
    </row>
    <row r="513" spans="3:54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6"/>
        <v>0</v>
      </c>
      <c r="M513" s="26">
        <f t="shared" si="25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67" t="e">
        <f>SUMIFS([2]Up!$J:$J,[2]Up!$D:$D,D513)</f>
        <v>#VALUE!</v>
      </c>
      <c r="AQ513" s="82"/>
      <c r="AR513" s="82" t="str">
        <f t="shared" si="37"/>
        <v>PL10</v>
      </c>
      <c r="AS513" s="53" t="str">
        <f t="shared" si="38"/>
        <v/>
      </c>
      <c r="AT513" s="53" t="s">
        <v>148</v>
      </c>
      <c r="AU513" s="53" t="s">
        <v>1005</v>
      </c>
      <c r="AV513" s="53" t="s">
        <v>1006</v>
      </c>
      <c r="AW513" s="53" t="s">
        <v>57</v>
      </c>
      <c r="AX513" s="53">
        <v>4</v>
      </c>
      <c r="AY513" s="83"/>
      <c r="AZ513" s="53"/>
      <c r="BA513" s="53"/>
    </row>
    <row r="514" spans="3:54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6"/>
        <v>0</v>
      </c>
      <c r="M514" s="26">
        <f t="shared" si="25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67" t="e">
        <f>SUMIFS([2]Up!$J:$J,[2]Up!$D:$D,D514)</f>
        <v>#VALUE!</v>
      </c>
      <c r="AQ514" s="82"/>
      <c r="AR514" s="82" t="str">
        <f t="shared" si="37"/>
        <v>PL10</v>
      </c>
      <c r="AS514" s="53" t="str">
        <f t="shared" si="38"/>
        <v/>
      </c>
      <c r="AT514" s="53" t="s">
        <v>148</v>
      </c>
      <c r="AU514" s="53" t="s">
        <v>1005</v>
      </c>
      <c r="AV514" s="53" t="s">
        <v>1006</v>
      </c>
      <c r="AW514" s="53" t="s">
        <v>57</v>
      </c>
      <c r="AX514" s="53">
        <v>8</v>
      </c>
      <c r="AY514" s="83"/>
      <c r="AZ514" s="53"/>
      <c r="BA514" s="53"/>
    </row>
    <row r="515" spans="3:54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6"/>
        <v>0</v>
      </c>
      <c r="M515" s="26">
        <f t="shared" si="25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67" t="e">
        <f>SUMIFS([2]Up!$J:$J,[2]Up!$D:$D,D515)</f>
        <v>#VALUE!</v>
      </c>
      <c r="AQ515" s="82"/>
      <c r="AR515" s="82" t="str">
        <f t="shared" si="37"/>
        <v>PL16</v>
      </c>
      <c r="AS515" s="53" t="str">
        <f t="shared" si="38"/>
        <v/>
      </c>
      <c r="AT515" s="53" t="s">
        <v>148</v>
      </c>
      <c r="AU515" s="53" t="s">
        <v>988</v>
      </c>
      <c r="AV515" s="53" t="s">
        <v>989</v>
      </c>
      <c r="AW515" s="84" t="s">
        <v>2161</v>
      </c>
      <c r="AX515" s="53">
        <v>16</v>
      </c>
      <c r="AY515" s="83" t="s">
        <v>2226</v>
      </c>
      <c r="AZ515" s="53"/>
      <c r="BA515" s="53"/>
      <c r="BB515" s="238"/>
    </row>
    <row r="516" spans="3:54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6"/>
        <v>5</v>
      </c>
      <c r="M516" s="26">
        <f t="shared" si="25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67" t="e">
        <f>SUMIFS([2]Up!$J:$J,[2]Up!$D:$D,D516)</f>
        <v>#VALUE!</v>
      </c>
      <c r="AQ516" s="82"/>
      <c r="AR516" s="82" t="str">
        <f t="shared" si="37"/>
        <v/>
      </c>
      <c r="AS516" s="53" t="str">
        <f t="shared" si="38"/>
        <v/>
      </c>
      <c r="AT516" s="53" t="s">
        <v>148</v>
      </c>
      <c r="AU516" s="53" t="s">
        <v>1079</v>
      </c>
      <c r="AV516" s="53" t="s">
        <v>1076</v>
      </c>
      <c r="AW516" s="53" t="s">
        <v>1290</v>
      </c>
      <c r="AX516" s="53">
        <v>5</v>
      </c>
      <c r="AY516" s="83">
        <v>46362</v>
      </c>
      <c r="AZ516" s="53"/>
      <c r="BA516" s="53"/>
    </row>
    <row r="517" spans="3:54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6"/>
        <v>1</v>
      </c>
      <c r="M517" s="26">
        <f t="shared" si="25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67" t="e">
        <f>SUMIFS([2]Up!$J:$J,[2]Up!$D:$D,D517)</f>
        <v>#VALUE!</v>
      </c>
      <c r="AQ517" s="82" t="s">
        <v>2075</v>
      </c>
      <c r="AR517" s="82" t="str">
        <f t="shared" si="37"/>
        <v>PL8</v>
      </c>
      <c r="AS517" s="53" t="str">
        <f t="shared" si="38"/>
        <v>Thừa 6</v>
      </c>
      <c r="AT517" s="53" t="s">
        <v>154</v>
      </c>
      <c r="AU517" s="53" t="s">
        <v>1012</v>
      </c>
      <c r="AV517" s="53" t="s">
        <v>1013</v>
      </c>
      <c r="AW517" s="53" t="s">
        <v>57</v>
      </c>
      <c r="AX517" s="53">
        <v>1</v>
      </c>
      <c r="AY517" s="83"/>
      <c r="AZ517" s="53"/>
      <c r="BA517" s="53"/>
    </row>
    <row r="518" spans="3:54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6"/>
        <v>2</v>
      </c>
      <c r="M518" s="26">
        <f t="shared" si="25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67" t="e">
        <f>SUMIFS([2]Up!$J:$J,[2]Up!$D:$D,D518)</f>
        <v>#VALUE!</v>
      </c>
      <c r="AQ518" s="82"/>
      <c r="AR518" s="82" t="str">
        <f t="shared" si="37"/>
        <v>PL15</v>
      </c>
      <c r="AS518" s="53" t="str">
        <f t="shared" si="38"/>
        <v/>
      </c>
      <c r="AT518" s="53" t="s">
        <v>148</v>
      </c>
      <c r="AU518" s="53" t="s">
        <v>1094</v>
      </c>
      <c r="AV518" s="53" t="s">
        <v>1095</v>
      </c>
      <c r="AW518" s="53" t="s">
        <v>1304</v>
      </c>
      <c r="AX518" s="53">
        <v>2</v>
      </c>
      <c r="AY518" s="83">
        <v>46088</v>
      </c>
      <c r="AZ518" s="53"/>
      <c r="BA518" s="53"/>
    </row>
    <row r="519" spans="3:54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6"/>
        <v>10</v>
      </c>
      <c r="M519" s="26">
        <f t="shared" si="2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67" t="e">
        <f>SUMIFS([2]Up!$J:$J,[2]Up!$D:$D,D519)</f>
        <v>#VALUE!</v>
      </c>
      <c r="AQ519" s="82"/>
      <c r="AR519" s="82" t="str">
        <f t="shared" si="37"/>
        <v>PL16</v>
      </c>
      <c r="AS519" s="53" t="str">
        <f t="shared" si="38"/>
        <v/>
      </c>
      <c r="AT519" s="53" t="s">
        <v>148</v>
      </c>
      <c r="AU519" s="53" t="s">
        <v>988</v>
      </c>
      <c r="AV519" s="53" t="s">
        <v>989</v>
      </c>
      <c r="AW519" s="53" t="s">
        <v>990</v>
      </c>
      <c r="AX519" s="53">
        <v>10</v>
      </c>
      <c r="AY519" s="83" t="s">
        <v>2223</v>
      </c>
      <c r="AZ519" s="53"/>
      <c r="BA519" s="53"/>
    </row>
    <row r="520" spans="3:54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6"/>
        <v>1</v>
      </c>
      <c r="M520" s="26">
        <f t="shared" si="25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67" t="e">
        <f>SUMIFS([2]Up!$J:$J,[2]Up!$D:$D,D520)</f>
        <v>#VALUE!</v>
      </c>
      <c r="AQ520" s="82"/>
      <c r="AR520" s="82" t="str">
        <f t="shared" si="37"/>
        <v>PL15</v>
      </c>
      <c r="AS520" s="53" t="str">
        <f t="shared" si="38"/>
        <v/>
      </c>
      <c r="AT520" s="53" t="s">
        <v>148</v>
      </c>
      <c r="AU520" s="53" t="s">
        <v>1094</v>
      </c>
      <c r="AV520" s="53" t="s">
        <v>1095</v>
      </c>
      <c r="AW520" s="53" t="s">
        <v>1304</v>
      </c>
      <c r="AX520" s="53">
        <v>1</v>
      </c>
      <c r="AY520" s="83">
        <v>46088</v>
      </c>
      <c r="AZ520" s="53"/>
      <c r="BA520" s="53"/>
    </row>
    <row r="521" spans="3:54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6"/>
        <v>1</v>
      </c>
      <c r="M521" s="26">
        <f t="shared" si="25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67" t="e">
        <f>SUMIFS([2]Up!$J:$J,[2]Up!$D:$D,D521)</f>
        <v>#VALUE!</v>
      </c>
      <c r="AQ521" s="82"/>
      <c r="AR521" s="82" t="str">
        <f t="shared" si="37"/>
        <v>PL15</v>
      </c>
      <c r="AS521" s="53" t="str">
        <f t="shared" si="38"/>
        <v/>
      </c>
      <c r="AT521" s="53" t="s">
        <v>148</v>
      </c>
      <c r="AU521" s="53" t="s">
        <v>1094</v>
      </c>
      <c r="AV521" s="53" t="s">
        <v>1095</v>
      </c>
      <c r="AW521" s="53" t="s">
        <v>1304</v>
      </c>
      <c r="AX521" s="53">
        <v>1</v>
      </c>
      <c r="AY521" s="83">
        <v>46088</v>
      </c>
      <c r="AZ521" s="53"/>
      <c r="BA521" s="53"/>
    </row>
    <row r="522" spans="3:54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6"/>
        <v>2</v>
      </c>
      <c r="M522" s="26">
        <f t="shared" si="2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67" t="e">
        <f>SUMIFS([2]Up!$J:$J,[2]Up!$D:$D,D522)</f>
        <v>#VALUE!</v>
      </c>
      <c r="AQ522" s="82" t="s">
        <v>2082</v>
      </c>
      <c r="AR522" s="82" t="str">
        <f t="shared" si="37"/>
        <v>PL8</v>
      </c>
      <c r="AS522" s="53" t="str">
        <f t="shared" si="38"/>
        <v>Thừa 2</v>
      </c>
      <c r="AT522" s="53" t="s">
        <v>148</v>
      </c>
      <c r="AU522" s="53" t="s">
        <v>1012</v>
      </c>
      <c r="AV522" s="53" t="s">
        <v>1013</v>
      </c>
      <c r="AW522" s="53" t="s">
        <v>57</v>
      </c>
      <c r="AX522" s="53">
        <v>2</v>
      </c>
      <c r="AY522" s="83"/>
      <c r="AZ522" s="53"/>
      <c r="BA522" s="53"/>
    </row>
    <row r="523" spans="3:54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6"/>
        <v>2</v>
      </c>
      <c r="M523" s="26">
        <f t="shared" si="2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67" t="e">
        <f>SUMIFS([2]Up!$J:$J,[2]Up!$D:$D,D523)</f>
        <v>#VALUE!</v>
      </c>
      <c r="AQ523" s="82"/>
      <c r="AR523" s="82" t="str">
        <f t="shared" si="37"/>
        <v>PL8</v>
      </c>
      <c r="AS523" s="53" t="str">
        <f t="shared" si="38"/>
        <v/>
      </c>
      <c r="AT523" s="53" t="s">
        <v>148</v>
      </c>
      <c r="AU523" s="53" t="s">
        <v>1012</v>
      </c>
      <c r="AV523" s="53" t="s">
        <v>1013</v>
      </c>
      <c r="AW523" s="53" t="s">
        <v>1014</v>
      </c>
      <c r="AX523" s="53">
        <v>2</v>
      </c>
      <c r="AY523" s="83">
        <v>46088</v>
      </c>
      <c r="AZ523" s="53"/>
      <c r="BA523" s="53"/>
    </row>
    <row r="524" spans="3:54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6"/>
        <v>2</v>
      </c>
      <c r="M524" s="26">
        <f t="shared" si="25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67" t="e">
        <f>SUMIFS([2]Up!$J:$J,[2]Up!$D:$D,D524)</f>
        <v>#VALUE!</v>
      </c>
      <c r="AQ524" s="82"/>
      <c r="AR524" s="82" t="str">
        <f t="shared" si="37"/>
        <v>PL20</v>
      </c>
      <c r="AS524" s="53" t="str">
        <f t="shared" si="38"/>
        <v/>
      </c>
      <c r="AT524" s="53" t="s">
        <v>148</v>
      </c>
      <c r="AU524" s="53" t="s">
        <v>1100</v>
      </c>
      <c r="AV524" s="53" t="s">
        <v>1101</v>
      </c>
      <c r="AW524" s="53" t="s">
        <v>1308</v>
      </c>
      <c r="AX524" s="53">
        <v>2</v>
      </c>
      <c r="AY524" s="83">
        <v>46242</v>
      </c>
      <c r="AZ524" s="53"/>
      <c r="BA524" s="53"/>
    </row>
    <row r="525" spans="3:54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6"/>
        <v>2</v>
      </c>
      <c r="M525" s="26">
        <f t="shared" si="25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67" t="e">
        <f>SUMIFS([2]Up!$J:$J,[2]Up!$D:$D,D525)</f>
        <v>#VALUE!</v>
      </c>
      <c r="AQ525" s="82"/>
      <c r="AR525" s="82" t="str">
        <f t="shared" si="37"/>
        <v>PL15</v>
      </c>
      <c r="AS525" s="53" t="str">
        <f t="shared" si="38"/>
        <v/>
      </c>
      <c r="AT525" s="53" t="s">
        <v>148</v>
      </c>
      <c r="AU525" s="53" t="s">
        <v>1094</v>
      </c>
      <c r="AV525" s="53" t="s">
        <v>1095</v>
      </c>
      <c r="AW525" s="53" t="s">
        <v>1304</v>
      </c>
      <c r="AX525" s="53">
        <v>2</v>
      </c>
      <c r="AY525" s="83">
        <v>46088</v>
      </c>
      <c r="AZ525" s="53"/>
      <c r="BA525" s="53"/>
    </row>
    <row r="526" spans="3:54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6"/>
        <v>2</v>
      </c>
      <c r="M526" s="26">
        <f t="shared" si="25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67" t="e">
        <f>SUMIFS([2]Up!$J:$J,[2]Up!$D:$D,D526)</f>
        <v>#VALUE!</v>
      </c>
      <c r="AQ526" s="82"/>
      <c r="AR526" s="82" t="str">
        <f t="shared" si="37"/>
        <v>PL15</v>
      </c>
      <c r="AS526" s="53" t="str">
        <f t="shared" si="38"/>
        <v/>
      </c>
      <c r="AT526" s="53" t="s">
        <v>148</v>
      </c>
      <c r="AU526" s="53" t="s">
        <v>1094</v>
      </c>
      <c r="AV526" s="53" t="s">
        <v>1095</v>
      </c>
      <c r="AW526" s="53" t="s">
        <v>1304</v>
      </c>
      <c r="AX526" s="53">
        <v>2</v>
      </c>
      <c r="AY526" s="83">
        <v>46088</v>
      </c>
      <c r="AZ526" s="53"/>
      <c r="BA526" s="53"/>
    </row>
    <row r="527" spans="3:54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6"/>
        <v>1</v>
      </c>
      <c r="M527" s="26">
        <f t="shared" si="25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67" t="e">
        <f>SUMIFS([2]Up!$J:$J,[2]Up!$D:$D,D527)</f>
        <v>#VALUE!</v>
      </c>
      <c r="AQ527" s="82"/>
      <c r="AR527" s="82" t="str">
        <f t="shared" si="37"/>
        <v>PL20</v>
      </c>
      <c r="AS527" s="53" t="str">
        <f t="shared" si="38"/>
        <v/>
      </c>
      <c r="AT527" s="53" t="s">
        <v>148</v>
      </c>
      <c r="AU527" s="53" t="s">
        <v>1100</v>
      </c>
      <c r="AV527" s="53" t="s">
        <v>1101</v>
      </c>
      <c r="AW527" s="53" t="s">
        <v>1308</v>
      </c>
      <c r="AX527" s="53">
        <v>1</v>
      </c>
      <c r="AY527" s="83">
        <v>46242</v>
      </c>
      <c r="AZ527" s="53"/>
      <c r="BA527" s="53"/>
    </row>
    <row r="528" spans="3:54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6"/>
        <v>3</v>
      </c>
      <c r="M528" s="26">
        <f t="shared" si="25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67" t="e">
        <f>SUMIFS([2]Up!$J:$J,[2]Up!$D:$D,D528)</f>
        <v>#VALUE!</v>
      </c>
      <c r="AQ528" s="82"/>
      <c r="AR528" s="82" t="str">
        <f t="shared" si="37"/>
        <v>PL16</v>
      </c>
      <c r="AS528" s="53" t="str">
        <f t="shared" si="38"/>
        <v/>
      </c>
      <c r="AT528" s="53" t="s">
        <v>148</v>
      </c>
      <c r="AU528" s="53" t="s">
        <v>988</v>
      </c>
      <c r="AV528" s="53" t="s">
        <v>989</v>
      </c>
      <c r="AW528" s="53" t="s">
        <v>990</v>
      </c>
      <c r="AX528" s="53">
        <v>3</v>
      </c>
      <c r="AY528" s="83" t="s">
        <v>2223</v>
      </c>
      <c r="AZ528" s="53"/>
      <c r="BA528" s="53"/>
    </row>
    <row r="529" spans="3:54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6"/>
        <v>1</v>
      </c>
      <c r="M529" s="26">
        <f t="shared" si="25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67" t="e">
        <f>SUMIFS([2]Up!$J:$J,[2]Up!$D:$D,D529)</f>
        <v>#VALUE!</v>
      </c>
      <c r="AQ529" s="82"/>
      <c r="AR529" s="82" t="str">
        <f t="shared" si="37"/>
        <v>PL20</v>
      </c>
      <c r="AS529" s="53" t="str">
        <f t="shared" si="38"/>
        <v/>
      </c>
      <c r="AT529" s="53" t="s">
        <v>148</v>
      </c>
      <c r="AU529" s="53" t="s">
        <v>1100</v>
      </c>
      <c r="AV529" s="53" t="s">
        <v>1101</v>
      </c>
      <c r="AW529" s="53" t="s">
        <v>1308</v>
      </c>
      <c r="AX529" s="53">
        <v>1</v>
      </c>
      <c r="AY529" s="83">
        <v>46242</v>
      </c>
      <c r="AZ529" s="53"/>
      <c r="BA529" s="53"/>
    </row>
    <row r="530" spans="3:54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6"/>
        <v>2</v>
      </c>
      <c r="M530" s="26">
        <f t="shared" si="25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67" t="e">
        <f>SUMIFS([2]Up!$J:$J,[2]Up!$D:$D,D530)</f>
        <v>#VALUE!</v>
      </c>
      <c r="AQ530" s="82"/>
      <c r="AR530" s="82" t="str">
        <f t="shared" si="37"/>
        <v>PL5</v>
      </c>
      <c r="AS530" s="53" t="str">
        <f t="shared" si="38"/>
        <v/>
      </c>
      <c r="AT530" s="53" t="s">
        <v>148</v>
      </c>
      <c r="AU530" s="53" t="s">
        <v>1108</v>
      </c>
      <c r="AV530" s="53" t="s">
        <v>957</v>
      </c>
      <c r="AW530" s="53" t="s">
        <v>1313</v>
      </c>
      <c r="AX530" s="53">
        <v>2</v>
      </c>
      <c r="AY530" s="83" t="s">
        <v>2223</v>
      </c>
      <c r="AZ530" s="53"/>
      <c r="BA530" s="53"/>
    </row>
    <row r="531" spans="3:54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6"/>
        <v>1</v>
      </c>
      <c r="M531" s="26">
        <f t="shared" si="2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67" t="e">
        <f>SUMIFS([2]Up!$J:$J,[2]Up!$D:$D,D531)</f>
        <v>#VALUE!</v>
      </c>
      <c r="AQ531" s="82"/>
      <c r="AR531" s="82" t="str">
        <f t="shared" si="37"/>
        <v>PL16</v>
      </c>
      <c r="AS531" s="53" t="str">
        <f t="shared" si="38"/>
        <v/>
      </c>
      <c r="AT531" s="53" t="s">
        <v>148</v>
      </c>
      <c r="AU531" s="53" t="s">
        <v>988</v>
      </c>
      <c r="AV531" s="53" t="s">
        <v>989</v>
      </c>
      <c r="AW531" s="53" t="s">
        <v>990</v>
      </c>
      <c r="AX531" s="53">
        <v>1</v>
      </c>
      <c r="AY531" s="83" t="s">
        <v>2223</v>
      </c>
      <c r="AZ531" s="53"/>
      <c r="BA531" s="53"/>
    </row>
    <row r="532" spans="3:54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6"/>
        <v>1</v>
      </c>
      <c r="M532" s="26">
        <f t="shared" si="2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67" t="e">
        <f>SUMIFS([2]Up!$J:$J,[2]Up!$D:$D,D532)</f>
        <v>#VALUE!</v>
      </c>
      <c r="AQ532" s="82"/>
      <c r="AR532" s="82" t="str">
        <f t="shared" si="37"/>
        <v>PL16</v>
      </c>
      <c r="AS532" s="53" t="str">
        <f t="shared" si="38"/>
        <v/>
      </c>
      <c r="AT532" s="53" t="s">
        <v>148</v>
      </c>
      <c r="AU532" s="53" t="s">
        <v>988</v>
      </c>
      <c r="AV532" s="53" t="s">
        <v>989</v>
      </c>
      <c r="AW532" s="53" t="s">
        <v>990</v>
      </c>
      <c r="AX532" s="53">
        <v>1</v>
      </c>
      <c r="AY532" s="83" t="s">
        <v>2223</v>
      </c>
      <c r="AZ532" s="53"/>
      <c r="BA532" s="53"/>
    </row>
    <row r="533" spans="3:54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6"/>
        <v>1</v>
      </c>
      <c r="M533" s="26">
        <f t="shared" si="2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67" t="e">
        <f>SUMIFS([2]Up!$J:$J,[2]Up!$D:$D,D533)</f>
        <v>#VALUE!</v>
      </c>
      <c r="AQ533" s="82"/>
      <c r="AR533" s="82" t="str">
        <f t="shared" si="37"/>
        <v>PL16</v>
      </c>
      <c r="AS533" s="53" t="str">
        <f t="shared" si="38"/>
        <v/>
      </c>
      <c r="AT533" s="53" t="s">
        <v>148</v>
      </c>
      <c r="AU533" s="53" t="s">
        <v>988</v>
      </c>
      <c r="AV533" s="53" t="s">
        <v>989</v>
      </c>
      <c r="AW533" s="53" t="s">
        <v>990</v>
      </c>
      <c r="AX533" s="53">
        <v>1</v>
      </c>
      <c r="AY533" s="83" t="s">
        <v>2223</v>
      </c>
      <c r="AZ533" s="53"/>
      <c r="BA533" s="53"/>
    </row>
    <row r="534" spans="3:54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6"/>
        <v>3</v>
      </c>
      <c r="M534" s="26">
        <f t="shared" si="2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67" t="e">
        <f>SUMIFS([2]Up!$J:$J,[2]Up!$D:$D,D534)</f>
        <v>#VALUE!</v>
      </c>
      <c r="AQ534" s="82" t="s">
        <v>2081</v>
      </c>
      <c r="AR534" s="82" t="str">
        <f t="shared" si="37"/>
        <v>PL8</v>
      </c>
      <c r="AS534" s="53" t="str">
        <f t="shared" si="38"/>
        <v>Thừa 3</v>
      </c>
      <c r="AT534" s="53" t="s">
        <v>148</v>
      </c>
      <c r="AU534" s="53" t="s">
        <v>1012</v>
      </c>
      <c r="AV534" s="53" t="s">
        <v>1013</v>
      </c>
      <c r="AW534" s="53" t="s">
        <v>57</v>
      </c>
      <c r="AX534" s="53">
        <v>3</v>
      </c>
      <c r="AY534" s="83"/>
      <c r="AZ534" s="53"/>
      <c r="BA534" s="53"/>
    </row>
    <row r="535" spans="3:54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6"/>
        <v>0</v>
      </c>
      <c r="M535" s="26">
        <f t="shared" si="25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67" t="e">
        <f>SUMIFS([2]Up!$J:$J,[2]Up!$D:$D,D535)</f>
        <v>#VALUE!</v>
      </c>
      <c r="AQ535" s="82"/>
      <c r="AR535" s="82" t="str">
        <f t="shared" si="37"/>
        <v/>
      </c>
      <c r="AS535" s="53" t="str">
        <f t="shared" si="38"/>
        <v/>
      </c>
      <c r="AT535" s="53" t="s">
        <v>148</v>
      </c>
      <c r="AU535" s="53" t="s">
        <v>1079</v>
      </c>
      <c r="AV535" s="53" t="s">
        <v>1076</v>
      </c>
      <c r="AW535" s="84" t="s">
        <v>2162</v>
      </c>
      <c r="AX535" s="53">
        <v>20</v>
      </c>
      <c r="AY535" s="83" t="s">
        <v>2225</v>
      </c>
      <c r="AZ535" s="53"/>
      <c r="BA535" s="53"/>
      <c r="BB535" s="238"/>
    </row>
    <row r="536" spans="3:54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6"/>
        <v>0</v>
      </c>
      <c r="M536" s="26">
        <f t="shared" si="25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67" t="e">
        <f>SUMIFS([2]Up!$J:$J,[2]Up!$D:$D,D536)</f>
        <v>#VALUE!</v>
      </c>
      <c r="AQ536" s="82"/>
      <c r="AR536" s="82" t="str">
        <f t="shared" si="37"/>
        <v>PL8</v>
      </c>
      <c r="AS536" s="53" t="str">
        <f t="shared" si="38"/>
        <v/>
      </c>
      <c r="AT536" s="53" t="s">
        <v>154</v>
      </c>
      <c r="AU536" s="53" t="s">
        <v>1012</v>
      </c>
      <c r="AV536" s="53" t="s">
        <v>1013</v>
      </c>
      <c r="AW536" s="53" t="s">
        <v>57</v>
      </c>
      <c r="AX536" s="53">
        <v>4</v>
      </c>
      <c r="AY536" s="83"/>
      <c r="AZ536" s="53"/>
      <c r="BA536" s="53"/>
    </row>
    <row r="537" spans="3:54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6"/>
        <v>0</v>
      </c>
      <c r="M537" s="26">
        <f t="shared" si="25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67" t="e">
        <f>SUMIFS([2]Up!$J:$J,[2]Up!$D:$D,D537)</f>
        <v>#VALUE!</v>
      </c>
      <c r="AQ537" s="82"/>
      <c r="AR537" s="82" t="str">
        <f t="shared" si="37"/>
        <v>PL15</v>
      </c>
      <c r="AS537" s="53" t="str">
        <f t="shared" si="38"/>
        <v/>
      </c>
      <c r="AT537" s="53" t="s">
        <v>148</v>
      </c>
      <c r="AU537" s="53" t="s">
        <v>1094</v>
      </c>
      <c r="AV537" s="53" t="s">
        <v>1095</v>
      </c>
      <c r="AW537" s="84" t="s">
        <v>2156</v>
      </c>
      <c r="AX537" s="53">
        <v>8</v>
      </c>
      <c r="AY537" s="83" t="s">
        <v>2225</v>
      </c>
      <c r="AZ537" s="53"/>
      <c r="BA537" s="53"/>
      <c r="BB537" s="238"/>
    </row>
    <row r="538" spans="3:54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6"/>
        <v>0</v>
      </c>
      <c r="M538" s="26">
        <f t="shared" si="25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67" t="e">
        <f>SUMIFS([2]Up!$J:$J,[2]Up!$D:$D,D538)</f>
        <v>#VALUE!</v>
      </c>
      <c r="AQ538" s="82"/>
      <c r="AR538" s="82" t="str">
        <f t="shared" si="37"/>
        <v>PL16</v>
      </c>
      <c r="AS538" s="53" t="str">
        <f t="shared" si="38"/>
        <v/>
      </c>
      <c r="AT538" s="53" t="s">
        <v>148</v>
      </c>
      <c r="AU538" s="53" t="s">
        <v>988</v>
      </c>
      <c r="AV538" s="53" t="s">
        <v>989</v>
      </c>
      <c r="AW538" s="84" t="s">
        <v>2161</v>
      </c>
      <c r="AX538" s="53">
        <v>40</v>
      </c>
      <c r="AY538" s="83" t="s">
        <v>2226</v>
      </c>
      <c r="AZ538" s="53"/>
      <c r="BA538" s="53"/>
      <c r="BB538" s="238"/>
    </row>
    <row r="539" spans="3:54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6"/>
        <v>0</v>
      </c>
      <c r="M539" s="26">
        <f t="shared" si="25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67" t="e">
        <f>SUMIFS([2]Up!$J:$J,[2]Up!$D:$D,D539)</f>
        <v>#VALUE!</v>
      </c>
      <c r="AQ539" s="82"/>
      <c r="AR539" s="82" t="str">
        <f t="shared" si="37"/>
        <v>PL15</v>
      </c>
      <c r="AS539" s="53" t="str">
        <f t="shared" si="38"/>
        <v/>
      </c>
      <c r="AT539" s="53" t="s">
        <v>148</v>
      </c>
      <c r="AU539" s="53" t="s">
        <v>1094</v>
      </c>
      <c r="AV539" s="53" t="s">
        <v>1095</v>
      </c>
      <c r="AW539" s="84" t="s">
        <v>2156</v>
      </c>
      <c r="AX539" s="53">
        <v>8</v>
      </c>
      <c r="AY539" s="83" t="s">
        <v>2225</v>
      </c>
      <c r="AZ539" s="53"/>
      <c r="BA539" s="53"/>
      <c r="BB539" s="238"/>
    </row>
    <row r="540" spans="3:54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6"/>
        <v>0</v>
      </c>
      <c r="M540" s="26">
        <f t="shared" si="25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67" t="e">
        <f>SUMIFS([2]Up!$J:$J,[2]Up!$D:$D,D540)</f>
        <v>#VALUE!</v>
      </c>
      <c r="AQ540" s="82"/>
      <c r="AR540" s="82" t="str">
        <f t="shared" si="37"/>
        <v>PL20</v>
      </c>
      <c r="AS540" s="53" t="str">
        <f t="shared" si="38"/>
        <v/>
      </c>
      <c r="AT540" s="53" t="s">
        <v>148</v>
      </c>
      <c r="AU540" s="53" t="s">
        <v>1100</v>
      </c>
      <c r="AV540" s="53" t="s">
        <v>1101</v>
      </c>
      <c r="AW540" s="84" t="s">
        <v>2158</v>
      </c>
      <c r="AX540" s="53">
        <v>8</v>
      </c>
      <c r="AY540" s="83">
        <v>46242</v>
      </c>
      <c r="AZ540" s="53"/>
      <c r="BA540" s="53"/>
      <c r="BB540" s="238"/>
    </row>
    <row r="541" spans="3:54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6"/>
        <v>2</v>
      </c>
      <c r="M541" s="26">
        <f t="shared" ref="M541:M549" si="39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67" t="e">
        <f>SUMIFS([2]Up!$J:$J,[2]Up!$D:$D,D541)</f>
        <v>#VALUE!</v>
      </c>
      <c r="AQ541" s="82"/>
      <c r="AR541" s="82" t="str">
        <f t="shared" si="37"/>
        <v>PL15</v>
      </c>
      <c r="AS541" s="53" t="str">
        <f t="shared" si="38"/>
        <v/>
      </c>
      <c r="AT541" s="53" t="s">
        <v>148</v>
      </c>
      <c r="AU541" s="53" t="s">
        <v>1094</v>
      </c>
      <c r="AV541" s="53" t="s">
        <v>1095</v>
      </c>
      <c r="AW541" s="84" t="s">
        <v>2156</v>
      </c>
      <c r="AX541" s="53">
        <v>8</v>
      </c>
      <c r="AY541" s="83" t="s">
        <v>2225</v>
      </c>
      <c r="AZ541" s="53"/>
      <c r="BA541" s="53"/>
      <c r="BB541" s="238"/>
    </row>
    <row r="542" spans="3:54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0">MIN(SUM(N542:AO542),I542)</f>
        <v>0</v>
      </c>
      <c r="M542" s="26">
        <f t="shared" si="39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67" t="e">
        <f>SUMIFS([2]Up!$J:$J,[2]Up!$D:$D,D542)</f>
        <v>#VALUE!</v>
      </c>
      <c r="AQ542" s="82"/>
      <c r="AR542" s="82" t="str">
        <f t="shared" ref="AR542:AR549" si="41">IFERROR(IF(C542="Plate",LEFT(E542,FIND("*",E542,1)-1),""),IF(C542="Plate",LEFT(E542,FIND("x",E542,1)-1),""))</f>
        <v>PL20</v>
      </c>
      <c r="AS542" s="53" t="str">
        <f t="shared" ref="AS542:AS549" si="42">IF(ROUND(SUM(N542:AO542)-I542,0)&gt;0,"Thừa "&amp;SUM(N542:AO542)-I542,"")</f>
        <v/>
      </c>
      <c r="AT542" s="53" t="s">
        <v>148</v>
      </c>
      <c r="AU542" s="53" t="s">
        <v>1100</v>
      </c>
      <c r="AV542" s="53" t="s">
        <v>1101</v>
      </c>
      <c r="AW542" s="84" t="s">
        <v>2158</v>
      </c>
      <c r="AX542" s="53">
        <v>4</v>
      </c>
      <c r="AY542" s="83">
        <v>46242</v>
      </c>
      <c r="AZ542" s="53"/>
      <c r="BA542" s="53"/>
      <c r="BB542" s="238"/>
    </row>
    <row r="543" spans="3:54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0"/>
        <v>0</v>
      </c>
      <c r="M543" s="26">
        <f t="shared" si="39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67" t="e">
        <f>SUMIFS([2]Up!$J:$J,[2]Up!$D:$D,D543)</f>
        <v>#VALUE!</v>
      </c>
      <c r="AQ543" s="82"/>
      <c r="AR543" s="82" t="str">
        <f t="shared" si="41"/>
        <v>PL16</v>
      </c>
      <c r="AS543" s="53" t="str">
        <f t="shared" si="42"/>
        <v/>
      </c>
      <c r="AT543" s="53" t="s">
        <v>148</v>
      </c>
      <c r="AU543" s="53" t="s">
        <v>988</v>
      </c>
      <c r="AV543" s="53" t="s">
        <v>989</v>
      </c>
      <c r="AW543" s="84" t="s">
        <v>2161</v>
      </c>
      <c r="AX543" s="53">
        <v>12</v>
      </c>
      <c r="AY543" s="83" t="s">
        <v>2226</v>
      </c>
      <c r="AZ543" s="53"/>
      <c r="BA543" s="53"/>
      <c r="BB543" s="238"/>
    </row>
    <row r="544" spans="3:54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0"/>
        <v>0</v>
      </c>
      <c r="M544" s="26">
        <f t="shared" si="39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67" t="e">
        <f>SUMIFS([2]Up!$J:$J,[2]Up!$D:$D,D544)</f>
        <v>#VALUE!</v>
      </c>
      <c r="AQ544" s="82"/>
      <c r="AR544" s="82" t="str">
        <f t="shared" si="41"/>
        <v>PL20</v>
      </c>
      <c r="AS544" s="53" t="str">
        <f t="shared" si="42"/>
        <v/>
      </c>
      <c r="AT544" s="53" t="s">
        <v>148</v>
      </c>
      <c r="AU544" s="53" t="s">
        <v>1100</v>
      </c>
      <c r="AV544" s="53" t="s">
        <v>1101</v>
      </c>
      <c r="AW544" s="84" t="s">
        <v>2158</v>
      </c>
      <c r="AX544" s="53">
        <v>4</v>
      </c>
      <c r="AY544" s="83">
        <v>46242</v>
      </c>
      <c r="AZ544" s="53"/>
      <c r="BA544" s="53"/>
      <c r="BB544" s="238"/>
    </row>
    <row r="545" spans="3:54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0"/>
        <v>0</v>
      </c>
      <c r="M545" s="26">
        <f t="shared" si="39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67" t="e">
        <f>SUMIFS([2]Up!$J:$J,[2]Up!$D:$D,D545)</f>
        <v>#VALUE!</v>
      </c>
      <c r="AQ545" s="82"/>
      <c r="AR545" s="82" t="str">
        <f t="shared" si="41"/>
        <v>PL5</v>
      </c>
      <c r="AS545" s="53" t="str">
        <f t="shared" si="42"/>
        <v/>
      </c>
      <c r="AT545" s="53" t="s">
        <v>148</v>
      </c>
      <c r="AU545" s="53" t="s">
        <v>1108</v>
      </c>
      <c r="AV545" s="53" t="s">
        <v>957</v>
      </c>
      <c r="AW545" s="84" t="s">
        <v>2159</v>
      </c>
      <c r="AX545" s="53">
        <v>8</v>
      </c>
      <c r="AY545" s="83">
        <v>46302</v>
      </c>
      <c r="AZ545" s="53"/>
      <c r="BA545" s="53"/>
      <c r="BB545" s="238"/>
    </row>
    <row r="546" spans="3:54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0"/>
        <v>0</v>
      </c>
      <c r="M546" s="26">
        <f t="shared" si="39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67" t="e">
        <f>SUMIFS([2]Up!$J:$J,[2]Up!$D:$D,D546)</f>
        <v>#VALUE!</v>
      </c>
      <c r="AQ546" s="82"/>
      <c r="AR546" s="82" t="str">
        <f t="shared" si="41"/>
        <v>PL16</v>
      </c>
      <c r="AS546" s="53" t="str">
        <f t="shared" si="42"/>
        <v/>
      </c>
      <c r="AT546" s="53" t="s">
        <v>148</v>
      </c>
      <c r="AU546" s="53" t="s">
        <v>988</v>
      </c>
      <c r="AV546" s="53" t="s">
        <v>989</v>
      </c>
      <c r="AW546" s="84" t="s">
        <v>2161</v>
      </c>
      <c r="AX546" s="53">
        <v>4</v>
      </c>
      <c r="AY546" s="83" t="s">
        <v>2226</v>
      </c>
      <c r="AZ546" s="53"/>
      <c r="BA546" s="53"/>
      <c r="BB546" s="238"/>
    </row>
    <row r="547" spans="3:54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0"/>
        <v>0</v>
      </c>
      <c r="M547" s="26">
        <f t="shared" si="39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67" t="e">
        <f>SUMIFS([2]Up!$J:$J,[2]Up!$D:$D,D547)</f>
        <v>#VALUE!</v>
      </c>
      <c r="AQ547" s="82"/>
      <c r="AR547" s="82" t="str">
        <f t="shared" si="41"/>
        <v>PL16</v>
      </c>
      <c r="AS547" s="53" t="str">
        <f t="shared" si="42"/>
        <v/>
      </c>
      <c r="AT547" s="53" t="s">
        <v>148</v>
      </c>
      <c r="AU547" s="53" t="s">
        <v>988</v>
      </c>
      <c r="AV547" s="53" t="s">
        <v>989</v>
      </c>
      <c r="AW547" s="84" t="s">
        <v>2161</v>
      </c>
      <c r="AX547" s="53">
        <v>4</v>
      </c>
      <c r="AY547" s="83" t="s">
        <v>2226</v>
      </c>
      <c r="AZ547" s="53"/>
      <c r="BA547" s="53"/>
      <c r="BB547" s="238"/>
    </row>
    <row r="548" spans="3:54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0"/>
        <v>0</v>
      </c>
      <c r="M548" s="26">
        <f t="shared" si="39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67" t="e">
        <f>SUMIFS([2]Up!$J:$J,[2]Up!$D:$D,D548)</f>
        <v>#VALUE!</v>
      </c>
      <c r="AQ548" s="82"/>
      <c r="AR548" s="82" t="str">
        <f t="shared" si="41"/>
        <v>PL16</v>
      </c>
      <c r="AS548" s="53" t="str">
        <f t="shared" si="42"/>
        <v/>
      </c>
      <c r="AT548" s="53" t="s">
        <v>148</v>
      </c>
      <c r="AU548" s="53" t="s">
        <v>988</v>
      </c>
      <c r="AV548" s="53" t="s">
        <v>989</v>
      </c>
      <c r="AW548" s="84" t="s">
        <v>2161</v>
      </c>
      <c r="AX548" s="53">
        <v>4</v>
      </c>
      <c r="AY548" s="83" t="s">
        <v>2226</v>
      </c>
      <c r="AZ548" s="53"/>
      <c r="BA548" s="53"/>
      <c r="BB548" s="238"/>
    </row>
    <row r="549" spans="3:54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0"/>
        <v>0</v>
      </c>
      <c r="M549" s="26">
        <f t="shared" si="39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67" t="e">
        <f>SUMIFS([2]Up!$J:$J,[2]Up!$D:$D,D549)</f>
        <v>#VALUE!</v>
      </c>
      <c r="AQ549" s="82"/>
      <c r="AR549" s="82" t="str">
        <f t="shared" si="41"/>
        <v>PL8</v>
      </c>
      <c r="AS549" s="53" t="str">
        <f t="shared" si="42"/>
        <v/>
      </c>
      <c r="AT549" s="53" t="s">
        <v>148</v>
      </c>
      <c r="AU549" s="53" t="s">
        <v>1012</v>
      </c>
      <c r="AV549" s="53" t="s">
        <v>1013</v>
      </c>
      <c r="AW549" s="53" t="s">
        <v>57</v>
      </c>
      <c r="AX549" s="53">
        <v>20</v>
      </c>
      <c r="AY549" s="83"/>
      <c r="AZ549" s="53"/>
      <c r="BA549" s="53"/>
    </row>
    <row r="550" spans="3:54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67"/>
      <c r="AQ550" s="82"/>
      <c r="AR550" s="82"/>
      <c r="AS550" s="53"/>
      <c r="AT550" s="53"/>
      <c r="AU550" s="53"/>
      <c r="AV550" s="53"/>
      <c r="AW550" s="53"/>
      <c r="AX550" s="85"/>
      <c r="AY550" s="53"/>
      <c r="AZ550" s="53"/>
      <c r="BA550" s="53"/>
    </row>
    <row r="551" spans="3:54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67"/>
      <c r="AQ551" s="82"/>
      <c r="AR551" s="82"/>
      <c r="AS551" s="53"/>
      <c r="AT551" s="53"/>
      <c r="AU551" s="53"/>
      <c r="AV551" s="53"/>
      <c r="AW551" s="53"/>
      <c r="AX551" s="85"/>
      <c r="AY551" s="53"/>
      <c r="AZ551" s="53"/>
      <c r="BA551" s="53"/>
    </row>
    <row r="552" spans="3:54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67"/>
      <c r="AQ552" s="82"/>
      <c r="AR552" s="82"/>
      <c r="AS552" s="53"/>
      <c r="AT552" s="53"/>
      <c r="AU552" s="53"/>
      <c r="AV552" s="53"/>
      <c r="AW552" s="53"/>
      <c r="AX552" s="85"/>
      <c r="AY552" s="53"/>
      <c r="AZ552" s="53"/>
      <c r="BA552" s="53"/>
    </row>
    <row r="553" spans="3:54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67"/>
      <c r="AQ553" s="82"/>
      <c r="AR553" s="82"/>
      <c r="AS553" s="53"/>
      <c r="AT553" s="53"/>
      <c r="AU553" s="53"/>
      <c r="AV553" s="53"/>
      <c r="AW553" s="53"/>
      <c r="AX553" s="85"/>
      <c r="AY553" s="53"/>
      <c r="AZ553" s="53"/>
      <c r="BA553" s="53"/>
    </row>
    <row r="554" spans="3:54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67"/>
      <c r="AQ554" s="82"/>
      <c r="AR554" s="82"/>
      <c r="AS554" s="53"/>
      <c r="AT554" s="53"/>
      <c r="AU554" s="53"/>
      <c r="AV554" s="53"/>
      <c r="AW554" s="53"/>
      <c r="AX554" s="85"/>
      <c r="AY554" s="53"/>
      <c r="AZ554" s="53"/>
      <c r="BA554" s="53"/>
    </row>
    <row r="555" spans="3:54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67"/>
      <c r="AQ555" s="82"/>
      <c r="AR555" s="82"/>
      <c r="AS555" s="53"/>
      <c r="AT555" s="53"/>
      <c r="AU555" s="53"/>
      <c r="AV555" s="53"/>
      <c r="AW555" s="53"/>
      <c r="AX555" s="85"/>
      <c r="AY555" s="53"/>
      <c r="AZ555" s="53"/>
      <c r="BA555" s="53"/>
    </row>
    <row r="556" spans="3:54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67"/>
      <c r="AQ556" s="82"/>
      <c r="AR556" s="82"/>
      <c r="AS556" s="53"/>
      <c r="AT556" s="53"/>
      <c r="AU556" s="53"/>
      <c r="AV556" s="53"/>
      <c r="AW556" s="53"/>
      <c r="AX556" s="85"/>
      <c r="AY556" s="53"/>
      <c r="AZ556" s="53"/>
      <c r="BA556" s="53"/>
    </row>
  </sheetData>
  <autoFilter ref="C29:BA556" xr:uid="{B5DE6D30-F474-449D-82A7-1262A8A8C8BB}">
    <filterColumn colId="37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D460" activePane="bottomRight" state="frozen"/>
      <selection pane="topRight" activeCell="P1" sqref="P1"/>
      <selection pane="bottomLeft" activeCell="A10" sqref="A10"/>
      <selection pane="bottomRight" activeCell="AM685" sqref="AM68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2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hidden="1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hidden="1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hidden="1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hidden="1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hidden="1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hidden="1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hidden="1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hidden="1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hidden="1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hidden="1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hidden="1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hidden="1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hidden="1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hidden="1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hidden="1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hidden="1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hidden="1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hidden="1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hidden="1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hidden="1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hidden="1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hidden="1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hidden="1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hidden="1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hidden="1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hidden="1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hidden="1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hidden="1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hidden="1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hidden="1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hidden="1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hidden="1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hidden="1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hidden="1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hidden="1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hidden="1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hidden="1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hidden="1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hidden="1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hidden="1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hidden="1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hidden="1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hidden="1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hidden="1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hidden="1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hidden="1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hidden="1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hidden="1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hidden="1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hidden="1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hidden="1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hidden="1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hidden="1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hidden="1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hidden="1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hidden="1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hidden="1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hidden="1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hidden="1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hidden="1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hidden="1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hidden="1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hidden="1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hidden="1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hidden="1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hidden="1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hidden="1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hidden="1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hidden="1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hidden="1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hidden="1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hidden="1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hidden="1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hidden="1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hidden="1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hidden="1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hidden="1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hidden="1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hidden="1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hidden="1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hidden="1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hidden="1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hidden="1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hidden="1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hidden="1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hidden="1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hidden="1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hidden="1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hidden="1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hidden="1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hidden="1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hidden="1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hidden="1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hidden="1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hidden="1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hidden="1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hidden="1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hidden="1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hidden="1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hidden="1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hidden="1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hidden="1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hidden="1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hidden="1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hidden="1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hidden="1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hidden="1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hidden="1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hidden="1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hidden="1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hidden="1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hidden="1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hidden="1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hidden="1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hidden="1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hidden="1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hidden="1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hidden="1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hidden="1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hidden="1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hidden="1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hidden="1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hidden="1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hidden="1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hidden="1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hidden="1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hidden="1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hidden="1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hidden="1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hidden="1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hidden="1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hidden="1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hidden="1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hidden="1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hidden="1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hidden="1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hidden="1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hidden="1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hidden="1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hidden="1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hidden="1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hidden="1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hidden="1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hidden="1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hidden="1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hidden="1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hidden="1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hidden="1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hidden="1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hidden="1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hidden="1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hidden="1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hidden="1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hidden="1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203">
        <f t="shared" ca="1" si="331"/>
        <v>1</v>
      </c>
      <c r="V166" s="203">
        <f t="shared" ca="1" si="332"/>
        <v>0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0</v>
      </c>
      <c r="AY166" s="203">
        <f t="shared" ca="1" si="348"/>
        <v>1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hidden="1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hidden="1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hidden="1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hidden="1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hidden="1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hidden="1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hidden="1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hidden="1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03">
        <f t="shared" ca="1" si="373"/>
        <v>2</v>
      </c>
      <c r="V174" s="203">
        <f t="shared" ca="1" si="374"/>
        <v>0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0</v>
      </c>
      <c r="AY174" s="203">
        <f t="shared" ca="1" si="390"/>
        <v>2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hidden="1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03">
        <f t="shared" ca="1" si="373"/>
        <v>1</v>
      </c>
      <c r="V175" s="203">
        <f t="shared" ca="1" si="374"/>
        <v>0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0</v>
      </c>
      <c r="AY175" s="203">
        <f t="shared" ca="1" si="390"/>
        <v>1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hidden="1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hidden="1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hidden="1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hidden="1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hidden="1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hidden="1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hidden="1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hidden="1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hidden="1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hidden="1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hidden="1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hidden="1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hidden="1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hidden="1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hidden="1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hidden="1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hidden="1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hidden="1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hidden="1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hidden="1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hidden="1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hidden="1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hidden="1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hidden="1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hidden="1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hidden="1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hidden="1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hidden="1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hidden="1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hidden="1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hidden="1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hidden="1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0.3247863247863248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hidden="1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hidden="1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hidden="1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hidden="1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203">
        <f t="shared" ca="1" si="453"/>
        <v>2</v>
      </c>
      <c r="V211" s="203">
        <f t="shared" ca="1" si="454"/>
        <v>0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0</v>
      </c>
      <c r="AO211" s="203">
        <f t="shared" ca="1" si="460"/>
        <v>1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hidden="1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03">
        <f t="shared" ca="1" si="453"/>
        <v>2</v>
      </c>
      <c r="V212" s="203">
        <f t="shared" ca="1" si="454"/>
        <v>0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0</v>
      </c>
      <c r="AO212" s="203">
        <f t="shared" ca="1" si="460"/>
        <v>1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hidden="1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hidden="1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hidden="1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hidden="1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hidden="1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hidden="1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hidden="1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hidden="1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hidden="1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hidden="1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hidden="1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0.44444444444444442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hidden="1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ref="U224:U236" ca="1" si="470">+L224-T224</f>
        <v>0</v>
      </c>
      <c r="V224" s="203">
        <f t="shared" ref="V224:V236" ca="1" si="471">ROUNDDOWN(T224/J224,0)</f>
        <v>2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1</v>
      </c>
      <c r="AO224" s="203">
        <f t="shared" ref="AO224:AO236" ca="1" si="477">+AM224-AN224</f>
        <v>0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1</v>
      </c>
      <c r="AT224" s="203">
        <f t="shared" ref="AT224:AT236" ca="1" si="480">+AR224-AS224</f>
        <v>0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hidden="1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03">
        <f t="shared" ca="1" si="470"/>
        <v>2</v>
      </c>
      <c r="V225" s="203">
        <f t="shared" ca="1" si="471"/>
        <v>0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0</v>
      </c>
      <c r="AO225" s="203">
        <f t="shared" ca="1" si="477"/>
        <v>1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hidden="1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hidden="1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hidden="1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hidden="1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hidden="1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hidden="1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hidden="1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hidden="1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hidden="1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hidden="1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hidden="1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hidden="1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0</v>
      </c>
      <c r="X237" s="192">
        <f ca="1">SUMIFS(T:T,C:C,C237,AE:AE,"")/SUMIFS(L:L,C:C,C237,AE:AE,"",AB:AB,"")</f>
        <v>0.8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hidden="1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203">
        <f t="shared" ref="U238:U242" ca="1" si="487">+L238-T238</f>
        <v>0</v>
      </c>
      <c r="V238" s="203">
        <f t="shared" ref="V238:V242" ca="1" si="488">ROUNDDOWN(T238/J238,0)</f>
        <v>2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1</v>
      </c>
      <c r="AO238" s="203">
        <f t="shared" ref="AO238:AO242" ca="1" si="494">+AM238-AN238</f>
        <v>0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1</v>
      </c>
      <c r="AT238" s="203">
        <f t="shared" ref="AT238:AT242" ca="1" si="497">+AR238-AS238</f>
        <v>0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hidden="1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hidden="1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hidden="1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87"/>
        <v>4</v>
      </c>
      <c r="V241" s="203">
        <f t="shared" ca="1" si="488"/>
        <v>0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0</v>
      </c>
      <c r="AO241" s="203">
        <f t="shared" ca="1" si="494"/>
        <v>2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0</v>
      </c>
      <c r="AT241" s="203">
        <f t="shared" ca="1" si="497"/>
        <v>2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hidden="1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hidden="1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0.6875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hidden="1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203">
        <f t="shared" ref="U244:U248" ca="1" si="503">+L244-T244</f>
        <v>0</v>
      </c>
      <c r="V244" s="203">
        <f t="shared" ref="V244:V248" ca="1" si="504">ROUNDDOWN(T244/J244,0)</f>
        <v>2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1</v>
      </c>
      <c r="AO244" s="203">
        <f t="shared" ref="AO244:AO248" ca="1" si="510">+AM244-AN244</f>
        <v>0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1</v>
      </c>
      <c r="AT244" s="203">
        <f t="shared" ref="AT244:AT248" ca="1" si="513">+AR244-AS244</f>
        <v>0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hidden="1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ca="1" si="503"/>
        <v>2</v>
      </c>
      <c r="V245" s="203">
        <f t="shared" ca="1" si="504"/>
        <v>0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0</v>
      </c>
      <c r="AO245" s="203">
        <f t="shared" ca="1" si="510"/>
        <v>1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hidden="1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hidden="1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hidden="1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hidden="1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hidden="1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0.35087719298245612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hidden="1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hidden="1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hidden="1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hidden="1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hidden="1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hidden="1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hidden="1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hidden="1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hidden="1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hidden="1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hidden="1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hidden="1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0.44444444444444442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hidden="1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ref="U263:U267" ca="1" si="545">+L263-T263</f>
        <v>1</v>
      </c>
      <c r="V263" s="203">
        <f t="shared" ref="V263:V267" ca="1" si="546">ROUNDDOWN(T263/J263,0)</f>
        <v>1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1</v>
      </c>
      <c r="AO263" s="203">
        <f t="shared" ref="AO263:AO267" ca="1" si="552">+AM263-AN263</f>
        <v>0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0</v>
      </c>
      <c r="AT263" s="203">
        <f t="shared" ref="AT263:AT267" ca="1" si="555">+AR263-AS263</f>
        <v>1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hidden="1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hidden="1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203">
        <f t="shared" ca="1" si="545"/>
        <v>0</v>
      </c>
      <c r="V265" s="203">
        <f t="shared" ca="1" si="546"/>
        <v>2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1</v>
      </c>
      <c r="AO265" s="203">
        <f t="shared" ca="1" si="552"/>
        <v>0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1</v>
      </c>
      <c r="AT265" s="203">
        <f t="shared" ca="1" si="555"/>
        <v>0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hidden="1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hidden="1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hidden="1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0.35897435897435898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hidden="1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03">
        <f t="shared" ref="U269:U275" ca="1" si="561">+L269-T269</f>
        <v>2</v>
      </c>
      <c r="V269" s="203">
        <f t="shared" ref="V269:V275" ca="1" si="562">ROUNDDOWN(T269/J269,0)</f>
        <v>0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0</v>
      </c>
      <c r="AO269" s="203">
        <f t="shared" ref="AO269:AO275" ca="1" si="568">+AM269-AN269</f>
        <v>1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0</v>
      </c>
      <c r="AT269" s="203">
        <f t="shared" ref="AT269:AT275" ca="1" si="571">+AR269-AS269</f>
        <v>1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hidden="1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hidden="1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203">
        <f t="shared" ca="1" si="561"/>
        <v>1</v>
      </c>
      <c r="V271" s="203">
        <f t="shared" ca="1" si="562"/>
        <v>1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1</v>
      </c>
      <c r="AO271" s="203">
        <f t="shared" ca="1" si="568"/>
        <v>0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0</v>
      </c>
      <c r="AT271" s="203">
        <f t="shared" ca="1" si="571"/>
        <v>1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hidden="1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hidden="1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hidden="1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hidden="1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03">
        <f t="shared" ca="1" si="561"/>
        <v>4</v>
      </c>
      <c r="V275" s="203">
        <f t="shared" ca="1" si="562"/>
        <v>0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0</v>
      </c>
      <c r="AO275" s="203">
        <f t="shared" ca="1" si="568"/>
        <v>2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0</v>
      </c>
      <c r="AT275" s="203">
        <f t="shared" ca="1" si="571"/>
        <v>2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hidden="1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0.1111111111111111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hidden="1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203">
        <f t="shared" ref="U277:U281" ca="1" si="578">+L277-T277</f>
        <v>1</v>
      </c>
      <c r="V277" s="203">
        <f t="shared" ref="V277:V281" ca="1" si="579">ROUNDDOWN(T277/J277,0)</f>
        <v>1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1</v>
      </c>
      <c r="AO277" s="203">
        <f t="shared" ref="AO277:AO281" ca="1" si="585">+AM277-AN277</f>
        <v>0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0</v>
      </c>
      <c r="AT277" s="203">
        <f t="shared" ref="AT277:AT281" ca="1" si="588">+AR277-AS277</f>
        <v>1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hidden="1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hidden="1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203">
        <f t="shared" ca="1" si="578"/>
        <v>1</v>
      </c>
      <c r="V279" s="203">
        <f t="shared" ca="1" si="579"/>
        <v>1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1</v>
      </c>
      <c r="AO279" s="203">
        <f t="shared" ca="1" si="585"/>
        <v>0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0</v>
      </c>
      <c r="AT279" s="203">
        <f t="shared" ca="1" si="588"/>
        <v>1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hidden="1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hidden="1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hidden="1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0.34408602150537637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hidden="1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hidden="1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hidden="1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03">
        <f t="shared" ca="1" si="603"/>
        <v>4</v>
      </c>
      <c r="V286" s="203">
        <f t="shared" ca="1" si="604"/>
        <v>0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0</v>
      </c>
      <c r="AO286" s="203">
        <f t="shared" ca="1" si="610"/>
        <v>2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0</v>
      </c>
      <c r="AT286" s="203">
        <f t="shared" ca="1" si="613"/>
        <v>2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hidden="1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03">
        <f t="shared" ca="1" si="603"/>
        <v>6</v>
      </c>
      <c r="V287" s="203">
        <f t="shared" ca="1" si="604"/>
        <v>0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0</v>
      </c>
      <c r="AO287" s="203">
        <f t="shared" ca="1" si="610"/>
        <v>3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0</v>
      </c>
      <c r="AT287" s="203">
        <f t="shared" ca="1" si="613"/>
        <v>3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hidden="1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03">
        <f t="shared" ca="1" si="603"/>
        <v>2</v>
      </c>
      <c r="V288" s="203">
        <f t="shared" ca="1" si="604"/>
        <v>0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0</v>
      </c>
      <c r="AO288" s="203">
        <f t="shared" ca="1" si="610"/>
        <v>1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hidden="1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hidden="1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hidden="1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hidden="1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hidden="1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hidden="1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hidden="1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hidden="1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hidden="1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hidden="1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hidden="1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hidden="1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0.43333333333333335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hidden="1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hidden="1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hidden="1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hidden="1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03">
        <f t="shared" ca="1" si="620"/>
        <v>4</v>
      </c>
      <c r="V304" s="203">
        <f t="shared" ca="1" si="621"/>
        <v>0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0</v>
      </c>
      <c r="AO304" s="203">
        <f t="shared" ca="1" si="627"/>
        <v>2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0</v>
      </c>
      <c r="AT304" s="203">
        <f t="shared" ca="1" si="630"/>
        <v>2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hidden="1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hidden="1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203">
        <f t="shared" ca="1" si="620"/>
        <v>1</v>
      </c>
      <c r="V306" s="203">
        <f t="shared" ca="1" si="621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1</v>
      </c>
      <c r="AO306" s="203">
        <f t="shared" ca="1" si="627"/>
        <v>0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0</v>
      </c>
      <c r="AT306" s="203">
        <f t="shared" ca="1" si="630"/>
        <v>1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hidden="1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hidden="1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0.41025641025641024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hidden="1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03">
        <f t="shared" ref="U309:U316" ca="1" si="637">+L309-T309</f>
        <v>1</v>
      </c>
      <c r="V309" s="203">
        <f t="shared" ref="V309:V316" ca="1" si="638">ROUNDDOWN(T309/J309,0)</f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0</v>
      </c>
      <c r="AT309" s="203">
        <f t="shared" ref="AT309:AT316" ca="1" si="647">+AR309-AS309</f>
        <v>1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hidden="1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hidden="1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637"/>
        <v>0</v>
      </c>
      <c r="V311" s="203">
        <f t="shared" ca="1" si="638"/>
        <v>2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1</v>
      </c>
      <c r="AO311" s="203">
        <f t="shared" ca="1" si="644"/>
        <v>0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1</v>
      </c>
      <c r="AT311" s="203">
        <f t="shared" ca="1" si="647"/>
        <v>0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hidden="1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hidden="1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03">
        <f t="shared" ca="1" si="637"/>
        <v>4</v>
      </c>
      <c r="V313" s="203">
        <f t="shared" ca="1" si="638"/>
        <v>0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0</v>
      </c>
      <c r="AO313" s="203">
        <f t="shared" ca="1" si="644"/>
        <v>2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0</v>
      </c>
      <c r="AT313" s="203">
        <f t="shared" ca="1" si="647"/>
        <v>2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hidden="1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hidden="1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hidden="1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37"/>
        <v>4</v>
      </c>
      <c r="V316" s="203">
        <f t="shared" ca="1" si="638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0</v>
      </c>
      <c r="AO316" s="203">
        <f t="shared" ca="1" si="644"/>
        <v>2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0</v>
      </c>
      <c r="AT316" s="203">
        <f t="shared" ca="1" si="647"/>
        <v>2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hidden="1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0.15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hidden="1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203">
        <f t="shared" ref="U318:U324" ca="1" si="654">+L318-T318</f>
        <v>1</v>
      </c>
      <c r="V318" s="203">
        <f t="shared" ref="V318:V324" ca="1" si="655">ROUNDDOWN(T318/J318,0)</f>
        <v>1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0</v>
      </c>
      <c r="AT318" s="203">
        <f t="shared" ref="AT318:AT324" ca="1" si="664">+AR318-AS318</f>
        <v>1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hidden="1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hidden="1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hidden="1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03">
        <f t="shared" ca="1" si="654"/>
        <v>4</v>
      </c>
      <c r="V321" s="203">
        <f t="shared" ca="1" si="655"/>
        <v>0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0</v>
      </c>
      <c r="AO321" s="203">
        <f t="shared" ca="1" si="661"/>
        <v>2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0</v>
      </c>
      <c r="AT321" s="203">
        <f t="shared" ca="1" si="664"/>
        <v>2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hidden="1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hidden="1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203">
        <f t="shared" ca="1" si="654"/>
        <v>0</v>
      </c>
      <c r="V323" s="203">
        <f t="shared" ca="1" si="655"/>
        <v>2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1</v>
      </c>
      <c r="AO323" s="203">
        <f t="shared" ca="1" si="661"/>
        <v>0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1</v>
      </c>
      <c r="AT323" s="203">
        <f t="shared" ca="1" si="664"/>
        <v>0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hidden="1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hidden="1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hidden="1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0.35964912280701755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hidden="1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hidden="1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hidden="1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hidden="1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hidden="1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hidden="1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hidden="1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hidden="1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0.43333333333333335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hidden="1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hidden="1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hidden="1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hidden="1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03">
        <f t="shared" ca="1" si="697"/>
        <v>2</v>
      </c>
      <c r="V338" s="203">
        <f t="shared" ca="1" si="698"/>
        <v>0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0</v>
      </c>
      <c r="AO338" s="203">
        <f t="shared" ca="1" si="704"/>
        <v>1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hidden="1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0.15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hidden="1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hidden="1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hidden="1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hidden="1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713"/>
        <v>2</v>
      </c>
      <c r="V343" s="203">
        <f t="shared" ca="1" si="714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0</v>
      </c>
      <c r="AO343" s="203">
        <f t="shared" ca="1" si="720"/>
        <v>1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hidden="1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9.2592592592592587E-2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hidden="1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0</v>
      </c>
      <c r="U345" s="203">
        <f t="shared" ref="U345:U362" ca="1" si="730">+L345-T345</f>
        <v>2</v>
      </c>
      <c r="V345" s="203">
        <f t="shared" ref="V345:V362" ca="1" si="731">ROUNDDOWN(T345/J345,0)</f>
        <v>0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0</v>
      </c>
      <c r="AO345" s="203">
        <f t="shared" ref="AO345:AO362" ca="1" si="741">+AM345-AN345</f>
        <v>1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0</v>
      </c>
      <c r="AT345" s="203">
        <f t="shared" ref="AT345:AT362" ca="1" si="746">+AR345-AS345</f>
        <v>1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hidden="1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730"/>
        <v>2</v>
      </c>
      <c r="V346" s="203">
        <f t="shared" ca="1" si="731"/>
        <v>0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0</v>
      </c>
      <c r="AO346" s="203">
        <f t="shared" ca="1" si="741"/>
        <v>1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0</v>
      </c>
      <c r="AT346" s="203">
        <f t="shared" ca="1" si="746"/>
        <v>1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hidden="1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hidden="1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hidden="1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hidden="1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hidden="1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hidden="1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hidden="1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hidden="1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hidden="1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hidden="1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hidden="1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hidden="1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hidden="1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hidden="1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hidden="1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hidden="1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hidden="1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2.8571428571428571E-2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hidden="1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hidden="1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203">
        <f t="shared" ca="1" si="756"/>
        <v>2</v>
      </c>
      <c r="V365" s="203">
        <f t="shared" ca="1" si="757"/>
        <v>0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0</v>
      </c>
      <c r="AO365" s="203">
        <f t="shared" ca="1" si="767"/>
        <v>1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hidden="1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03">
        <f t="shared" ca="1" si="756"/>
        <v>2</v>
      </c>
      <c r="V366" s="203">
        <f t="shared" ca="1" si="757"/>
        <v>0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0</v>
      </c>
      <c r="AO366" s="203">
        <f t="shared" ca="1" si="767"/>
        <v>1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0</v>
      </c>
      <c r="AT366" s="203">
        <f t="shared" ca="1" si="772"/>
        <v>1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hidden="1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hidden="1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hidden="1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hidden="1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hidden="1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hidden="1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hidden="1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hidden="1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hidden="1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hidden="1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hidden="1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hidden="1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2.564102564102564E-2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hidden="1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hidden="1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hidden="1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hidden="1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hidden="1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hidden="1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hidden="1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hidden="1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hidden="1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hidden="1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hidden="1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hidden="1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hidden="1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hidden="1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hidden="1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hidden="1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hidden="1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hidden="1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hidden="1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hidden="1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hidden="1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hidden="1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hidden="1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hidden="1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hidden="1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hidden="1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hidden="1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hidden="1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hidden="1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hidden="1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hidden="1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hidden="1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hidden="1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hidden="1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hidden="1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hidden="1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hidden="1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hidden="1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hidden="1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hidden="1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hidden="1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0</v>
      </c>
      <c r="U419" s="203">
        <f t="shared" ca="1" si="910"/>
        <v>2</v>
      </c>
      <c r="V419" s="203">
        <f t="shared" ca="1" si="911"/>
        <v>0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0</v>
      </c>
      <c r="AO419" s="203">
        <f t="shared" ca="1" si="919"/>
        <v>1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hidden="1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hidden="1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hidden="1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hidden="1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hidden="1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hidden="1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hidden="1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hidden="1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hidden="1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hidden="1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hidden="1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hidden="1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hidden="1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hidden="1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hidden="1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hidden="1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hidden="1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hidden="1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hidden="1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hidden="1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hidden="1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hidden="1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hidden="1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hidden="1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hidden="1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hidden="1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hidden="1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hidden="1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hidden="1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hidden="1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hidden="1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hidden="1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hidden="1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hidden="1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hidden="1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hidden="1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hidden="1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hidden="1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hidden="1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hidden="1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0.3247863247863248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203">
        <f t="shared" ca="1" si="1032"/>
        <v>0</v>
      </c>
      <c r="V476" s="203">
        <f t="shared" ca="1" si="1033"/>
        <v>1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2</v>
      </c>
      <c r="AJ476" s="203">
        <f t="shared" ca="1" si="1036"/>
        <v>0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0.44444444444444442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5</v>
      </c>
      <c r="U489" s="203">
        <f t="shared" ca="1" si="1049"/>
        <v>0</v>
      </c>
      <c r="V489" s="203">
        <f t="shared" ca="1" si="1050"/>
        <v>1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5</v>
      </c>
      <c r="AJ489" s="203">
        <f t="shared" ca="1" si="1053"/>
        <v>0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0</v>
      </c>
      <c r="X491" s="192">
        <f ca="1">SUMIFS(T:T,C:C,C491,AE:AE,"")/SUMIFS(L:L,C:C,C491,AE:AE,"",AB:AB,"")</f>
        <v>0.8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0.35087719298245612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0.44444444444444442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0.35897435897435898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0.34408602150537637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0.43333333333333335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0.41025641025641024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0.35964912280701755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0.43333333333333335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hidden="1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hidden="1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hidden="1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hidden="1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hidden="1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hidden="1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hidden="1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hidden="1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hidden="1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hidden="1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>
        <f>+AG729</f>
        <v>21</v>
      </c>
      <c r="AI729" s="181"/>
      <c r="AJ729" s="181">
        <f>+AH729-AI729</f>
        <v>21</v>
      </c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>
        <f t="shared" ref="AH730:AH732" si="1603">+AG730</f>
        <v>1</v>
      </c>
      <c r="AI730" s="181"/>
      <c r="AJ730" s="181">
        <f t="shared" ref="AJ730:AJ732" si="1604">+AH730-AI730</f>
        <v>1</v>
      </c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>
        <f t="shared" si="1603"/>
        <v>1</v>
      </c>
      <c r="AI731" s="181"/>
      <c r="AJ731" s="181">
        <f t="shared" si="1604"/>
        <v>1</v>
      </c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>
        <f t="shared" si="1603"/>
        <v>1</v>
      </c>
      <c r="AI732" s="181"/>
      <c r="AJ732" s="181">
        <f t="shared" si="1604"/>
        <v>1</v>
      </c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2026-09-22T01:21:40Z</dcterms:modified>
</cp:coreProperties>
</file>